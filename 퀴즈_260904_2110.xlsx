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park/Downloads/"/>
    </mc:Choice>
  </mc:AlternateContent>
  <xr:revisionPtr revIDLastSave="0" documentId="13_ncr:1_{D4179C3A-AFB9-2541-92B0-22231E48AF4D}" xr6:coauthVersionLast="47" xr6:coauthVersionMax="47" xr10:uidLastSave="{00000000-0000-0000-0000-000000000000}"/>
  <bookViews>
    <workbookView xWindow="0" yWindow="580" windowWidth="25600" windowHeight="16060" tabRatio="740" activeTab="10" xr2:uid="{00000000-000D-0000-FFFF-FFFF00000000}"/>
  </bookViews>
  <sheets>
    <sheet name="표지" sheetId="1" state="hidden" r:id="rId1"/>
    <sheet name="목차" sheetId="2" r:id="rId2"/>
    <sheet name="1-6_공정조달관리" sheetId="3" r:id="rId3"/>
    <sheet name="퀴즈 모드" sheetId="4" r:id="rId4"/>
    <sheet name="매크로" sheetId="5" r:id="rId5"/>
    <sheet name="매크로 사용법" sheetId="6" r:id="rId6"/>
    <sheet name="1-1_공공조달개요" sheetId="7" r:id="rId7"/>
    <sheet name="1-2_원칙및방법" sheetId="8" r:id="rId8"/>
    <sheet name="1-3_전자조달시스템" sheetId="9" r:id="rId9"/>
    <sheet name="1-4_전략적공공조달" sheetId="10" r:id="rId10"/>
    <sheet name="1-5_공공조달법률이해" sheetId="11" r:id="rId11"/>
    <sheet name="Temp" sheetId="12" r:id="rId12"/>
    <sheet name="2-1_공공조달계획" sheetId="13" r:id="rId13"/>
    <sheet name="2-2_조달요구응대및제안" sheetId="14" r:id="rId14"/>
    <sheet name="2-3_입찰제안평가및계약체결" sheetId="15" r:id="rId15"/>
    <sheet name="3-1_계약관리일반절차" sheetId="16" r:id="rId16"/>
    <sheet name="3-2_물품계약관리" sheetId="17" r:id="rId17"/>
    <sheet name="3-3_용역다수공급자계약관리" sheetId="18" r:id="rId18"/>
    <sheet name="3-4_공사계약관리" sheetId="19" r:id="rId19"/>
    <sheet name="모바일 안내" sheetId="20" state="hidden"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4" l="1"/>
  <c r="I9" i="4"/>
  <c r="I8" i="4"/>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D5" i="4"/>
  <c r="B14" i="4"/>
  <c r="B12" i="4"/>
  <c r="B15" i="4"/>
  <c r="B13" i="4"/>
  <c r="B8" i="4"/>
  <c r="B9" i="1" l="1"/>
  <c r="B5" i="1"/>
</calcChain>
</file>

<file path=xl/sharedStrings.xml><?xml version="1.0" encoding="utf-8"?>
<sst xmlns="http://schemas.openxmlformats.org/spreadsheetml/2006/main" count="14384" uniqueCount="9665">
  <si>
    <t>번호</t>
  </si>
  <si>
    <t>세부항목</t>
  </si>
  <si>
    <t>세세항목</t>
  </si>
  <si>
    <t>문제 내용</t>
  </si>
  <si>
    <t>보기①</t>
  </si>
  <si>
    <t>보기②</t>
  </si>
  <si>
    <t>보기③</t>
  </si>
  <si>
    <t>보기④</t>
  </si>
  <si>
    <t>정답 번호</t>
  </si>
  <si>
    <t>해설 및 오답노트</t>
  </si>
  <si>
    <t>출처</t>
  </si>
  <si>
    <t>구분</t>
  </si>
  <si>
    <t>14일이면 확실하게 끝낸다</t>
  </si>
  <si>
    <t>공공조달관리사 2주 완성</t>
  </si>
  <si>
    <t xml:space="preserve"> 엑셀 하나로 끝내는, 무한회독 트레이닝.</t>
  </si>
  <si>
    <t>▶ 지금 바로 풀어보기</t>
  </si>
  <si>
    <t>공공조달관리사 필기 출제기준 (2026.03.01~2028.12.31 적용)</t>
  </si>
  <si>
    <t>검정방법: 객관식 / 문제수: 80 / 시험시간: 2시간   |   과목: ① 공공조달과 법제도 이해(30) ② 공공조달계획 수립 및 분석(20) ③ 공공계약관리(30)</t>
  </si>
  <si>
    <t>필기과목</t>
  </si>
  <si>
    <t>주요항목</t>
  </si>
  <si>
    <t>시트명</t>
  </si>
  <si>
    <t>생성 문제 수</t>
  </si>
  <si>
    <t>1. 공공조달과 
법제도 이해</t>
  </si>
  <si>
    <t>1. 공공조달 개요</t>
  </si>
  <si>
    <t>1. 공공조달의 정의 및 목적</t>
  </si>
  <si>
    <t>1. 공공조달의 정의</t>
  </si>
  <si>
    <t>1-1_공공조달개요</t>
  </si>
  <si>
    <t>2. 공공조달의 목적</t>
  </si>
  <si>
    <t>1-2_원칙및방법</t>
  </si>
  <si>
    <t>3. 공공조달의 범위</t>
  </si>
  <si>
    <t>1-3_전자조달시스템</t>
  </si>
  <si>
    <t>2. 공공조달 참여자, 이해관계자</t>
  </si>
  <si>
    <t>1. 공공조달 수요자</t>
  </si>
  <si>
    <t>1-4_전략적공공조달</t>
  </si>
  <si>
    <t>2. 공공조달 공급자</t>
  </si>
  <si>
    <t>1-5_공공조달법률이해</t>
  </si>
  <si>
    <t>3. 공공조달 이해관계자</t>
  </si>
  <si>
    <t>1-6_공정조달관리</t>
  </si>
  <si>
    <t>3. 공공조달의 특성</t>
  </si>
  <si>
    <t>1. 상업적 구매행위 특성</t>
  </si>
  <si>
    <t>2-1_공공조달계획</t>
  </si>
  <si>
    <t>2. 공공조달의 조달행위 특성</t>
  </si>
  <si>
    <t>2-2_조달요구응대및제안</t>
  </si>
  <si>
    <t>4. 공공조달의 구성체계</t>
  </si>
  <si>
    <t>1. 조직적 구성체계</t>
  </si>
  <si>
    <t>2-3_입찰제안평가및계약체결</t>
  </si>
  <si>
    <t>2. 감독 및 기능적 책임</t>
  </si>
  <si>
    <t>3-1_계약관리일반절차</t>
  </si>
  <si>
    <t>2. 공공조달 원칙 및 방법</t>
  </si>
  <si>
    <t>1. 공공조달 원칙</t>
  </si>
  <si>
    <t>1. 공공조달 기본 원칙</t>
  </si>
  <si>
    <t>3-2_물품계약관리</t>
  </si>
  <si>
    <t>2. 공공조달 실행 원칙</t>
  </si>
  <si>
    <t>3-3_용역다수공급자계약관리</t>
  </si>
  <si>
    <t>2. 공공조달 유형</t>
  </si>
  <si>
    <t>1. 중앙집중형 공공조달</t>
  </si>
  <si>
    <t>3-4_공사계약관리</t>
  </si>
  <si>
    <t>2. 분산형 공공조달</t>
  </si>
  <si>
    <t>Temp</t>
  </si>
  <si>
    <t>3. 경쟁적 공공조달 방법</t>
  </si>
  <si>
    <t>1. 일반경쟁</t>
  </si>
  <si>
    <t>2. 제한경쟁</t>
  </si>
  <si>
    <t>3. 지명경쟁</t>
  </si>
  <si>
    <t>4. 비경쟁적 공공조달 방법</t>
  </si>
  <si>
    <t>1. 수의계약</t>
  </si>
  <si>
    <t>2. 소액구매</t>
  </si>
  <si>
    <t>3. 전자조달시스템</t>
  </si>
  <si>
    <t>1. 전자조달시스템 개요</t>
  </si>
  <si>
    <t>1. 전자조달시스템 개념</t>
  </si>
  <si>
    <t>2. 전자조달시스템 유형</t>
  </si>
  <si>
    <t>3. 전자조달시스템 운영환경</t>
  </si>
  <si>
    <t>4. 전자조달시스템 구성요소</t>
  </si>
  <si>
    <t>5. 전자조달시스템 기능</t>
  </si>
  <si>
    <t>6. 전자조달시스템 도입 성과</t>
  </si>
  <si>
    <t>2. 국가종합전자조달시스템(나라장터) 연계 계약 관리 지원시스템 개요</t>
  </si>
  <si>
    <t>1. 종합쇼핑몰 이용절차</t>
  </si>
  <si>
    <t>2. 혁신장터 활용 계약</t>
  </si>
  <si>
    <t>3. 벤처나라 활용 계약</t>
  </si>
  <si>
    <t>4. 디지털서비스몰 활용 계약</t>
  </si>
  <si>
    <t>5. 이음장터 활용 계약</t>
  </si>
  <si>
    <t>3. 목록정보시스템 개요</t>
  </si>
  <si>
    <t>1. 물품목록법령의 개요</t>
  </si>
  <si>
    <t>2. 목록정보시스템 이용 일반절차</t>
  </si>
  <si>
    <t>3. 목록정보시스템 활용 목록화 절차</t>
  </si>
  <si>
    <t>4. 목록정보시스템 활용 분류·품명·품목 관리 절차</t>
  </si>
  <si>
    <t>5. 목록정보시스템 활용 최신화 및 분류 정비</t>
  </si>
  <si>
    <t>6. 목록정보시스템 활용 분류체계 국제 표준화</t>
  </si>
  <si>
    <t>4. 전략적 공공조달</t>
  </si>
  <si>
    <t>1. 중소기업지원 조달</t>
  </si>
  <si>
    <t>1. 중소기업과 공공구매제도 이해</t>
  </si>
  <si>
    <t>2. 중소기업자간 경쟁제도 이해</t>
  </si>
  <si>
    <t>3. 공사용자재 직접구매제도 이해</t>
  </si>
  <si>
    <t>2. 녹색조달</t>
  </si>
  <si>
    <t>1. 공공조달의 환경적 지속가능성 개요</t>
  </si>
  <si>
    <t>2. 녹색제품 우선구매제도 이해</t>
  </si>
  <si>
    <t>3. 생애주기비용을 고려한 공공조달 제도 이해</t>
  </si>
  <si>
    <t>3. 혁신·기술개발 촉진조달</t>
  </si>
  <si>
    <t>1. 중소기업 기술개발제품 우선구매제도 이해</t>
  </si>
  <si>
    <t>2. 우수조달물품 지정제도의 이해</t>
  </si>
  <si>
    <t>3. 혁신제품 지정제도의 이해</t>
  </si>
  <si>
    <t>4. 사회적가치 지원 조달</t>
  </si>
  <si>
    <t>1. 장애인기업 우선구매제도 이해</t>
  </si>
  <si>
    <t>2. 중증장애인생산품 우선구매제도 이해</t>
  </si>
  <si>
    <t>3. 여성기업 우선구매제도 이해</t>
  </si>
  <si>
    <t>4. 사회적기업제품 우선구매제도 이해</t>
  </si>
  <si>
    <t>5. 공공조달과 사회적가치 및 이에스지(ESG)</t>
  </si>
  <si>
    <t>5. 공공조달법률 이해</t>
  </si>
  <si>
    <t>1. 공공계약 관련 민법 규정의 이해</t>
  </si>
  <si>
    <t>1. 계약의 성립 관련 규정</t>
  </si>
  <si>
    <t>2. 계약의 효력 관련 규정</t>
  </si>
  <si>
    <t>3. 계약의 해제·해지에 관한 규정</t>
  </si>
  <si>
    <t>4. 도급·위임에 관한 규정</t>
  </si>
  <si>
    <t>5. 화해에 관한 규정</t>
  </si>
  <si>
    <t>2. 공공계약(국가 및 지방) 법령의 이해</t>
  </si>
  <si>
    <t>1. 추정가격 및 예정가격 결정</t>
  </si>
  <si>
    <t>2. 계약의 방법에 관한 규정</t>
  </si>
  <si>
    <t>3. 입찰 및 낙찰 절차 규정</t>
  </si>
  <si>
    <t>4. 계약의 체결 및 이행 규정</t>
  </si>
  <si>
    <t>5. 이의신청과 분쟁조정</t>
  </si>
  <si>
    <t>3. 조달사업법령의 이해</t>
  </si>
  <si>
    <t>1. 공공조달의 정책기반</t>
  </si>
  <si>
    <t>2. 계약체결의 요청 및 방법</t>
  </si>
  <si>
    <t>3. 대금지급 규정</t>
  </si>
  <si>
    <t>4. 조달사업의 공정성</t>
  </si>
  <si>
    <t>5. 수요기관 및 조달사업의 지원</t>
  </si>
  <si>
    <t>4. 전자조달법령의 이해</t>
  </si>
  <si>
    <t>1. 전자적 공고의 방법 및 시기</t>
  </si>
  <si>
    <t>2. 전자적 형태의 입찰서 제출</t>
  </si>
  <si>
    <t>3. 전자공개수의계약</t>
  </si>
  <si>
    <t>4. 하도급 관리의 전자적 처리</t>
  </si>
  <si>
    <t>5. 전자조달시스템 이용·활용 제한</t>
  </si>
  <si>
    <t>5. 공기업·준정부기관 계약사무규칙</t>
  </si>
  <si>
    <t>1. 국제입찰 대상 공공조달계약 범위</t>
  </si>
  <si>
    <t>2. 중소기업자간 경쟁제품 구매위탁 의무 예외</t>
  </si>
  <si>
    <t>3. 수의계약 규정</t>
  </si>
  <si>
    <t>4. 의견 청취 및 심의절차</t>
  </si>
  <si>
    <t>5. 이의신청 규정</t>
  </si>
  <si>
    <t>6. 공정조달 관리</t>
  </si>
  <si>
    <t>1. 공공조달 법규 분쟁 및 해석</t>
  </si>
  <si>
    <t>1. 공공조달 분쟁조정</t>
  </si>
  <si>
    <t>2. 유권해석 및 감사사례</t>
  </si>
  <si>
    <t>3. 계약보증금 쟁점</t>
  </si>
  <si>
    <t>4. 부정당제재 처분 법리</t>
  </si>
  <si>
    <t>5. 허위서류 관련 쟁점</t>
  </si>
  <si>
    <t>2. 법규 위반시 제재</t>
  </si>
  <si>
    <t>1. 계약의 해제 및 해지</t>
  </si>
  <si>
    <t>2. 부정당업자 제재</t>
  </si>
  <si>
    <t>3. 불공정조달행위 제재</t>
  </si>
  <si>
    <t>4. 부당이득금 환수</t>
  </si>
  <si>
    <t>2. 공공조달계획 
수립 및 분석</t>
  </si>
  <si>
    <t>1. 공공조달계획</t>
  </si>
  <si>
    <t>1. 공공조달 수요 분석 및 계획</t>
  </si>
  <si>
    <t>1. 공급 대상물 수요정보 식별</t>
  </si>
  <si>
    <t>2. 수요정보 평가와 요구사항 분석</t>
  </si>
  <si>
    <t>3. 공급계획 및 일정 수립</t>
  </si>
  <si>
    <t>4. 비상 공급계획 수립</t>
  </si>
  <si>
    <t>2. 공공조달 적정성 분석</t>
  </si>
  <si>
    <t>1. 공급방법 적정성 분석</t>
  </si>
  <si>
    <t>2. 공급정보 적정성 분석</t>
  </si>
  <si>
    <t>3. 공급 대상물 조달시장 분석</t>
  </si>
  <si>
    <t>4. 공급역량분석</t>
  </si>
  <si>
    <t>3. 공공조달 비용 적정성 분석</t>
  </si>
  <si>
    <t>1. 공급 의사결정을 위한 비용분석</t>
  </si>
  <si>
    <t>2. 적정 공급비용 산정</t>
  </si>
  <si>
    <t>4. 기타 적정성 분석</t>
  </si>
  <si>
    <t>1. 공공조달 동향 모니터링을 통한 수요예측</t>
  </si>
  <si>
    <t>2. 다양한 공급방법의 장단점 분석</t>
  </si>
  <si>
    <t>3. 공급관리 및 위험분석</t>
  </si>
  <si>
    <t>2. 조달요구 응대 및 제안</t>
  </si>
  <si>
    <t>1. 조달요구 대처 절차</t>
  </si>
  <si>
    <t>1. 경쟁입찰참가자격 등록</t>
  </si>
  <si>
    <t>2. 수요기관의 정보요청(규격, 과업 및 예산 등)에 대한 문서 작성 및 제출</t>
  </si>
  <si>
    <t>3. 조달관련 입법·행정예고 검색 및 의견제시</t>
  </si>
  <si>
    <t>2. 사전규격공개 분석</t>
  </si>
  <si>
    <t>1. 과업내용 적정성 검토</t>
  </si>
  <si>
    <t>2. 사업예산 적정성 검토</t>
  </si>
  <si>
    <t>3. 당해 규격공개 관련 법규 준수 및 부합여부 검토</t>
  </si>
  <si>
    <t>4. 개선보완 필요사항에 대한 의견 제시 및 처리</t>
  </si>
  <si>
    <t>3. 입찰공고문 분석</t>
  </si>
  <si>
    <t>1. 공고 내용 중 오류 및 법령 위반 사안으로 정정 필요성 검토</t>
  </si>
  <si>
    <t>2. 입찰공고 내용 검토 및 분석</t>
  </si>
  <si>
    <t>3. 입찰보증금 제출방법</t>
  </si>
  <si>
    <t>4. 입찰·제안요청 설명</t>
  </si>
  <si>
    <t>1. 입찰설명회 참석</t>
  </si>
  <si>
    <t>2. 입찰 및 제안준비에 필요한 정보 식별 및 요청</t>
  </si>
  <si>
    <t>5. 입찰서 제출 및 개찰</t>
  </si>
  <si>
    <t>1. 입찰서 제출 방법</t>
  </si>
  <si>
    <t>2. 무효입찰 사유</t>
  </si>
  <si>
    <t>3. 개찰 및 낙찰 절차</t>
  </si>
  <si>
    <t>3. 입찰·제안평가 및 계약체결</t>
  </si>
  <si>
    <t>1. 입찰·제안평가 절차</t>
  </si>
  <si>
    <t>1. 일반·제한·지명 경쟁입찰 절차</t>
  </si>
  <si>
    <t>2. 수의계약 절차</t>
  </si>
  <si>
    <t>2. 평가위원회 및 이해충돌</t>
  </si>
  <si>
    <t>1. 입찰·낙찰 방법별 평가위원회 구성에 대한 이해</t>
  </si>
  <si>
    <t>2. 이해상충 평가위원에 대한 회피</t>
  </si>
  <si>
    <t>3. 평가위원 사전접촉 금지 등 공정한 평가를 위한 기준 지침 준수</t>
  </si>
  <si>
    <t>3. 계약의 협상</t>
  </si>
  <si>
    <t>1. 기술(규격) 적합자 및 우선협상대상자 이해</t>
  </si>
  <si>
    <t>2. 기술협상</t>
  </si>
  <si>
    <t>3. 가격협상</t>
  </si>
  <si>
    <t>4. 낙찰자 결정방법</t>
  </si>
  <si>
    <t>1. 적격심사 절차 및 낙찰자 결정</t>
  </si>
  <si>
    <t>2. 협상계약 절차 및 낙찰자 결정</t>
  </si>
  <si>
    <t>3. 희망수량경쟁입찰 절차 및 낙찰자 결정</t>
  </si>
  <si>
    <t>4. 종합심사낙찰제(시설공사 등) 절차 및 낙찰</t>
  </si>
  <si>
    <t>5. 계약법령상 낙찰요건 부합 여부</t>
  </si>
  <si>
    <t>5. 입찰결과 분석 및 이의제기</t>
  </si>
  <si>
    <t>1. 입찰·낙찰 과정 오류 및 문제점 분석</t>
  </si>
  <si>
    <t>2. 분석결과 문제점에 대한 이의제기</t>
  </si>
  <si>
    <t>3. 공공계약관리</t>
  </si>
  <si>
    <t>1. 계약관리 일반 절차</t>
  </si>
  <si>
    <t>1. 계약관리 계획</t>
  </si>
  <si>
    <t>1. 계약관리 원칙</t>
  </si>
  <si>
    <t>2. 계약관리 계획</t>
  </si>
  <si>
    <t>3. 계약체결 후 발주처와 착수협의</t>
  </si>
  <si>
    <t>4. 착수시점, 보고(점검)일정, 납품대상, 투입인력 등 계약이행 소요자원 투입(생산)계획</t>
  </si>
  <si>
    <t>5. 하도급계약 승인 및 변경 계획</t>
  </si>
  <si>
    <t>2. 계약변경 관리</t>
  </si>
  <si>
    <t>1. 변경계약 관리 일반절차</t>
  </si>
  <si>
    <t>2. 변경계약 절차 실행</t>
  </si>
  <si>
    <t>3. 계약해제·해지 절차 및 사후조치</t>
  </si>
  <si>
    <t>4. 손해배상 절차 및 사후조치</t>
  </si>
  <si>
    <t>5. 분쟁해결 절차</t>
  </si>
  <si>
    <t>3. 계약이행 관리</t>
  </si>
  <si>
    <t>1. 계약 대상물 공급(납품, 과업이행 및 시공 등) 일반절차</t>
  </si>
  <si>
    <t>2. 공급 계약조건 이행 점검</t>
  </si>
  <si>
    <t>3. 계약이행 및 조건 미이행, 오류 및 지연 관리</t>
  </si>
  <si>
    <t>4. 계약성과관리</t>
  </si>
  <si>
    <t>5. 계약상 위험 관리</t>
  </si>
  <si>
    <t>4. 계약종결 관리</t>
  </si>
  <si>
    <t>1. 납품검사·검수 절차</t>
  </si>
  <si>
    <t>2. 대금지급 절차</t>
  </si>
  <si>
    <t>3. 계약종결 절차</t>
  </si>
  <si>
    <t>4. 하자보증 및 사후관리 이행</t>
  </si>
  <si>
    <t>5. 입찰보증금, 계약보증금, 선급금보증금, 하자보수보증금, 매입채권 및 보험 관리</t>
  </si>
  <si>
    <t>6. 지체상금 부과</t>
  </si>
  <si>
    <t>2. 물품 계약관리</t>
  </si>
  <si>
    <t>1. 물품계약 일반절차 관리</t>
  </si>
  <si>
    <t>1. 물품(제조·공급) 입찰참가자격 등록</t>
  </si>
  <si>
    <t>2. 물품구매 입찰 공고서 작성 및 검토</t>
  </si>
  <si>
    <t>3. 물품구매 낙찰자결정 방법</t>
  </si>
  <si>
    <t>4. 소액수의계약 절차</t>
  </si>
  <si>
    <t>5. 외자구매계약 절차</t>
  </si>
  <si>
    <t>2. 물품계약 이행관리</t>
  </si>
  <si>
    <t>1. 공정, 품질 및 안전관리</t>
  </si>
  <si>
    <t>2. 설계변경 및 계약금액 조정</t>
  </si>
  <si>
    <t>3. 용역·다수공급자 계약 관리</t>
  </si>
  <si>
    <t>1. 용역계약 절차 및 이행관리</t>
  </si>
  <si>
    <t>1. 용역 입찰공고문 검토</t>
  </si>
  <si>
    <t>2. 제안서 작성</t>
  </si>
  <si>
    <t>3. 낙찰자 결정방법</t>
  </si>
  <si>
    <t>4. 제안서 평가 및 제안발표</t>
  </si>
  <si>
    <t>5. 협상계약 및 경쟁적대화 계약</t>
  </si>
  <si>
    <t>6. 용역적격심사</t>
  </si>
  <si>
    <t>7. e-발주시스템 활용</t>
  </si>
  <si>
    <t>2. 다수공급자계약(MAS) 절차 및 이행관리</t>
  </si>
  <si>
    <t>1. 국가종합전자조달시스템(나라장터) 종합쇼핑몰 활용</t>
  </si>
  <si>
    <t>2. 다수공급자계약 일반절차 이해</t>
  </si>
  <si>
    <t>3. 다수공급자계약 적격성 평가 및 사전심사</t>
  </si>
  <si>
    <t>4. 다수공급자계약 2단계경쟁</t>
  </si>
  <si>
    <t>5. 다수공급자계약 계약이행실적 평가</t>
  </si>
  <si>
    <t>6. 카탈로그계약 및 디지털서비스계약 절차</t>
  </si>
  <si>
    <t>4. 공사계약관리</t>
  </si>
  <si>
    <t>1. 공사계약 일반개요</t>
  </si>
  <si>
    <t>1. 건설산업기본법 이해</t>
  </si>
  <si>
    <t>2. 건설기술진흥법 이해</t>
  </si>
  <si>
    <t>3. 건설공사 발주 세부기준 이해</t>
  </si>
  <si>
    <t>2. 공사계약 일반절차 및 이행관리</t>
  </si>
  <si>
    <t>1. 공사 입찰 공고문 검토</t>
  </si>
  <si>
    <t>2. 공사 낙찰자 결정방법</t>
  </si>
  <si>
    <t>3. 입찰참가자격 사전심사(PQ)</t>
  </si>
  <si>
    <t>4. 공사 적격심사</t>
  </si>
  <si>
    <t>5. 공사 설계변경 및 계약금액 조정</t>
  </si>
  <si>
    <t>3. 공사계약 특화 절차 및 이행관리</t>
  </si>
  <si>
    <t>1. 공사 종합심사낙찰제 절차</t>
  </si>
  <si>
    <t>2. 일괄, 대안 및 기술제안입찰 절차</t>
  </si>
  <si>
    <t>3. 공사 시공관리 절차</t>
  </si>
  <si>
    <t>4. 기술용역 계약 절차</t>
  </si>
  <si>
    <t>5. 하도급관리</t>
  </si>
  <si>
    <t>6. 하도급대금 전자적 처리를 위한 지급시스템(하도급지킴이)</t>
  </si>
  <si>
    <t>공공조달과 법제도 이해 - 6. 공정조달 관리</t>
  </si>
  <si>
    <t>공공조달 계약 분쟁에서 국가계약분쟁조정위원회의 조정을 거쳐 당사자가 조정안을 수락했을 때 발생하는 법적 효력은?</t>
  </si>
  <si>
    <t>법원의 별도 확인 없이는 효력이 없다</t>
  </si>
  <si>
    <t>재판상 화해와 동일한 효력을 갖는다</t>
  </si>
  <si>
    <t>단순한 민사상 합의에 불과하다</t>
  </si>
  <si>
    <t>행정청 내부 참고자료로만 활용된다</t>
  </si>
  <si>
    <t>* 정답 (②): 조정안을 당사자가 수락하면 재판상 화해와 동일한 효력을 가져, 소송 없이도 확정판결과 같은 효력이 부여됨.</t>
  </si>
  <si>
    <t>국가계약법 제29조</t>
  </si>
  <si>
    <t>[상황] A사는 낙찰자 결정에 불만이 있어 국가계약분쟁조정위원회에 조정을 신청하려 한다. 이 위원회에 조정을 신청할 수 있는 사안으로 가장 적절한 것은?</t>
  </si>
  <si>
    <t>타 회사 간의 순수한 상거래 채권 분쟁</t>
  </si>
  <si>
    <t>계약과 무관한 친족 간 재산 상속 분쟁</t>
  </si>
  <si>
    <t>국가계약법의 적용을 받는 계약 과정에서 발생한 입찰·낙찰 관련 분쟁</t>
  </si>
  <si>
    <t>직원 개인의 이직 관련 근로계약 분쟁</t>
  </si>
  <si>
    <t>* 정답 (③): 국가계약분쟁조정위원회는 국가계약법 적용을 받는 계약 과정에서 발생한 분쟁(낙찰자결정, 계약금액조정, 제재처분 이의 등)을 조정 대상으로 하며, 계약과 무관한 사적 분쟁은 대상이 아님.</t>
  </si>
  <si>
    <t>국가계약법 제28조·제29조</t>
  </si>
  <si>
    <t>국가계약법과 조달사업법 각각에 대한 유권해석 소관을 비교한 설명으로 가장 옳은 것은?</t>
  </si>
  <si>
    <t>국가계약법은 소관 부처인 재정경제부가, 조달사업법은 소관 부처인 조달청이 각각 유권해석을 담당한다</t>
  </si>
  <si>
    <t>두 법 모두 조달청이 유권해석 권한을 가진다</t>
  </si>
  <si>
    <t>유권해석 권한은 법원에만 있고 행정부처에는 없다</t>
  </si>
  <si>
    <t>두 법 모두 감사원이 유권해석 권한을 가진다</t>
  </si>
  <si>
    <t>* 정답 (①): 각 법령의 유권해석은 해당 법령의 소관 부처가 담당하는 것이 원칙이며, 국가계약법은 재정경제부, 조달사업법은 조달청이 소관 부처임.</t>
  </si>
  <si>
    <t>[상황] 한 공공기관의 계약 업무 처리 과정에서 법규 위반 소지가 있다는 민원이 제기되어, 헌법기관인 감사기구가 직권으로 조사에 착수했다. 이 조사를 담당하는 기관으로 가장 적절한 것은?</t>
  </si>
  <si>
    <t>국무조정실</t>
  </si>
  <si>
    <t>국회 예산정책처</t>
  </si>
  <si>
    <t>감사원</t>
  </si>
  <si>
    <t>공정거래위원회</t>
  </si>
  <si>
    <t>* 정답 (③): 헌법기관인 감사원은 국가 및 법률이 정한 단체의 회계검사와 행정기관·공무원의 직무감찰을 담당하며, 계약업무의 위법·부당 여부를 조사해 시정을 요구할 수 있음.</t>
  </si>
  <si>
    <t>[상황] 계약상대자의 귀책사유로 계약이 해제되었다. 이때 뒤따르는 계약보증금 관련 조치로 가장 적절한 것은?</t>
  </si>
  <si>
    <t>납부된 계약보증금이 국고에 귀속될 수 있다</t>
  </si>
  <si>
    <t>납부된 계약보증금이 즉시 반환된다</t>
  </si>
  <si>
    <t>계약보증금은 자동으로 하자보수보증금으로 전환된다</t>
  </si>
  <si>
    <t>계약보증금 관련 규정은 적용되지 않는다</t>
  </si>
  <si>
    <t>* 정답 (①): 계약상대자의 귀책사유로 계약이 해제·해지되면, 계약이행 담보를 위해 납부한 계약보증금은 국고에 귀속될 수 있음.</t>
  </si>
  <si>
    <t>국가계약법 시행령 제52조</t>
  </si>
  <si>
    <t>계약보증금과 관련한 쟁점 중, 계약이 정상적으로 이행 완료된 경우의 처리로 가장 적절한 것은?</t>
  </si>
  <si>
    <t>국고에 귀속되는 것이 원칙이다</t>
  </si>
  <si>
    <t>계약상대자에게 반환되는 것이 원칙이다</t>
  </si>
  <si>
    <t>발주기관이 임의로 사용할 수 있다</t>
  </si>
  <si>
    <t>차기 계약의 입찰보증금으로 자동 전환된다</t>
  </si>
  <si>
    <t>* 정답 (②): 계약이 정상적으로 이행·완료되면 담보 목적이 소멸하므로 계약보증금은 계약상대자에게 반환되는 것이 원칙임.</t>
  </si>
  <si>
    <t>[상황] 계약담당공무원이 특정 업체에 대해 법령상 상한에 가까운 최장 기간의 부정당업자 제재를 부과하면서, 그 업체에게 사전에 의견을 제출할 기회를 전혀 주지 않았다. 이 처분에 대한 법원의 판단으로 가장 타당한 것은?</t>
  </si>
  <si>
    <t>처분청의 재량이므로 법원은 심사할 수 없어 그대로 유효하다</t>
  </si>
  <si>
    <t>의견 제출 기회는 법적으로 요구되지 않으므로 문제되지 않는다</t>
  </si>
  <si>
    <t>절차적 정당성이 결여되었거나 재량권 일탈·남용이 인정되면 위법하다고 판단해 취소될 수 있다</t>
  </si>
  <si>
    <t>제재 기간의 장단과 무관하게 항상 적법하다</t>
  </si>
  <si>
    <t>* 정답 (③): 부정당업자 제재는 국민의 권리를 제한하는 행정처분이므로, 의견 제출 기회 등 절차적 정당성이 결여되거나 재량권 일탈·남용이 인정되면 법원이 위법하다고 판단해 취소할 수 있음.</t>
  </si>
  <si>
    <t>부정당업자 제재 처분의 요건·절차에 대한 법원의 심사 태도로 가장 적절한 것은?</t>
  </si>
  <si>
    <t>제재 사유의 존부만 확인하고 절차는 심사하지 않는다</t>
  </si>
  <si>
    <t>처분청의 판단을 그대로 존중해 사실상 심사하지 않는다</t>
  </si>
  <si>
    <t>제재의 정도는 심사 대상에서 완전히 제외한다</t>
  </si>
  <si>
    <t>요건 해당 여부, 절차적 정당성, 제재 정도의 적정성을 종합적으로 심사한다</t>
  </si>
  <si>
    <t>* 정답 (④): 법원은 부정당업자 제재가 권리를 제한하는 행정처분이므로 요건·절차·비례원칙 등을 종합적으로 심사함.</t>
  </si>
  <si>
    <t>[상황] 낙찰자로 결정된 업체가 제출한 실적증명서가 허위로 작성된 사실이 계약체결 이후에 확인되었다. 이 경우 발주기관이 취할 수 있는 조치로 가장 적절한 것은?</t>
  </si>
  <si>
    <t>형사처벌만 가능하고 계약상 조치는 불가능하다</t>
  </si>
  <si>
    <t>계약의 해제·해지, 손해배상 청구, 부정당업자 제재 등의 조치를 검토할 수 있다</t>
  </si>
  <si>
    <t>허위서류 여부와 무관하게 계약을 그대로 유지해야 한다</t>
  </si>
  <si>
    <t>이미 계약이 체결되었으므로 아무 조치도 할 수 없다</t>
  </si>
  <si>
    <t>* 정답 (②): 허위서류로 낙찰·계약체결한 사실이 확인되면 계약의 해제·해지, 손해배상 청구, 부정당업자 제재 등이 함께 검토될 수 있음.</t>
  </si>
  <si>
    <t>국가계약법 시행령 제75조·제76조 등 관련 규정</t>
  </si>
  <si>
    <t>입찰참가자격 서류나 실적증명서 등을 허위로 작성해 제출하는 행위가 공공조달 계약질서에 미치는 영향으로 가장 적절한 것은?</t>
  </si>
  <si>
    <t>행정절차를 단순화하는 긍정적 효과가 있다</t>
  </si>
  <si>
    <t>허위서류라도 결과만 좋으면 문제되지 않는다</t>
  </si>
  <si>
    <t>다른 입찰참가자에게 아무런 영향을 주지 않는다</t>
  </si>
  <si>
    <t>공정한 경쟁을 저해하고 계약이행능력 심사의 신뢰성을 훼손한다</t>
  </si>
  <si>
    <t>* 정답 (④): 허위서류 제출은 계약이행능력 심사의 전제 자체를 왜곡해 공정한 경쟁을 저해하므로 엄격히 다뤄짐.</t>
  </si>
  <si>
    <t>계약상대자의 귀책사유로 계약이 해제되는 경우와 발주기관 사정으로 계약이 해지되는 경우를 비교한 설명으로 가장 적절한 것은?</t>
  </si>
  <si>
    <t>귀책사유와 무관하게 처리 결과는 동일하다</t>
  </si>
  <si>
    <t>전자는 부정당업자 제재 등 불이익 조치가 뒤따를 수 있으나, 후자는 계약상대자에게 불이익이 가지 않는 방향으로 처리된다</t>
  </si>
  <si>
    <t>두 경우 모두 계약상대자에게 동일한 불이익이 발생한다</t>
  </si>
  <si>
    <t>발주기관 사정으로 인한 해지 시에도 항상 부정당업자로 제재된다</t>
  </si>
  <si>
    <t>* 정답 (②): 계약상대자 귀책사유로 인한 해제는 보증금 국고귀속·부정당업자 제재 등 불이익이 따르지만, 발주기관 사정으로 인한 해지는 계약상대자에게 불이익이 가지 않도록 처리되는 것이 원칙임.</t>
  </si>
  <si>
    <t>국가계약법 시행령 제75조·제76조</t>
  </si>
  <si>
    <t>계약 해제·해지 시 이미 이행된 부분에 대한 처리로 가장 적절한 것은?</t>
  </si>
  <si>
    <t>이미 이행된 부분에 대해서는 정산해 대가를 지급하는 것이 원칙이다</t>
  </si>
  <si>
    <t>이미 이행된 부분도 전부 무효로 처리한다</t>
  </si>
  <si>
    <t>발주기관이 임의로 지급 여부를 정한다</t>
  </si>
  <si>
    <t>귀책사유와 무관하게 대가를 전혀 지급하지 않는다</t>
  </si>
  <si>
    <t>* 정답 (①): 계약이 해제·해지되더라도 이미 이행된 부분에 대해서는 정산 절차를 거쳐 대가를 지급하는 것이 원칙임.</t>
  </si>
  <si>
    <t>[상황] B사는 X기관과의 계약에서 부정당업자로 제재를 받았다. 이후 B사가 Y기관이 발주하는 별도의 입찰에 참가하려 할 때의 효력으로 가장 적절한 것은?</t>
  </si>
  <si>
    <t>제재 효력은 같은 지역의 기관에만 미친다</t>
  </si>
  <si>
    <t>X기관 발주 입찰에서만 제한되고 Y기관 입찰 참가에는 영향이 없다</t>
  </si>
  <si>
    <t>국가계약법 적용을 받는 공공기관이라면 Y기관의 입찰 참가도 제한될 수 있다</t>
  </si>
  <si>
    <t>제재 효력은 발주기관이 명시적으로 통보한 기관에만 미친다</t>
  </si>
  <si>
    <t>* 정답 (③): 부정당업자 제재는 특정 발주기관에 한정되지 않고, 국가계약법의 적용을 받는 모든 공공기관의 입찰 참가를 제한하는 효력을 가짐.</t>
  </si>
  <si>
    <t>국가계약법 제27조</t>
  </si>
  <si>
    <t>다음 조치 중 성격이 나머지 셋과 가장 다른 하나는?</t>
  </si>
  <si>
    <t>불공정 조달행위에 대해 과징금을 부과하는 것</t>
  </si>
  <si>
    <t>계약 위반에 따른 손해를 배상받기 위해 민사소송을 제기하는 것</t>
  </si>
  <si>
    <t>계약보증금을 국고에 귀속시키는 것</t>
  </si>
  <si>
    <t>부정당업자로 지정해 향후 입찰참가자격을 제한하는 것</t>
  </si>
  <si>
    <t>* 정답 (②): 손해배상을 구하는 민사소송은 계약당사자 간 채무불이행에 대한 사법적 구제절차이고, 나머지는 조달질서 유지를 위해 행정적으로 부과되는 제재의 성격을 가짐.</t>
  </si>
  <si>
    <t>[상황] 계약담당공무원 C는 다음 네 가지 행위 중 하나만 실제로 계약관리 업무에서 정당하게 허용되는 행위임을 알고 있다. 허용되는 행위로 가장 적절한 것은?</t>
  </si>
  <si>
    <t>특정 업체만 충족 가능하도록 규격을 좁게 설정하는 행위</t>
  </si>
  <si>
    <t>법령을 위반해 특정인에게만 입찰참가자격을 부여하는 행위</t>
  </si>
  <si>
    <t>조달사업의 공정성을 해치는 것으로 대통령령이 정하는 그 밖의 행위를 하는 행위</t>
  </si>
  <si>
    <t>계약조건에 명시된 기준에 따라 이행지체에 대한 지체상금을 부과하는 행위</t>
  </si>
  <si>
    <t>* 정답 (④): 계약조건에 따른 지체상금 부과는 정당한 계약관리 행위이며, 나머지는 조달사업법상 금지되는 불공정 조달행위의 예시에 해당함.</t>
  </si>
  <si>
    <t>조달사업에 관한 법률 제22조</t>
  </si>
  <si>
    <t>불공정 조달행위 신고에 따른 조달청장의 조사 결과, 위반 사실이 확인된 경우 취할 수 있는 조치로 가장 거리가 먼 것은?</t>
  </si>
  <si>
    <t>관계 기관에 관련 공무원의 징계를 요구하는 것</t>
  </si>
  <si>
    <t>수사기관에 고발하거나 수사를 의뢰하는 것</t>
  </si>
  <si>
    <t>위반 사실에 대한 시정조치를 명하는 것</t>
  </si>
  <si>
    <t>조달청장이 직접 재판을 진행해 형을 선고하는 것</t>
  </si>
  <si>
    <t>* 정답 (④): 조달청장은 시정조치 명령, 징계 요구, 필요시 수사기관에 고발·수사의뢰는 할 수 있으나, 재판을 직접 진행해 형을 선고하는 사법권은 없음.</t>
  </si>
  <si>
    <t>[상황] D사가 다른 업체와 담합해 입찰에 참여한 사실이 적발되었다. D사가 받게 될 결과로 가장 거리가 먼 것은?</t>
  </si>
  <si>
    <t>그 공로를 인정받아 우수조달물품으로 신규 지정된다</t>
  </si>
  <si>
    <t>공정거래위원회로부터 과징금을 부과받을 수 있다</t>
  </si>
  <si>
    <t>부정당업자로 지정되어 입찰참가자격이 제한된다</t>
  </si>
  <si>
    <t>관련 임직원이 형사처벌을 받을 수 있다</t>
  </si>
  <si>
    <t>* 정답 (①): 담합은 불법행위로 각종 제재의 대상이 될 뿐, 오히려 이를 이유로 우수조달물품으로 신규 지정되는 일은 있을 수 없으며 기존 지정도 취소·제한될 수 있음.</t>
  </si>
  <si>
    <t>[상황] 계약상대자가 관계 법령을 위반해 부당한 방법으로 계약금액을 초과 지급받은 사실이 확인되었다. 이 경우 발주기관이 취할 수 있는 조치로 가장 적절한 것은?</t>
  </si>
  <si>
    <t>부당이득에 해당하는 금액을 환수하는 절차를 진행할 수 있다</t>
  </si>
  <si>
    <t>계약상대자의 향후 실적으로만 반영한다</t>
  </si>
  <si>
    <t>초과 지급된 금액을 그대로 인정하고 넘어간다</t>
  </si>
  <si>
    <t>다음 계약에서 자동으로 상계 처리된다</t>
  </si>
  <si>
    <t>* 정답 (①): 부당한 방법으로 초과 지급받은 금액이 확인되면, 발주기관은 이를 부당이득으로 보아 환수하는 절차를 진행할 수 있음.</t>
  </si>
  <si>
    <t>부당이득금 환수 제도의 취지로 가장 적절한 것은?</t>
  </si>
  <si>
    <t>계약상대자에게 최대한의 이익을 보장하기 위해</t>
  </si>
  <si>
    <t>행정절차를 신속하게 종결하기 위해</t>
  </si>
  <si>
    <t>법령을 위반해 부당하게 얻은 이익을 원상회복시켜 조달질서의 공정성을 확보하기 위해</t>
  </si>
  <si>
    <t>발주기관의 예산을 늘리기 위해</t>
  </si>
  <si>
    <t>* 정답 (③): 부당이득금 환수는 위법·부당한 방법으로 얻은 이익을 원상회복시켜 조달질서의 공정성을 확보하려는 취지임.</t>
  </si>
  <si>
    <t>정부계약 이행 과정에서 뇌물수수나 조세포탈 등으로 유죄 판결이 확정된 자에 대하여 입찰참가자격을 제한하는 경우, 판결 확정일로부터 몇 년이 경과해야 참가가 허용되는가?</t>
  </si>
  <si>
    <t>유죄 판결 확정일로부터 2년 경과</t>
  </si>
  <si>
    <t>유죄 판결 확정일로부터 3년 경과</t>
  </si>
  <si>
    <t>유죄 판결 확정일로부터 5년 경과</t>
  </si>
  <si>
    <t>유죄 판결 확정일로부터 10년 경과</t>
  </si>
  <si>
    <t>* 정답 (①): 조세포탈 등으로 형벌을 받은 자는 해당 유죄 판결이 확정된 날부터 '2년'이 지나야만 공공기관 입찰에 다시 참여할 수 있는 자격을 회복합니다.</t>
  </si>
  <si>
    <t>국가계약법 제27조의5</t>
  </si>
  <si>
    <t>계약상대자의 귀책사유로 인한 계약의 해제·해지에 대한 설명으로 가장 올바른 것은?</t>
  </si>
  <si>
    <t>청렴서약서 내용을 중대하게 위반한 사실이 확인되더라도, 계약이 이미 이행 중이라면 해당 계약을 도중에 해제하거나 해지할 법적 근거는 없다.</t>
  </si>
  <si>
    <t>지체상금이 계약금액의 10% 이상 발생했음에도 발주기관이 계약을 해제하지 않을 경우, 기존 계약보증금은 즉시 전액 환급 처리해야 한다.</t>
  </si>
  <si>
    <t>입찰 과정에서 거짓 서류를 제출하여 낙찰받은 사실이 적발되더라도 이미 정상적으로 계약이 체결되었다면 이를 소급하여 해제할 수 없다.</t>
  </si>
  <si>
    <t>계약 해제 또는 해지 조치가 선행되지 않고서는 단지 정부가 필요하다는 이유만으로 계약상대자의 계약보증금을 단독으로 국고에 귀속시킬 수 없다.</t>
  </si>
  <si>
    <t>* 정답 (④): 계약보증금의 국고 귀속은 '계약 해제/해지' 사유가 발생하여 해당 행정 조치를 취할 때 수반되는 것이므로, 원인이 되는 해제·해지 조치 없이는 보증금만 따로 귀속시킬 수 없습니다. (오답 노트: ① 법 제5조의3에 따라 청렴서약서 위반 시 계약 해제·해지 가능, ② 시행령 제51조에 따라 계약보증금을 '추가로 납부'하게 해야 함, ③ 재경부 계약예규 및 지방계약법 제30조의2 제1항 제3호에 따라 거짓 서류 제출 시 계약 체결 후라도 명백한 해제·해지 사유임)</t>
  </si>
  <si>
    <t>「국가계약법」 제5조의3 및 동법 시행령 제51조, 제75조, 지방계약법 제30조의2</t>
  </si>
  <si>
    <t>공정경쟁 질서 확립을 위한 부정당업자의 입찰참가자격 제한 제도에 대한 설명으로 가장 올바른 것은?</t>
  </si>
  <si>
    <t>사용인(직원)이 부정행위를 저지른 경우, 대표자가 위반행위를 방지하기 위해 상당한 주의와 감독을 기울였음을 입증하더라도 대표자의 자격을 무조건 제한해야 한다.</t>
  </si>
  <si>
    <t>부정당업자 제재 처분을 받아 입찰참가자격이 제한된 업체는 경쟁입찰뿐만 아니라 예외적인 수의계약 체결 대상에서도 원천적으로 배제된다.</t>
  </si>
  <si>
    <t>국가기관이 부정당업자의 입찰참가자격을 제한할 때는 신속한 행정 처리를 위해 계약심의위원회의 자문 절차를 전면 생략하는 것이 원칙이다.</t>
  </si>
  <si>
    <t>담합이나 뇌물 제공 등 중대한 부정행위라도 처분 시효 규정에 따라 해당 행위 종료 후 3년만 경과하면 입찰 참가자격을 제한할 수 없다.</t>
  </si>
  <si>
    <t>* 정답 (②): 부정당업자로 지정되어 제재 기간 중에 있는 업체는 경쟁입찰 참가 자격이 박탈될 뿐만 아니라, 국가계약법령상 예외적인 '수의계약' 대상자에서도 제외되어 공공조달 시장 진입이 전면 차단됩니다. (오답 노트: ① 법 제27조 제1항 단서에 따라 상당한 주의와 감독을 게을리하지 않은 경우 양벌규정에서 면책됨, ③ 자문(심의)을 생략하는 것이 아니라 원칙적으로 계약심의위원회의 심의를 거쳐야 함, ④ 처분 제척기간은 원칙적으로 5년이며 담합 및 뇌물 제공 등은 7년임)</t>
  </si>
  <si>
    <t>「국가계약법」 제27조 및 동법 시행령 제76조</t>
  </si>
  <si>
    <t>부정당업자 제재 처분의 효력 범위 및 절차에 대한 설명으로 가장 올바른 것은?</t>
  </si>
  <si>
    <t>부정당업자 제재 처분은 처분청의 관할과 무관하게 통합되어, 다른 모든 중앙관서 및 지방자치단체 등 공공부문 전체에 그 효력이 미친다.</t>
  </si>
  <si>
    <t>발주기관이 특정 업체의 입찰참가자격을 제한한 경우, 해당 제한 내용은 별도 전산망이 아닌 기관 내부 게시판에만 15일간 공지하면 된다.</t>
  </si>
  <si>
    <t>공동계약에 참여한 공동수급체 중 1인이 제재 사유를 유발한 경우, 연대책임을 물어 원인 제공 여부와 무관하게 구성원 전원의 자격을 즉시 제한해야 한다.</t>
  </si>
  <si>
    <t>법인이 공공조달 입찰 과정에서 부정당업자 제재를 받은 경우, 그 처분의 법적 효력은 법인에만 미치며 해당 행위를 직접 지시한 대표자 개인에게는 적용되지 않는다.</t>
  </si>
  <si>
    <t>* 정답 (①): A라는 중앙관서나 지자체에서 부정당업자 제재를 내리더라도 그 처분은 통합시스템을 통해 연계되어, 전국 모든 공공기관, 지자체, 공기업 및 준정부기관의 입찰에 참여할 수 없게 됩니다.</t>
  </si>
  <si>
    <t>「국가계약법 시행령」 제76조</t>
  </si>
  <si>
    <t>입찰참가자격 제한 처분에 갈음하여 부과되는 과징금 제도에 대한 설명으로 가장 올바른 것은?</t>
  </si>
  <si>
    <t>부과된 과징금을 납부 기한까지 미납할 경우, 발주기관의 장은 국세징수법이 아닌 별도의 민사소송을 통해서만 체납액을 강제 회수할 수 있다.</t>
  </si>
  <si>
    <t>입찰참가자격 제한에 갈음하여 부과된 과징금은 업체의 자금 경색 등 어떠한 사유로도 납부 기한을 연장하거나 분할하여 납부할 수 없다.</t>
  </si>
  <si>
    <t>과징금은 단순히 계약금액의 10%로 일괄 부과되는 것이 아니라, 위반 행위의 경중에 따라 계약금액의 100분의 30 이내에서 세부 기준에 맞추어 산정된다.</t>
  </si>
  <si>
    <t>부정당업자가 대체 부과된 과징금을 성실히 전액 납부하더라도, 원래 부과받은 입찰참가자격 제한 기간은 취소되지 않고 중복 적용된다.</t>
  </si>
  <si>
    <t>* 정답 (③): 과징금은 위반 행위의 종류와 경중에 따라 계약금액의 10% 단위로 고정되는 것이 아니라, 법정 산정 기준에 따라 계약금액의 100분의 30 이하(최대 한도) 내에서 차등 산정하여 부과됩니다. (오답 노트: ① 과징금 미납 시 별도 민사소송이 아닌 '국세 체납처분의 예'에 따라 강제 징수함(법 제27조의2), ② 재해나 자금 경색 등 일정 요건 충족 시 납부기한 연장 및 분할납부가 가능함(시행령 제76조의2), ④ 과징금은 입찰참가자격 제한 처분에 '갈음하여(대신하여)' 부과하는 것이므로 자격 제한과 중복 적용되지 않음)</t>
  </si>
  <si>
    <t>「국가계약법」 제27조의2 및 동법 시행령 제76조의2</t>
  </si>
  <si>
    <t>국가계약분쟁조정위원회에 대한 설명으로 옳지 않은 것은?</t>
  </si>
  <si>
    <t>「국가계약법」 제29조에 근거하여 설치된다.</t>
  </si>
  <si>
    <t>각 중앙관서에 설치되어 계약 관련 분쟁을 조정한다.</t>
  </si>
  <si>
    <t>조정 성립 시 재판상 화해와 동일한 효력을 가진다.</t>
  </si>
  <si>
    <t>이미 소송이 진행 중인 사안에 대해서도 조정 신청이 가능하다.</t>
  </si>
  <si>
    <t>* 정답 (④): 「국가계약법 시행령」 제101조에 따라 이미 소송이 계속 중이거나 분쟁조정이 성립된 사항에 대해서는 조정 신청이 제한된다.</t>
  </si>
  <si>
    <t>법령 해석의 효력 순위가 올바르게 나열된 것은?</t>
  </si>
  <si>
    <t>행정해석 &gt; 정부유권해석 &gt; 사법해석</t>
  </si>
  <si>
    <t>정부유권해석 &gt; 사법해석 &gt; 행정해석</t>
  </si>
  <si>
    <t>사법해석 &gt; 정부유권해석 &gt; 행정해석</t>
  </si>
  <si>
    <t>사법해석 = 정부유권해석 &gt; 행정해석</t>
  </si>
  <si>
    <t>* 정답 (③): 법원의 사법해석이 가장 우선하며, 법제처의 정부유권해석이 개별 행정기관의 행정해석보다 상위의 효력을 가진다.</t>
  </si>
  <si>
    <t>지체상금이 계약보증금 상당액에 달한 경우의 처리로 옳은 것은?</t>
  </si>
  <si>
    <t>지체상금이 계약보증금에 도달하면 자동으로 계약이 해제된다.</t>
  </si>
  <si>
    <t>이행 가능성이 있으면 추가 계약보증금을 징수하여 계약을 유지할 수 있다.</t>
  </si>
  <si>
    <t>발주기관이 별도의 판단 없이 반드시 해제·해지해야 한다.</t>
  </si>
  <si>
    <t>지체상금이 계약보증금에 도달해도 계약 해제·해지 사유에 해당하지 않는다.</t>
  </si>
  <si>
    <t>* 정답 (②): 「국가계약법 시행령」 제75조에 따라 지체상금이 계약보증금 상당액에 달하더라도, 이행 가능성과 유지 필요성이 있으면 추가 계약보증금 징수 후 계약 유지가 가능하다.</t>
  </si>
  <si>
    <t>부정당업자 제재와 적격심사의 관계에 대한 설명으로 옳은 것은?</t>
  </si>
  <si>
    <t>부정당업자 제재 사유에 해당하면 적격심사 대상에서 즉시 배제한다.</t>
  </si>
  <si>
    <t>적격심사와 부정당업자 제재는 별개 제도이므로 제재 확정 전 임의 배제 불가</t>
  </si>
  <si>
    <t>부정당업자 제재 처분이 확정되면 소급하여 적격심사 결과를 무효로 한다.</t>
  </si>
  <si>
    <t>적격심사 과정에서 부정당업자 제재 사유 발견 시 제제가 자동 확정된다.</t>
  </si>
  <si>
    <t>* 정답 (②): 적격심사는 낙찰자를 결정하기 위한 별도의 평가절차이고, 부정당업자 제재는 입찰 참가 자격을 제한하는 행정처분으로서 양자는 별개의 제도이다. 따라서 제재 확정 전 임의 배제는 불가하다.</t>
  </si>
  <si>
    <t>허위실적 서류를 제출하여 낙찰받은 자에 대한 조치로 옳은 것은?</t>
  </si>
  <si>
    <t>허위 실적을 제외해도 적격심사 기준을 충족하면 제재 없이 계약 유지</t>
  </si>
  <si>
    <t>허위서류 제출 자체가 계약 해제 사유이며 부정당업자 제재도 가능하나, 계약보증금 국고 귀속은 불가</t>
  </si>
  <si>
    <t>계약 해제, 부정당업자 제재, 계약보증금 국고 귀속이 모두 가능</t>
  </si>
  <si>
    <t>허위서류 제출이 고의가 아닌 단순 실수인 경우 시정 기회를 부여한다.</t>
  </si>
  <si>
    <t>* 정답 (③): 허위서류 제출 자체가 계약 해제 및 부정당업자 제재 사유에 해당하며(심사 결과 영향·고의 여부 불문), 이는 계약상대자의 귀책사유(거짓이나 그 밖의 부정한 방법으로 계약 체결)에 따른 계약 해제이므로 계약보증금 역시 국고에 귀속된다.</t>
  </si>
  <si>
    <t>공공조달 법규 분쟁 및 해석의 기본 개념/원칙으로 가장 적절한 것은?</t>
  </si>
  <si>
    <t>기준·절차를 사전에 명확히 하고 동일하게 적용하여 공정성과 투명성을 확보한다.</t>
  </si>
  <si>
    <t>구두 합의가 문서보다 우선한다.</t>
  </si>
  <si>
    <t>상황에 따라 사후에 기준을 바꾸어도 무방하다.</t>
  </si>
  <si>
    <t>담당자 편의에 따라 공개·기록을 생략할 수 있다.</t>
  </si>
  <si>
    <t>* 정답 (①): 원칙(사전확정·공개·기록·동일적용)은 감사·분쟁 리스크를 줄이는 핵심이다.</t>
  </si>
  <si>
    <t>다음 중 공공조달 법규 분쟁 및 해석 관련 실무통제(리스크 관리)로 가장 적절한 것은?</t>
  </si>
  <si>
    <t>요구사항·평가기준·검수기준·변경절차를 문서화하고 이해관계자에게 사전 공유한다.</t>
  </si>
  <si>
    <t>검수는 생략하고 하자 발생 시 추후 협의한다.</t>
  </si>
  <si>
    <t>계약조건은 낙찰자와 구두로만 정한다.</t>
  </si>
  <si>
    <t>평가기준은 입찰 마감 후 필요에 따라 조정한다.</t>
  </si>
  <si>
    <t>* 정답 (①): 문서화+사전공유는 분쟁 예방, 성과관리, 책임소재 명확화에 가장 효과적이다.</t>
  </si>
  <si>
    <t>다음 중 공공조달 법규 분쟁 및 해석에 관한 설명으로 옳은 것은?</t>
  </si>
  <si>
    <t>특정 업체를 지명하고 동등 이상 허용 여부는 사후 결정한다.</t>
  </si>
  <si>
    <t>평가위원이 아닌 담당자 1인이 임의로 점수를 결정한다.</t>
  </si>
  <si>
    <t>긴급을 이유로 공고·기록 없이 구두로 진행한다.</t>
  </si>
  <si>
    <t>요구사항·평가기준·검수기준을 명확히 하고, 변경 발생 시 기록 기반으로 절차에 따라 처리한다.</t>
  </si>
  <si>
    <t>* 정답 (④): 절차 준수와 기록(근거)은 공공조달에서 필수 요건이다.</t>
  </si>
  <si>
    <t>행정심판과 행정소송의 관계에 대한 설명으로 옳은 것은?</t>
  </si>
  <si>
    <t>행정심판은 행정소송의 필수 전치절차이다.</t>
  </si>
  <si>
    <t>행정심판과 행정소송은 독립적인 구제수단이다.</t>
  </si>
  <si>
    <t>행정소송 제기 후 행정심판을 청구할 수 있다.</t>
  </si>
  <si>
    <t>행정심판 인용 결정은 법원 판결과 동일하다.</t>
  </si>
  <si>
    <t>* 정답 (②): 원칙적으로 행정심판과 행정소송은 독립적 구제수단이나, 법령에서 전치절차로 규정하는 경우도 있다.</t>
  </si>
  <si>
    <t>재정경제부 예규·고시의 법적 성격으로 옳은 것은?</t>
  </si>
  <si>
    <t>법률과 동일한 효력을 가진다.</t>
  </si>
  <si>
    <t>하위 행정규칙으로 법률에 위반할 수 없다.</t>
  </si>
  <si>
    <t>법원 판결보다 우선한다.</t>
  </si>
  <si>
    <t>지방자치단체에 강제력이 없다.</t>
  </si>
  <si>
    <t>* 정답 (②): 예규·고시는 행정규칙으로 법률·시행령보다 하위에 있으며 법률에 위반되는 내용을 정할 수 없다.</t>
  </si>
  <si>
    <t>국가계약분쟁조정위원회에 분쟁조정을 신청할 수 있는 자로 옳은 것은?</t>
  </si>
  <si>
    <t>발주기관만 신청 가능</t>
  </si>
  <si>
    <t>조달기업만 신청 가능</t>
  </si>
  <si>
    <t>발주기관과 조달기업 모두 신청 가능</t>
  </si>
  <si>
    <t>감사원이 신청한다.</t>
  </si>
  <si>
    <t>* 정답 (③): 「국가계약법」 제29조에 따라 계약의 당사자인 발주기관과 계약 상대방 모두 조정을 신청할 수 있다.</t>
  </si>
  <si>
    <t>공공조달에서 '유권해석'의 의미로 가장 적절한 것은?</t>
  </si>
  <si>
    <t>법원이 내리는 판결</t>
  </si>
  <si>
    <t>법령 해석 권한이 있는 기관이 내리는 공식 법령 해석</t>
  </si>
  <si>
    <t>감사원의 감사 결과</t>
  </si>
  <si>
    <t>계약 당사자 간의 합의</t>
  </si>
  <si>
    <t>* 정답 (②): 유권해석은 주무부처(재정경제부 등)가 법령의 의미·적용 범위에 대해 내리는 공식적 해석이다.</t>
  </si>
  <si>
    <t>공공조달 분쟁 예방을 위한 실무 통제로 가장 적절한 것은?</t>
  </si>
  <si>
    <t>분쟁 발생 후 소송으로 해결</t>
  </si>
  <si>
    <t>입찰 전 적격성 기준·평가기준을 명확히 문서화하여 공개</t>
  </si>
  <si>
    <t>담당자 임의 판단으로 내부 해결</t>
  </si>
  <si>
    <t>계약서 없이 구두 합의로 진행</t>
  </si>
  <si>
    <t>* 정답 (②): 공공조달 분쟁의 가장 효과적인 예방은 입찰 전에 기준을 명확히 문서화하고 공개하는 것이다.</t>
  </si>
  <si>
    <t>계약 이의제기 처리 절차로 옳은 것은?</t>
  </si>
  <si>
    <t>이의제기 즉시 계약 무효</t>
  </si>
  <si>
    <t>발주기관이 검토 후 처리 결과를 통보</t>
  </si>
  <si>
    <t>이의제기 시 절차를 처음부터 재시작</t>
  </si>
  <si>
    <t>이의제기는 법원에만 제기 가능</t>
  </si>
  <si>
    <t>* 정답 (②): 이의제기가 있는 경우 발주기관은 내용을 검토하고 처리 결과를 이의 제기자에게 서면으로 통보해야 한다.</t>
  </si>
  <si>
    <t>공공조달에서 클레임과 분쟁의 관계로 옳은 것은?</t>
  </si>
  <si>
    <t>클레임과 분쟁은 동일한 개념이다.</t>
  </si>
  <si>
    <t>클레임은 일방적 요구로 시작되며 협의 실패 시 분쟁으로 발전한다.</t>
  </si>
  <si>
    <t>분쟁이 먼저 발생하고 이후 클레임이 제기된다.</t>
  </si>
  <si>
    <t>공공조달에서 클레임은 법적으로 금지된다.</t>
  </si>
  <si>
    <t>* 정답 (②): 클레임은 당사자 일방이 권리·보상을 요구하는 행위이며, 협의 실패 시 분쟁으로 발전하여 조정·중재·소송으로 이어진다.</t>
  </si>
  <si>
    <t>「국가계약법」상 이의신청 제도의 절차에 관한 설명으로 옳은 것은?</t>
  </si>
  <si>
    <t>이의신청은 이의신청 원인이 되는 행위가 있은 날부터 15일 이내 또는 그 행위가 있음을 안 날부터 10일 이내에 해당 중앙관서의 장에게 해야 한다.</t>
  </si>
  <si>
    <t>이의신청은 행위가 있은 날부터 1년 이내에 언제든지 가능하다.</t>
  </si>
  <si>
    <t>이의신청은 반드시 서면이 아닌 구두로만 가능하다.</t>
  </si>
  <si>
    <t>이의신청은 발주기관이 아닌 법원에 직접 제기한다.</t>
  </si>
  <si>
    <t>* 정답 (①): 「국가계약법」상 이의신청은 ① 이의신청 원인 행위가 있은 날부터 15일 이내, ② 그 행위가 있음을 안 날부터 10일 이내 중 이른 시점까지 해당 중앙관서의 장에게 제기해야 한다. 기한을 도과하면 이의신청권이 소멸된다.</t>
  </si>
  <si>
    <t>국가계약분쟁조정위원회에 관한 설명으로 옳지 않은 것은?</t>
  </si>
  <si>
    <t>「국가계약법」에 근거하여 재정경제부에 설치되는 분쟁조정 기구이다.</t>
  </si>
  <si>
    <t>이의신청 결과에 이의가 있는 자는 일정 기한 내 위원회에 재심을 청구할 수 있다.</t>
  </si>
  <si>
    <t>위원회의 조정안은 당사자가 수락하면 합의의 효력을 가진다.</t>
  </si>
  <si>
    <t>위원회는 대법원이 주관하는 사법 기구이다.</t>
  </si>
  <si>
    <t>* 정답 (④): 국가계약분쟁조정위원회는 재정경제부(또는 관련 중앙행정기관)에 설치되며, 대법원이 주관하지 않는다. 행정부 내부의 분쟁조정 기구로, 사법 기구인 법원과는 구별된다.</t>
  </si>
  <si>
    <t>공공조달 분쟁 해결 수단의 다층 구조에 관한 설명으로 옳은 것은?</t>
  </si>
  <si>
    <t>이의신청 → 분쟁조정위원회 재심 → 행정심판 → 행정소송 → 민사소송 등 다단계 구제 수단이 존재한다.</t>
  </si>
  <si>
    <t>행정쟁송 외에는 어떠한 분쟁 해결 수단도 활용할 수 없다.</t>
  </si>
  <si>
    <t>분쟁 해결은 반드시 단계 순서를 지켜야 하며 동시 진행은 불가능하다.</t>
  </si>
  <si>
    <t>공공조달 분쟁은 모두 헌법재판소가 최종 판단한다.</t>
  </si>
  <si>
    <t>* 정답 (①): 공공조달 분쟁 해결은 ① 이의신청, ② 분쟁조정위원회 재심, ③ 행정심판·행정소송, ④ 민사소송, ⑤ 중재 등 다층적 수단이 마련되어 있으며, 사안의 성격에 따라 적절한 절차를 선택할 수 있다.</t>
  </si>
  <si>
    <t>공공조달 법령 유권해석의 효력에 관한 설명으로 옳지 않은 것은?</t>
  </si>
  <si>
    <t>「국가계약법」은 재정경제부, 「지방계약법」은 행정안전부가 유권해석 권한을 가진다.</t>
  </si>
  <si>
    <t>법제처는 정부 내부의 통일성 있는 법령해석 지침을 제시하는 제도를 운영한다.</t>
  </si>
  <si>
    <t>행정부의 법령해석은 법원 확정판결과 같은 법적 기속력을 갖는다.</t>
  </si>
  <si>
    <t>법령해석은 해석 당시의 법령을 대상으로 한 것이므로 이후 법령 개정 시 그 내용이 현행 법령과 맞지 않을 수 있다.</t>
  </si>
  <si>
    <t>* 정답 (③): 행정부의 법령해석(법제처 해석 등)은 행정 내부의 법령 집행 통일성을 위한 지침일 뿐, 법원 확정판결과 같은 법적 기속력은 갖지 않는다. 법원의 사법 판단과 행정부 해석은 효력 차원이 다르다.</t>
  </si>
  <si>
    <t>공공조달 분쟁 해결에서 중재(Arbitration)의 특징에 관한 설명으로 옳은 것은?</t>
  </si>
  <si>
    <t>당사자 합의로 분쟁을 중재기관에 회부하여 단심제로 종국적 판단을 받는 방식이다.</t>
  </si>
  <si>
    <t>중재 결과는 법적 구속력이 없는 권고 사항이다.</t>
  </si>
  <si>
    <t>중재는 법원의 1심 판결과 동일한 효력만 가진다.</t>
  </si>
  <si>
    <t>중재는 당사자 일방이 임의로 선택하면 자동으로 진행된다.</t>
  </si>
  <si>
    <t>* 정답 (①): 중재는 「중재법」에 근거한 분쟁 해결 방식으로, 당사자의 사전 합의(중재합의)에 따라 중재기관(대한상사중재원 등)에 회부되며, 단심제로 진행된다. 중재 판정은 법원 확정판결과 동일한 효력을 가지며, 당사자 일방의 임의 선택만으로는 진행되지 않는다.</t>
  </si>
  <si>
    <t>부정당업자 제재의 법적 근거로 옳은 것은?</t>
  </si>
  <si>
    <t>「국가계약법」 제27조</t>
  </si>
  <si>
    <t>「지방계약법」 제31조</t>
  </si>
  <si>
    <t>「조달사업법」 제16조</t>
  </si>
  <si>
    <t>「공기업법」 제28조</t>
  </si>
  <si>
    <t>* 정답 (①): 부정당업자 제재의 법적 근거는 「국가계약법」 제27조(부정당업자의 입찰 참가 자격 제한)이다.</t>
  </si>
  <si>
    <t>「국가계약법」상 부정당업자 제재 기간의 최대한도는?</t>
  </si>
  <si>
    <t>6개월</t>
  </si>
  <si>
    <t>1년</t>
  </si>
  <si>
    <t>2년</t>
  </si>
  <si>
    <t>5년</t>
  </si>
  <si>
    <t>* 정답 (③): 「국가계약법」 제27조에 따른 부정당업자 제재의 최대 기간은 2년이다.</t>
  </si>
  <si>
    <t>불공정조달행위에 해당하지 않는 것은?</t>
  </si>
  <si>
    <t>입찰 담합</t>
  </si>
  <si>
    <t>허위·위조 서류 제출</t>
  </si>
  <si>
    <t>조달청의 적법한 MAS 계약 체결</t>
  </si>
  <si>
    <t>뇌물 공여</t>
  </si>
  <si>
    <t>* 정답 (③): 조달청의 적법한 MAS 계약 체결은 불공정조달행위가 아니다.</t>
  </si>
  <si>
    <t>계약 해제와 해지의 효과에 대한 설명으로 옳은 것은?</t>
  </si>
  <si>
    <t>계약 해제는 장래 효력만 소멸</t>
  </si>
  <si>
    <t>계약 해지는 계약 체결 시점으로 소급하여 무효</t>
  </si>
  <si>
    <t>계약 해제는 소급효가 있어 원상회복 의무 발생</t>
  </si>
  <si>
    <t>계약 해제와 해지는 동일한 법적 효과</t>
  </si>
  <si>
    <t>* 정답 (③): 계약 해제는 소급효가 있어 원상회복 의무가 발생한다. 계약 해지는 장래 효력만 소멸한다.</t>
  </si>
  <si>
    <t>지체상금의 산정 방법으로 옳은 것은?</t>
  </si>
  <si>
    <t>지체상금은 과태료의 일종이다.</t>
  </si>
  <si>
    <t>지연 일수에 관계없이 일정 금액</t>
  </si>
  <si>
    <t>계약금액 × 지체상금률 × 지연일수로 산정된다.</t>
  </si>
  <si>
    <t>계약금액의 10%를 초과할 수 없다.</t>
  </si>
  <si>
    <t>* 정답 (③): 지체상금은 손해배상 예정액으로 '계약금액×지체상금률×지연일수'로 산정한다.</t>
  </si>
  <si>
    <t>부당이득금 환수에 관한 설명으로 옳은 것은?</t>
  </si>
  <si>
    <t>형사처벌로만 환수 가능</t>
  </si>
  <si>
    <t>부정한 방법으로 계약 체결 시 부당이득금 및 이자 환수 가능</t>
  </si>
  <si>
    <t>부당이득금 환수 시 계약 유지 가능</t>
  </si>
  <si>
    <t>5년이 지나면 소멸시효 완성</t>
  </si>
  <si>
    <t>정답 (②): 부정한 방법으로 계약 체결 시 부당이득금 및 이자의 환수가 가능하며, 해당 계약은 해제됩니다. (오답 노트: ① 형사처벌 여부와 무관하게 행정 절차를 통해 환수함, ③ 부정 계약 적발 시 원칙적으로 계약이 해제되므로 유지할 수 없음, ④ 국가재정법 제96조제1항에 따라 5년의 소멸시효가 적용되나, 같은 조 제4항에 따른 납입 고지 등을 통해 시효 중단이 가능함)</t>
  </si>
  <si>
    <t>조달청의 불공정조달행위 적발 시 조치로 옳은 것은?</t>
  </si>
  <si>
    <t>홈페이지 공개만 가능</t>
  </si>
  <si>
    <t>수사기관에 고발할 수 있다.</t>
  </si>
  <si>
    <t>감사원 단독으로 처리한다.</t>
  </si>
  <si>
    <t>신고 포상금은 지급되지 않는다.</t>
  </si>
  <si>
    <t>* 정답 (②): 조달청은 위반 행위가 중대할 경우 수사기관에 고발할 수 있으며, 행정 제재를 병행합니다. (오답 노트: ① 홈페이지 공개 외에 과징금 등 실질적 처분이 따름, ③ 불공정조달행위 조사는 조달청 고유 업무임, ④ 부당이득 환수 등 조치 완료 시 신고 포상금을 지급함)</t>
  </si>
  <si>
    <t>계약 이행능력 없는 업체와 계약한 공무원에게 적용될 수 있는 제재는?</t>
  </si>
  <si>
    <t>제재 없음</t>
  </si>
  <si>
    <t>징계 처분 및 형사처벌 가능</t>
  </si>
  <si>
    <t>계약보증금만 몰취</t>
  </si>
  <si>
    <t>입찰 공고 취소만 가능</t>
  </si>
  <si>
    <t>* 정답 (②): 법령을 위반한 계약 담당 공무원은 공무원법에 따른 징계와 형사처벌을 받을 수 있다.</t>
  </si>
  <si>
    <t>입찰 참가 자격 제한의 사유가 아닌 것은?</t>
  </si>
  <si>
    <t>허위 서류 제출로 낙찰</t>
  </si>
  <si>
    <t>담합 참여</t>
  </si>
  <si>
    <t>최저가 입찰에 응한 경우</t>
  </si>
  <si>
    <t>계약 이행을 정당한 이유 없이 거부</t>
  </si>
  <si>
    <t>* 정답 (③): 최저가 입찰에 응하는 것 자체는 제재 사유가 아니다.</t>
  </si>
  <si>
    <t>부정당업자 제재 시 입찰 참가 자격 제한의 범위로 옳은 것은?</t>
  </si>
  <si>
    <t>제재받은 기관 입찰만 제한</t>
  </si>
  <si>
    <t>원칙적으로 모든 발주기관 입찰 참가 제한</t>
  </si>
  <si>
    <t>이미 체결된 계약도 이행 불가</t>
  </si>
  <si>
    <t>자회사는 제재 대상 제외</t>
  </si>
  <si>
    <t>* 정답 (②): 부정당업자 제재는 원칙적으로 모든 발주기관의 입찰 참가 자격을 제한한다.</t>
  </si>
  <si>
    <t>계약의 해제와 해지에 관한 설명으로 옳지 않은 것은?</t>
  </si>
  <si>
    <t>계약 해제는 계약 체결 시점으로 소급하여 계약을 무효화하는 조치이다.</t>
  </si>
  <si>
    <t>계약 해지는 해지 시점부터 미래의 계약 효력을 소멸시키는 불소급적 조치이다.</t>
  </si>
  <si>
    <t>지체상금이 계약보증금 상당액에 달하면 반드시 계약을 해제·해지해야 한다.</t>
  </si>
  <si>
    <t>계약상대자의 귀책사유로 해제·해지 시 기성부분은 검사 후 대가를 지급한다.</t>
  </si>
  <si>
    <t>* 정답 (③): 지체상금이 계약보증금 상당액에 달하더라도 이행 가능성과 유지 필요성이 있으면 추가 계약보증금 징수 후 계약을 유지할 수 있다(「국가계약법 시행령」 제75조).</t>
  </si>
  <si>
    <t>부정당업자 제재에 관한 설명으로 옳은 것은?</t>
  </si>
  <si>
    <t>입찰 참가 자격 제한은 처분을 부과한 기관의 입찰에만 적용된다.</t>
  </si>
  <si>
    <t>최대 5년까지 입찰 참가 자격이 제한될 수 있다.</t>
  </si>
  <si>
    <t>입찰 참가 자격 제한은 공공계약법령이 적용되는 모든 기관의 입찰에 대해 적용된다.</t>
  </si>
  <si>
    <t>경미한 사유라도 반드시 입찰 참가 자격을 제한해야 한다.</t>
  </si>
  <si>
    <t>* 정답 (③): 부정당업자 제재는 해당 기관뿐 아니라 국가기관·지방자치단체·공공기관 등 공공계약법령이 적용되는 모든 기관의 입찰에 참가를 제한하는 효과를 가진다. 최대 제한 기간은 2년이며, 경미한 사안은 과징금으로 대체 가능하다.</t>
  </si>
  <si>
    <t>입찰서류를 위조하여 제출한 행위</t>
  </si>
  <si>
    <t>직접생산기준을 위반하여 납품한 행위</t>
  </si>
  <si>
    <t>계약금액 이내에서 사양을 변경하여 납품한 행위</t>
  </si>
  <si>
    <t>원산지를 거짓으로 표시하여 납품한 행위</t>
  </si>
  <si>
    <t>* 정답 (③): 불공정조달행위는 「조달사업법」 제21조 제1항에 따라 ① 서류 위·변조, ② 직접생산기준 위반, ③ 원산지 거짓 표시, ④ 사전 승인 없이 계약규격과 다른 제품 납품, ⑤ 다수공급자계약 관련 위반, ⑥ 우수조달물품 등 부정 지정 등 6가지 유형으로 분류된다. 정상적인 사양 변경은 이에 해당하지 않는다.</t>
  </si>
  <si>
    <t>부당이득금 환수는 「국가계약법」에 근거한다.</t>
  </si>
  <si>
    <t>부당이득금 환수 대상은 납품이행이 완료되지 않은 물량이다.</t>
  </si>
  <si>
    <t>부당이득금 환수는 「조달사업법」 제21조 제6항에 근거하며, 위반납품 이행완료분이 대상이다.</t>
  </si>
  <si>
    <t>부당이득금 산정기준은 모든 위반 유형에 동일하게 적용된다.</t>
  </si>
  <si>
    <t>* 정답 (③): 부당이득금 환수는 「조달사업법」 제21조 제6항에 근거하여, 위반납품이행이 완료된(종결된) 건이 대상이다. 계약보증금 국고 귀속은 「국가계약법」 제12조 제3항에 근거하며 미이행분이 대상이라는 점에서 구별된다.</t>
  </si>
  <si>
    <t>공공조달 분쟁관리 상황이다. 가장 적절한 조달/계약관리 조치는?</t>
  </si>
  <si>
    <t>* 정답 (②): 절차 준수와 기록(근거)은 공공조달에서 필수 요건이다. '원칙(명확화·사전공개·기록·절차준수) 적용'이 정답이다.</t>
  </si>
  <si>
    <t>부정당업자 제재 처분의 효력 범위에 관한 설명으로 옳은 것은?</t>
  </si>
  <si>
    <t>처분을 부과한 기관에서만 입찰 참가 자격이 제한된다.</t>
  </si>
  <si>
    <t>처분을 부과한 기관뿐만 아니라 국가기관·지방자치단체·공공기관 등 공공계약법령이 적용되는 모든 기관에 효력이 미친다.</t>
  </si>
  <si>
    <t>부정당업자 제재는 입찰 참가 자격에만 영향을 미치고 다른 공공계약에는 영향이 없다.</t>
  </si>
  <si>
    <t>부정당업자 제재는 권고 사항이며 법적 구속력이 없다.</t>
  </si>
  <si>
    <t>* 정답 (②): 부정당업자 제재 처분의 입찰 참가 자격 제한은 처분 기관뿐만 아니라 공공계약법령이 적용되는 모든 기관(국가기관·지방자치단체·공공기관)의 입찰에 효력이 미치는 광범위한 효과를 갖는다.</t>
  </si>
  <si>
    <t>부정당업자 제재의 입찰 참가 자격 제한 기간 차등 적용에 관한 설명으로 옳은 것은?</t>
  </si>
  <si>
    <t>위반 유형과 정도에 따라 「국가계약법 시행규칙」 별표에서 차등 적용한다.</t>
  </si>
  <si>
    <t>담합을 주도하여 낙찰을 받은 자는 2년의 제한이 적용된다.</t>
  </si>
  <si>
    <t>사기·부정행위로 국가에 10억 원 이상 손해를 끼친 자는 2년의 제한이 적용된다.</t>
  </si>
  <si>
    <t>모든 부정당업자에 대해 일률적으로 1년의 제한이 적용된다.</t>
  </si>
  <si>
    <t>* 정답 (①): 부정당업자 제재 기간은 위반 유형·정도에 따라 3개월부터 2년까지 차등 적용된다. 일률적 1년 제한이 아니다. 「국가계약법」상 최대 2년 이내의 범위에서 부과된다.</t>
  </si>
  <si>
    <t>부정당업자 제재 대신 과징금 부과로 대체할 수 있는 요건에 관한 설명으로 옳은 것은?</t>
  </si>
  <si>
    <t>사안이 경미하고 「국가계약법 시행령」 제76조의2가 정하는 특정 요건에 부합할 때 가능하다.</t>
  </si>
  <si>
    <t>모든 부정당업자 제재는 자동으로 과징금으로 대체된다.</t>
  </si>
  <si>
    <t>과징금 대체는 권고 사항이며 법적 근거가 없다.</t>
  </si>
  <si>
    <t>과징금 대체는 사업자가 임의로 선택할 수 있다.</t>
  </si>
  <si>
    <t>* 정답 (①): 「국가계약법 시행령」 제76조의2는 ① 국내외 경제 사정 악화 등 급격한 경제 여건 변화, ② 발주자에 의한 주요 계약 내용 변경, ③ 발주자 제공 정보 오류로 인한 위반 등 경미한 사안에 대해 입찰 참가 자격 제한 대신 과징금 부과로 대체할 수 있도록 규정한다.</t>
  </si>
  <si>
    <t>거래정지 제도와 부정당업자 제재의 구별에 관한 설명으로 옳지 않은 것은?</t>
  </si>
  <si>
    <t>거래정지는 「조달사업법」에 근거한 제재이고, 부정당업자 제재는 「국가계약법」에 근거한다.</t>
  </si>
  <si>
    <t>거래정지는 조달청장의 처분이고, 부정당업자 제재는 각 중앙관서의 장의 처분이다.</t>
  </si>
  <si>
    <t>두 제도는 별개로 운영되어 동일 사안에 대해 모두 적용될 수 있다.</t>
  </si>
  <si>
    <t>거래정지와 부정당업자 제재는 동일한 제도로서 차이가 없다.</t>
  </si>
  <si>
    <t>* 정답 (④): 거래정지(「조달사업법」 제22조)와 부정당업자 제재(「국가계약법」 제27조)는 근거 법령·처분권자·적용 범위가 다른 별개의 제도이다. 동일 사안에 대해 두 제재가 함께 적용될 수 있으며, 동일한 제도로 볼 수 없다.</t>
  </si>
  <si>
    <t>「조달사업법」상 불공정조달행위의 유형으로 옳지 않은 것은?</t>
  </si>
  <si>
    <t>입찰·계약서류 위·변조, 허위서류 제출</t>
  </si>
  <si>
    <t>직접생산기준 위반 납품</t>
  </si>
  <si>
    <t>원산지 거짓 표시 납품</t>
  </si>
  <si>
    <t>정상적인 가격 경쟁을 통한 낙찰</t>
  </si>
  <si>
    <t>* 정답 (④): 불공정조달행위는 「조달사업법」 제21조 제1항에 따라 ① 서류 위·변조, ② 직접생산기준 위반, ③ 원산지 거짓 표시, ④ 사전 승인 없이 계약규격과 다른 제품 납품, ⑤ 다수공급자계약 관련 위반, ⑥ 우수조달물품 등 부정 지정 등 6가지 유형으로 분류된다. 정상적인 가격 경쟁을 통한 낙찰은 불공정조달행위가 아니라 공공조달의 본래 운영 방식이다.</t>
  </si>
  <si>
    <t>⚡ 계약관리 퀴즈</t>
  </si>
  <si>
    <t>드롭다운에서 단어장을 선택하면 해당 시트의 문제를 즉시 불러옵니다.</t>
  </si>
  <si>
    <t>▶ 단어장 선택 (시트명)</t>
  </si>
  <si>
    <t>① 현재 문제 번호</t>
  </si>
  <si>
    <t>② 내 정답 입력 (1~4)</t>
  </si>
  <si>
    <t>' 108키(풀배열) 전용 고속 퀴즈 모드 켜기</t>
  </si>
  <si>
    <t>Sub StartQuizMode()</t>
  </si>
  <si>
    <t xml:space="preserve">    ' 숫자키 (상단 가로줄 &amp; 우측 키패드 모두 적용됨. ※ Num Lock 켜짐 필수)</t>
  </si>
  <si>
    <t xml:space="preserve">    Application.OnKey "1", "Answer1"</t>
  </si>
  <si>
    <t xml:space="preserve">    Application.OnKey "2", "Answer2"</t>
  </si>
  <si>
    <t xml:space="preserve">    Application.OnKey "3", "Answer3"</t>
  </si>
  <si>
    <t xml:space="preserve">    Application.OnKey "4", "Answer4"</t>
  </si>
  <si>
    <t xml:space="preserve">    </t>
  </si>
  <si>
    <t xml:space="preserve">    ' 엔터키 (일반 엔터 &amp; 우측 키패드 엔터 모두 적용)</t>
  </si>
  <si>
    <t xml:space="preserve">    Application.OnKey "~", "NextQuestion"       ' 일반 Enter</t>
  </si>
  <si>
    <t xml:space="preserve">    Application.OnKey "{ENTER}", "NextQuestion" ' 키패드 Enter</t>
  </si>
  <si>
    <t xml:space="preserve">    ' Page Up / Page Down (문제 앞뒤 이동)</t>
  </si>
  <si>
    <t xml:space="preserve">    Application.OnKey "{PGUP}", "NextQuestion" ' PgUp: 다음 문제</t>
  </si>
  <si>
    <t xml:space="preserve">    Application.OnKey "{PGDN}", "PrevQuestion" ' PgDn: 이전 문제</t>
  </si>
  <si>
    <t xml:space="preserve">    MsgBox "108키 퀴즈 모드 ON: 우측 숫자 키패드(1~4, Enter)가 완벽 지원됩니다."</t>
  </si>
  <si>
    <t>End Sub</t>
  </si>
  <si>
    <t>' 퀴즈 모드 끄기 (키보드 원상 복구)</t>
  </si>
  <si>
    <t>Sub StopQuizMode()</t>
  </si>
  <si>
    <t xml:space="preserve">    Application.OnKey "1"</t>
  </si>
  <si>
    <t xml:space="preserve">    Application.OnKey "2"</t>
  </si>
  <si>
    <t xml:space="preserve">    Application.OnKey "3"</t>
  </si>
  <si>
    <t xml:space="preserve">    Application.OnKey "4"</t>
  </si>
  <si>
    <t xml:space="preserve">    Application.OnKey "~"</t>
  </si>
  <si>
    <t xml:space="preserve">    Application.OnKey "{ENTER}"</t>
  </si>
  <si>
    <t xml:space="preserve">    Application.OnKey "{PGUP}"</t>
  </si>
  <si>
    <t xml:space="preserve">    Application.OnKey "{PGDN}"</t>
  </si>
  <si>
    <t xml:space="preserve">    MsgBox "퀴즈 모드 OFF: 키보드가 정상으로 돌아왔습니다."</t>
  </si>
  <si>
    <t>' ========================================================</t>
  </si>
  <si>
    <t>' 정답 입력 매크로</t>
  </si>
  <si>
    <t>Sub Answer1(): On Error Resume Next: ActiveSheet.Range("C6").Value = 1: End Sub</t>
  </si>
  <si>
    <t>Sub Answer2(): On Error Resume Next: ActiveSheet.Range("C6").Value = 2: End Sub</t>
  </si>
  <si>
    <t>Sub Answer3(): On Error Resume Next: ActiveSheet.Range("C6").Value = 3: End Sub</t>
  </si>
  <si>
    <t>Sub Answer4(): On Error Resume Next: ActiveSheet.Range("C6").Value = 4: End Sub</t>
  </si>
  <si>
    <t>' 문제 이동 매크로 (런타임 에러 방지 처리 완료)</t>
  </si>
  <si>
    <t>' 다음 문제 (PgUp / Enter)</t>
  </si>
  <si>
    <t>Sub NextQuestion()</t>
  </si>
  <si>
    <t xml:space="preserve">    On Error Resume Next</t>
  </si>
  <si>
    <t xml:space="preserve">    With ActiveSheet</t>
  </si>
  <si>
    <t xml:space="preserve">        .Range("C5").Value = .Range("C5").Value + 1</t>
  </si>
  <si>
    <t xml:space="preserve">        .Range("C6").MergeArea.ClearContents</t>
  </si>
  <si>
    <t xml:space="preserve">    End With</t>
  </si>
  <si>
    <t xml:space="preserve">    On Error GoTo 0</t>
  </si>
  <si>
    <t>' 이전 문제 (PgDn)</t>
  </si>
  <si>
    <t>Sub PrevQuestion()</t>
  </si>
  <si>
    <t xml:space="preserve">        If .Range("C5").Value &gt; 1 Then ' 1번 문제보다 클 때만 감소</t>
  </si>
  <si>
    <t xml:space="preserve">            .Range("C5").Value = .Range("C5").Value - 1</t>
  </si>
  <si>
    <t xml:space="preserve">            .Range("C6").MergeArea.ClearContents</t>
  </si>
  <si>
    <t xml:space="preserve">        End If</t>
  </si>
  <si>
    <t>1. 매크로 시트의 전체 내용 복사(ctrl + C)</t>
  </si>
  <si>
    <t>2. Alt + F11</t>
  </si>
  <si>
    <t>3. 삽입 &gt; 모듈 &gt; 붙여넣기(ctrl + V) &gt; 닫기</t>
  </si>
  <si>
    <t>4. Alt + F8</t>
  </si>
  <si>
    <t>5. StartQuizMode 실행</t>
  </si>
  <si>
    <t>매크로 동작</t>
  </si>
  <si>
    <t>Enter</t>
  </si>
  <si>
    <t>다음 문제</t>
  </si>
  <si>
    <t>PgUp</t>
  </si>
  <si>
    <t>PgDn</t>
  </si>
  <si>
    <t>이전 문제</t>
  </si>
  <si>
    <t>공공조달과 법제도 이해 - 1. 공공조달 개요</t>
  </si>
  <si>
    <t>개정일자</t>
  </si>
  <si>
    <t>숫자문제</t>
  </si>
  <si>
    <t>[상황] A기관은 청소용품을 가장 저렴한 가격의 업체에서 구매했고, B공사는 사회적기업이 만든 친환경 재생용지를 정책적으로 우선 구매했다. 두 사례를 공공조달의 정의 관점에서 비교한 설명으로 가장 적절한 것은?</t>
  </si>
  <si>
    <t>A는 전통적(협의) 관점에, B는 사회적 가치 실현 등 정책 목표를 담은 현대적(광의) 관점에 가깝다</t>
  </si>
  <si>
    <t>A, B 모두 전통적(협의) 관점의 전형적 사례이다</t>
  </si>
  <si>
    <t>A는 현대적 관점, B는 전통적 관점에 해당한다</t>
  </si>
  <si>
    <t>두 사례 모두 공공조달의 정의와 무관하다</t>
  </si>
  <si>
    <t>* 정답 (①): 단순 최저가 구매는 전통적(협의) 관점에 가깝고, 사회적 가치 실현을 목적으로 한 우선구매는 정책 수단으로서의 현대적(광의) 관점을 보여줌.</t>
  </si>
  <si>
    <t>우리나라 조달행정이 임시외자총국 설립과 원조물자 관리를 주된 임무로 삼았던 시기로 가장 적절한 것은?</t>
  </si>
  <si>
    <t>광복 이후~1960년대(전후 복구·원조물자 관리 중심)</t>
  </si>
  <si>
    <t>1997년 전후(시장개방기)</t>
  </si>
  <si>
    <t>2000년대 이후(전자조달 확산기)</t>
  </si>
  <si>
    <t>1980년대(내자조달 확대기)</t>
  </si>
  <si>
    <t>* 정답 (①): 광복 이후부터 1960년대까지는 6·25 전쟁 복구와 경제개발을 위한 원조물자 도입·관리가 조달행정의 중심이었고, 이 시기 임시외자총국이 설립된 뒤 조달청이 개청됨.</t>
  </si>
  <si>
    <t>국가 및 지방자치단체가 주체가 되는 공공조달(Public Procurement)의 본질적 개념을 설명한 것으로 가장 거리가 먼 것은?</t>
  </si>
  <si>
    <t>중앙관서의 장 또는 계약담당공무원이 공익 달성을 위해 민간으로부터 필요한 재화를 획득하는 일련의 과정이다.</t>
  </si>
  <si>
    <t>공공기관이 자체적인 예산을 재원으로 삼아 외부의 적격한 공급자로부터 물품 및 용역을 조달받는 경제 활동이다.</t>
  </si>
  <si>
    <t>수요기관이 발주한 사업에 대해 입찰 참가 자격을 갖춘 민간 기업을 평가하고 최종 계약상대자로 선정하는 절차이다.</t>
  </si>
  <si>
    <t>특정 행정 기관이 자체적인 행정 수요를 충족시키기 위하여 타 국가 기관이나 지자체로부터 자산을 매입하는 행위이다.</t>
  </si>
  <si>
    <t>* 정답 (④): 공공조달은 '공공기관(수요자)'이 자격을 갖춘 민간 '기업(공급자)'으로부터 물자나 용역을 획득하는 행위이며, 행정 기관 간의 내부 거래나 이관을 의미하지 않습니다.</t>
  </si>
  <si>
    <t>법률적·행정적 관점에서 '공공조달(Public Procurement)'의 본질적인 정의를 가장 명확하고 오해 없이 서술한 것은?</t>
  </si>
  <si>
    <t>조달청이 정부를 대표하여 단독 전담하는 제도로서, 전국의 영세한 중소기업 및 벤처기업에게 정부의 막대한 지원금을 공평하게 분배하고 기업의 성장을 돕는 일종의 재정적 복지 사업이다.</t>
  </si>
  <si>
    <t>국가가 자체적인 기술로 생산하기 어려운 방산 물자나 첨단 산업 기술 제품을 외교 경로를 통해 우방국 정부로부터 직접 수입하여 국방력과 국부를 창출하는 대외 무역 상업 활동이다.</t>
  </si>
  <si>
    <t>국가, 지방자치단체, 공공기관 등 공공부문이 대국민 공공서비스 제공 및 기관 운영을 위해 필수적으로 요구되는 물품, 용역, 건설공사 등을 시장의 외부 자원으로부터 획득하는 구매 절차 전반이다.</t>
  </si>
  <si>
    <t>정부나 지자체가 독점적 권력을 바탕으로 민간 시장에 강제로 개입하여 주요 생필품 및 산업 원자재의 가격을 직접 통제하고 거시적인 물가를 안정화하는 일련의 직접적 시장 규제 행위이다.</t>
  </si>
  <si>
    <t>* 정답 (③): 공공조달은 정부 등 공공부문이 자체 수요 및 공공서비스 제공에 필요한 물품, 용역, 공사를 적법한 절차에 따라 외부(민간)로부터 획득(구매)하는 행위 전반을 뜻합니다. 복지 사업이나 물가 통제 수단이 아닙니다.</t>
  </si>
  <si>
    <t>공공조달 지출 규모가 상당한 비중을 차지한다는 점이 강조되는 이유로 가장 적절한 것은?</t>
  </si>
  <si>
    <t>공공조달 지출은 절감의 여지가 전혀 없기 때문이다</t>
  </si>
  <si>
    <t>공공조달 지출의 효율성을 조금만 높여도 상당한 규모의 예산 절감·부가가치 창출 효과를 기대할 수 있기 때문이다</t>
  </si>
  <si>
    <t>공공조달은 국가 경제에서 차지하는 비중이 미미하기 때문이다</t>
  </si>
  <si>
    <t>공공조달은 민간구매보다 항상 비효율적이기 때문이다</t>
  </si>
  <si>
    <t>* 정답 (②): 공공조달 지출 규모가 크기 때문에 비효율성을 소폭만 제거해도 상당한 재정 절감·부가가치 창출 효과를 거둘 수 있어, 재정 운영 효율성 측면에서 그 중요성이 강조됨.</t>
  </si>
  <si>
    <t>정부의 막대한 구매력을 지렛대 삼아 국가의 거시적 경제 성장과 사회적 가치를 견인하는 '전략적 공공조달'의 실행 방안이 아닌 것은?</t>
  </si>
  <si>
    <t>자원의 재활용을 돕고 온실가스 배출을 최소화하는 친환경 제품의 구매를 의무화하는 녹색조달 제도의 적극적인 운용</t>
  </si>
  <si>
    <t>혁신적인 아이디어와 신기술을 적용한 시제품을 정부가 선도적으로 구매하여 공공서비스를 개선하는 혁신조달의 확대</t>
  </si>
  <si>
    <t>특정 대기업이나 독점적 기술을 보유한 우수 기업의 이윤을 보장하고 시장 지배력을 강화해 주기 위한 우수조달의 도입</t>
  </si>
  <si>
    <t>취약계층 일자리 창출 및 지역사회 공헌 등 경제적 이익 외의 공익적 요소를 평가에 반영하는 사회적 책임조달의 강화</t>
  </si>
  <si>
    <t>* 정답 (③): 전략적 공공조달의 핵심 실행 방안은 녹색조달, 혁신조달, 사회적 책임조달이며, 특정 기업의 시장 지배력을 강화하는 것은 공공조달의 목적에 위배됩니다.</t>
  </si>
  <si>
    <t>국가 조달 제도의 역사적 발전 단계를 고찰할 때, 제도가 태동하던 '초기 단계'에서 가장 중점적으로 추구했던 정책적 목표는?</t>
  </si>
  <si>
    <t>여성 기업 및 장애인 기업 등 사회적 약자를 보호하고 포용적 경제 성장을 달성하기 위한 조달 시장 진입 장벽의 완화</t>
  </si>
  <si>
    <t>친환경 자재 사용을 의무화하고 노동자의 인권을 보호하는 등 조달 과정 전반에 걸친 다양한 사회적 가치의 적극적 실현</t>
  </si>
  <si>
    <t>자국 내 유망 중소기업의 기술 경쟁력을 강화하여 글로벌 공공조달 시장(GPA)에서의 주도권과 수출 판로를 확보하는 것</t>
  </si>
  <si>
    <t>국가의 생존과 행정 운영에 필수불가결한 군수품 및 대규모 토목 자재 등의 기초 물자를 차질 없이 적시 적소에 확보하는 것</t>
  </si>
  <si>
    <t>* 정답 (④): 제도의 초기 형태(단순 구매 단계)는 국가 방위 및 기반 시설 구축 등 체제 유지에 필수적인 물자를 확보하는 것에 집중되었습니다.</t>
  </si>
  <si>
    <t>현대 국가 운영에 있어 공공조달 시스템이 지니는 본질적 중요성을 가장 정확하게 짚어낸 설명은?</t>
  </si>
  <si>
    <t>민간 시장 내에서 발생하는 불공정 거래 행위를 국가가 직접 규제하고 자국 산업의 피해를 구제하기 위한 법적 장치이다.</t>
  </si>
  <si>
    <t>조달청을 비롯한 중앙행정기관의 업무 부담을 경감하고 행정 처리의 편의성과 효율성을 제고하기 위한 내부적 수단이다.</t>
  </si>
  <si>
    <t>국가의 예산을 시장에 투입하여 정부의 정책 의지를 실물 경제 단위에서 구체적으로 집행하는 가장 핵심적인 정책 수단이다.</t>
  </si>
  <si>
    <t>세계무역기구(WTO) 체제하에서 체결된 자유무역협정(FTA)을 이행하고 국제 사회와의 교역 규모를 확대하기 위한 외교 채널이다.</t>
  </si>
  <si>
    <t>* 정답 (③): 공공조달은 단순한 물품 구매를 넘어, 세금을 재원으로 국가 정책을 실현하고 재정을 집행하는 중추적 역할을 수행합니다.</t>
  </si>
  <si>
    <t>공공조달이 지향하는 다면적 목표 중, '정책적 측면(거시적 측면)'의 목표와 거리가 먼 것은?</t>
  </si>
  <si>
    <t>공공 사업에 참여하는 공급자 간의 기회 균등을 보장하고 절차적 투명성을 엄격히 유지하는 시스템 운영상의 공정성 확보</t>
  </si>
  <si>
    <t>사회적 약자 기업에 대한 배려와 지역 경제 활성화를 도모하여 양극화를 해소하고자 하는 사회적 책임성(Social Responsibility) 강화</t>
  </si>
  <si>
    <t>민간 부문의 신기술 및 신제품 개발 투자를 유도하고 궁극적으로 대국민 공공서비스의 질적 수준을 끌어올리는 혁신(Innovation) 촉진</t>
  </si>
  <si>
    <t>제한된 자원의 효율적 사용과 탄소 중립 실현 등 미래 세대의 환경 보호를 종합적으로 고려하는 지속 가능성(Sustainability)의 유지</t>
  </si>
  <si>
    <t>* 정답 (①): 공정성, 투명성, 경쟁성, 비용대비 가치 등은 조달 시스템 자체를 굴러가게 하는 '운영적(미시적) 측면'의 목표입니다.</t>
  </si>
  <si>
    <t>조달 행정이 국가 체계에서 지니는 '개념적 중요성'에 대한 철학적·행정적 설명으로 적절하지 않은 것은?</t>
  </si>
  <si>
    <t>조달 과정에서 획득된 공공서비스 및 인프라의 질적 수준은 국가 정책 목표의 최종 달성 여부와 국민 삶의 질 향상에 절대적이고 직접적인 영향을 미친다.</t>
  </si>
  <si>
    <t>비효율적이고 방만한 조달 운영은 단순한 행정 절차의 지연을 넘어 심각한 국가 예산의 낭비 및 거시적인 재정적 손실로 직결되는 중대한 문제를 낳는다.</t>
  </si>
  <si>
    <t>현대 국가에서 공공조달은 정부의 본질적 기능을 단순히 보조하는 후선 업무가 아니라, 국가의 존립과 원활한 운영을 뒷받침하는 핵심 기능으로 격상되었다.</t>
  </si>
  <si>
    <t>공공조달은 단순히 필요한 물건을 시장에서 사 오는 행위를 넘어, 국민의 세금을 재원으로 국가의 거시적 정책을 실물 경제에 투입하는 고도의 행정 수단이다.</t>
  </si>
  <si>
    <t>* 정답 (②): 예산 낭비나 금전적 손실에 대한 설명은 조달의 '개념적 중요성'이라기보다는 '재정적 중요성'을 구체적으로 설명한 것입니다.</t>
  </si>
  <si>
    <t>복잡다단한 법령과 규제에도 불구하고 국가 단위의 공공조달 제도가 지속적으로 존재해야 하는 가장 일차적이고 본질적인 목적은 무엇인가?</t>
  </si>
  <si>
    <t>대규모 공공 발주 사업에 참여하는 다수의 민간 조달기업들에게 안정적인 일감을 제공하여 그들의 매출 및 영업 이익 극대화를 지원하기 위함이다.</t>
  </si>
  <si>
    <t>국가가 국민에게 마땅히 제공해야 할 헌법적 의무인 대국민 공공서비스 유지에 필수적인 각종 자원과 인프라를 적시 적소에 안정적으로 확보하기 위함이다.</t>
  </si>
  <si>
    <t>입찰 시 발생하는 업체 간의 과도한 경쟁을 억제하고 효율적인 예산 집행을 달성하여 궁극적으로 국민이 부담하는 조세부담률을 대폭 경감하기 위함이다.</t>
  </si>
  <si>
    <t>국내 시장에서 검증된 우수 조달기업의 해외 진출을 국가 차원에서 적극 장려하고, 글로벌 국제 조달 시장에서의 K-조달 무역량을 확대하기 위함이다.</t>
  </si>
  <si>
    <t>* 정답 (②): 공공조달 시스템의 제1목적은 도로, 국방, 보건, 교육 등 정부의 정상적인 기능 유지와 공공서비스 창출에 필요한 물자(공급품)를 끊김 없이 획득하는 것입니다.</t>
  </si>
  <si>
    <t>과거 단순한 물자 획득에 치중했던 '전통적 공공조달'의 패러다임과 오늘날 거시적 목표를 지향하는 '전략적 공공조달'의 패러다임을 구분 짓는 가장 큰 핵심적 차이는 무엇인가?</t>
  </si>
  <si>
    <t>조달 시장에 참여할 수 있는 대상 조달기업의 자격 요건과 진입 장벽의 완화 정도</t>
  </si>
  <si>
    <t>계약 체결부터 완료까지 소요되는 행정적 리드타임(Lead Time)의 획기적인 단축 여부</t>
  </si>
  <si>
    <t>전자조달 시스템 도입을 통해 절감된 입찰 공고 및 서류 심사 등 물리적 행정 비용</t>
  </si>
  <si>
    <t>단순 구매를 넘어 환경 보호나 일자리 창출 등 국가의 거시적 정책 목표와의 연계성</t>
  </si>
  <si>
    <t>* 정답 (④): 현대적 조달 체계는 물자 획득 그 자체에 머물지 않고, 막대한 조달 예산을 지렛대 삼아 국가 정책(혁신 성장 지원, 중소기업 보호, 친환경 등)을 견인하는 강력한 전략적 수단으로 진화했습니다.</t>
  </si>
  <si>
    <t>국가 공공조달 제도가 태동기부터 현대에 이르기까지 역사적으로 진화해 온 거시적인 발전 단계를 시간적 흐름에 따라 가장 올바르게 나열한 것은?</t>
  </si>
  <si>
    <t>단순 구매 단계(Purchasing) → 행정 절차화 단계(Regulation) → 전략적 조달 단계(Strategic Procurement)</t>
  </si>
  <si>
    <t>국제 조달 단계(Global Procurement) → 전략적 조달 단계(Strategic Procurement) → 행정 조달 단계(Administrative Procurement)</t>
  </si>
  <si>
    <t>행정 절차화 단계(Regulation) → 국제 조달 단계(Global Procurement) → 전략적 조달 단계(Strategic Procurement)</t>
  </si>
  <si>
    <t>전략적 조달 단계(Strategic Procurement) → 행정 절차화 단계(Regulation) → 단순 구매 단계(Purchasing)</t>
  </si>
  <si>
    <t>* 정답 (①): 군수품 등 단순 물자 확보에 급급했던 '단순 구매'에서 법령을 제정하여 투명성을 강조하는 '행정 절차화'를 거쳐, 현재는 환경, 혁신 등 국가 정책을 융합 견인하는 '전략적 조달' 단계로 고도화되었습니다.</t>
  </si>
  <si>
    <t>현대 사회에서 공공조달 시스템이 국가 거시 경제와 국민 사회에 미치는 파급력 및 중요성에 대한 설명 중 논리적 사실과 부합하지 않는 것은?</t>
  </si>
  <si>
    <t>전체 국가 예산의 상당 부분을 차지하므로 정부의 재정 운영 효율성과 건전성에 결정적 영향을 미친다.</t>
  </si>
  <si>
    <t>거액의 자금이 오가는 고위험 영역이므로 시스템에 부패나 오류가 발생할 경우 국가 전반에 미치는 재무적 타격이 매우 크다.</t>
  </si>
  <si>
    <t>공공조달의 전략과 집행 관행은 도로, 복지 등 공공서비스의 질을 결정하여 국민 삶에 간접적인 영향을 미친다.</t>
  </si>
  <si>
    <t>조달력을 무기로 친환경 산업 육성이나 중소기업 지원 등 광범위한 거시 경제 정책 목표를 전략적으로 달성할 수 있다.</t>
  </si>
  <si>
    <t xml:space="preserve">* 정답 (③): 정부 공공조달의 최종 결과물(교통 인프라, 백신 및 의료기기, 재난망 시스템 구축 등)은 국민의 편익 및 삶의 질과 떼려야 뗄 수 없는 '매우 직접적'인 영향을 미칩니다. </t>
  </si>
  <si>
    <t>경쟁성 확보, 투명성 제고, 차별금지, 경제성 달성, 윤리적 책임성 등 공공조달의 다양한 세부 실행원칙들이 톱니바퀴처럼 맞물려 궁극적으로 지향하고자 하는 국가 차원의 최종적인 목표는?</t>
  </si>
  <si>
    <t>수년에 걸쳐 이어질 수 있는 행정 절차상의 사소한 하자를 없애고 조달 공급자와 발주기관 간의 기계적이고 법적인 서면 계약 체결 행위 그 자체를 무사히 완수하는 것</t>
  </si>
  <si>
    <t>치열한 글로벌 및 국내 시장 경쟁 속에서 우수한 기술력을 조기에 보유한 민간 조달기업들의 안정적인 영업 이익 창출과 주주 이윤을 국가가 앞장서 극대화해 주는 것</t>
  </si>
  <si>
    <t>국가 예산의 단순한 기계적 집행을 훌쩍 뛰어넘어, 막대한 조달 행위를 훌륭한 지렛대 삼아 친환경, 혁신성장, 약자 보호 등 사회적·경제적 거시 정책 목표를 실현하는 전략적 공공조달의 완성</t>
  </si>
  <si>
    <t>감사원이나 상급 중앙관서의 정기 감사 지적을 회피하기 위해 국가계약법령이 요구하는 복잡다단한 조달 절차를 업무의 본질적 고민 없이 맹목적이고 형식적으로만 준수하는 것</t>
  </si>
  <si>
    <t>* 정답 (③): 조달의 모든 세부 원칙(투명성, 공정성 등)은 결국 부패 없이 훌륭한 공공서비스를 획득하고, 더 나아가 조달 행위 자체를 국가 정책의 효과적인 실행 도구(전략적 수단)로 완벽하게 작동시키기 위한 밑거름입니다.</t>
  </si>
  <si>
    <t>공공조달의 범위를 이루는 여러 차원(대상물, 수요자, 공급자, 재원, 시장, 정책, 업무범위 등) 중 일반적으로 포함되지 않는 것은?</t>
  </si>
  <si>
    <t>조달 정책</t>
  </si>
  <si>
    <t>기업의 영업이윤</t>
  </si>
  <si>
    <t>조달 대상물</t>
  </si>
  <si>
    <t>조달 재원(예산)</t>
  </si>
  <si>
    <t>* 정답 (②): 공공조달의 범위는 대상물·수요자·공급자·재원·시장·정책·업무범위 등으로 구성되며, 기업의 영업이윤은 민간구매의 목적일 뿐 공공조달 범위 차원이 아님.</t>
  </si>
  <si>
    <t>[상황] 발주기관이 특정 조달대상물을 물품·용역·공사 중 하나로 분류하려 하는데, 담당자가 '이건 어디에도 안 들어가니 별도 범주가 필요하다'고 주장한다. 이 주장에 대한 평가로 가장 적절한 것은?</t>
  </si>
  <si>
    <t>물품·용역·공사 3가지가 가장 기본적인 분류이므로, 대부분의 대상물은 이 안에서 분류할 수 있다</t>
  </si>
  <si>
    <t>모든 조달대상물은 반드시 새로운 범주를 만들어야 한다</t>
  </si>
  <si>
    <t>조달대상물은 애초에 분류 체계 자체가 없다</t>
  </si>
  <si>
    <t>물품·공사 2가지만 존재하며 용역은 별도 개념이 아니다</t>
  </si>
  <si>
    <t>* 정답 (①): 조달대상물의 가장 기본적인 분류는 물품·용역·공사 3가지이며, 양허권 등 특수 유형은 이보다 확장된 범주로 별도 다뤄짐.</t>
  </si>
  <si>
    <t>조달사업에 관한 법률에서 정의하는 '조달사업'의 범위에 포함되지 않는 것은?</t>
  </si>
  <si>
    <t>시설공사의 계약에 관한 사업</t>
  </si>
  <si>
    <t>물자의 공급 및 관리</t>
  </si>
  <si>
    <t>수요기관이 필요로 하는 물자의 구매</t>
  </si>
  <si>
    <t>민간기업 간의 순수한 사적 물품 거래 중개</t>
  </si>
  <si>
    <t>* 정답 (④): 조달사업은 수요기관의 물자 구매·공급·관리 및 시설공사 계약에 관한 사업을 의미하며, 민간기업 간 사적 거래 중개는 이에 해당하지 않음.</t>
  </si>
  <si>
    <t>조달사업에 관한 법률 제2조</t>
  </si>
  <si>
    <t>공공조달과 관련한 통계 자료를 인용할 때 확인할 사항으로 가장 적절한 것은?</t>
  </si>
  <si>
    <t>오래된 자료일수록 신뢰도가 높으므로 그대로 인용한다</t>
  </si>
  <si>
    <t>구체적인 등록업체 수·비율 등의 통계는 발표 시점에 따라 달라질 수 있으므로 최신 공식 자료로 재확인하는 것이 바람직하다</t>
  </si>
  <si>
    <t>통계는 조달 실무에서 활용 가치가 없다</t>
  </si>
  <si>
    <t>통계는 한 번 발표되면 이후 변경되지 않는다</t>
  </si>
  <si>
    <t>* 정답 (②): 등록업체 수·비율 등 구체적 통계는 시점에 따라 변동되므로, 시험이나 실무에서 활용할 때는 최신 공식 자료(조달청 등)로 재확인하는 것이 바람직함.</t>
  </si>
  <si>
    <t>현대적 의미의 공공조달 업무가 포괄하는 행정적·실무적 활동 범위에 대한 설명으로 가장 타당한 것은?</t>
  </si>
  <si>
    <t>수요기관이 필요로 하는 유형의 물품 및 건설 자재를 민간 시장에서 단발성으로 획득하는 단순한 구매 행위 자체만을 의미한다.</t>
  </si>
  <si>
    <t>입찰 공고를 게시하고 참여 업체의 적격성을 평가하여 최종적으로 가장 유리한 계약상대자를 선정하는 단계에만 엄격히 국한된다.</t>
  </si>
  <si>
    <t>다수의 경쟁자 중 가장 낮은 투찰 금액을 제시한 업체를 찾아내어 국가 예산의 지출을 최소화하는 원가 절감 절차를 뜻한다.</t>
  </si>
  <si>
    <t>조달 수요의 발생 및 계획 수립부터 입찰, 계약 체결, 계약 이행(납품) 관리, 그리고 사후 평가에 이르는 전체 수명 주기를 포괄한다.</t>
  </si>
  <si>
    <t>* 정답 (④): 오늘날의 공공조달은 단순 구매(Purchasing)를 넘어 계획부터 사후관리까지의 라이프사이클 전체를 아우르는 조달(Procurement) 개념입니다.</t>
  </si>
  <si>
    <t>국가계약법 및 관련 법령상 규정된 공공조달의 대표적인 '대상물(목적물)' 범주에 속하지 않는 것은?</t>
  </si>
  <si>
    <t>교량, 도로, 항만 등 국가 기반 시설을 새롭게 조성하거나 기존의 공공 건축물을 개축 및 보수하는 대규모 건설 공사</t>
  </si>
  <si>
    <t>전문적인 지식, 기술, 노하우 등을 활용하여 국가기관에 무형의 부가가치를 제공하는 소프트웨어 개발 등의 각종 용역</t>
  </si>
  <si>
    <t>국가가 국민의 기본적인 복지와 생활 편익을 증진하기 위해 최종적인 결과물로서 대국민에게 제공하는 무상의 공공서비스</t>
  </si>
  <si>
    <t>공공기관의 원활한 행정 업무 수행과 국가 운영 인프라 유지에 필수적으로 요구되는 각종 유형의 상업적 상품 및 물품</t>
  </si>
  <si>
    <t>* 정답 (③): 조달의 3대 객체(대상물)는 물품, 용역, 공사입니다. 공공서비스는 이러한 조달 행위를 통해 최종적으로 달성하려는 행정적 '목적'입니다.</t>
  </si>
  <si>
    <t>최근 수년간 공공조달 시장에서 정부가 획득하고자 하는 대상물의 범위가 단순한 규격 물품에서 시스템 통합 등 복합적이고 난해한 사업으로 크게 확대되고 있는 가장 주된 사회적 원인은?</t>
  </si>
  <si>
    <t>국민의 권리 의식과 행정 기대 수준이 지속적으로 향상되고 사회 구조가 융복합됨에 따라 정부가 선제적으로 제공해야 할 공공서비스의 형태가 매우 고도화되고 다양해졌기 때문이다.</t>
  </si>
  <si>
    <t>글로벌 경기 침체 및 민간 소비 시장의 장기적 위축으로 인해 새로운 캐시카우(Cash Cow)를 공공 시장에서 찾으려는 다양한 산업군의 조달기업들이 급격히 진입했기 때문이다.</t>
  </si>
  <si>
    <t>부정당업자 제재 등 조달 법령상의 엄격한 진입 규제로 인해 공공조달에 상시 참여할 수 있는 역량 있는 유효 공급자의 수가 과거에 비해 절대적으로 감소하고 있기 때문이다.</t>
  </si>
  <si>
    <t>복지 지출 증가에 따른 국가 재정 악화로 부처별 공공조달 예산이 매년 삭감됨에 따라, 단 한 번의 조달 발주로 여러 개의 중복된 행정 목적을 동시에 달성해야만 하기 때문이다.</t>
  </si>
  <si>
    <t>* 정답 (①): 스마트 시티 구축, 지능형 전자정부 서비스 도입 등 정부가 해결해야 할 사회 문제(공공서비스)가 융복합화됨에 따라 조달 대상 역시 고도화된 패키지 형태로 진화하고 있습니다.</t>
  </si>
  <si>
    <t>단순한 물자 비축에 불과했던 과거에 비해, 현대 공공조달 시장에서 국가가 획득해야 하는 대상물의 범위와 종류가 인공지능(AI), 클라우드 시스템 등으로 갈수록 비대해지고 고도화되는 가장 근본적인 이유는?</t>
  </si>
  <si>
    <t>국가 세수 펑크 등 심각한 재정 부족으로 부처별 공공조달 예산이 무자비하게 삭감됨에 따라, 최소한의 한정된 비용으로 최대한의 다목적 물자를 비축해야 할 행정적 필요성 때문이다.</t>
  </si>
  <si>
    <t>국민의 권리 의식 및 공공서비스에 대한 기대 수준이 크게 향상되고 사회 문제가 다변화됨에 따라 정부가 디지털 혁신 등 제공해야 할 공공서비스 자체가 고도로 복잡해지고 다양해졌기 때문이다.</t>
  </si>
  <si>
    <t>글로벌 경제 위기 및 민간 시장의 고질적 소비 위축으로 인해 회사의 새로운 현금창출원(Cash Cow)을 비교적 안정적인 공공 시장에서 찾으려는 중견기업 및 대기업들이 크게 늘어났기 때문이다.</t>
  </si>
  <si>
    <t>입찰 참여 자격 기준과 요구되는 재무 상태가 갈수록 엄격해짐에 따라 공공 시장 내에서 살아남은 소수의 공급자 간에만 독점적인 유효 경쟁이 심각하게 제한적으로 이루어지고 있기 때문이다.</t>
  </si>
  <si>
    <t>* 정답 (②): 디지털 플랫폼 정부 구현 등 국가가 당면한 행정적 과제와 공공서비스의 난이도가 과거와 비할 수 없이 복잡해졌기 때문에, 조달 발주 대상 역시 단순 규격품에서 고도화된 융복합 솔루션으로 진화하는 것입니다.</t>
  </si>
  <si>
    <t>[상황] 우리나라 조달제도의 발전 과정을 시대순으로 살펴보려 한다. 다음 중 옳은 설명을 모두 고르면? (ㄱ. 1997년 WTO 정부조달협정(GPA) 가입으로 국내 조달시장이 대외에 개방되었다 ㄴ. 차세대 나라장터는 인공지능·빅데이터 등 최신 기술 기반으로 개발되었다 ㄷ. 조선시대 대동법은 현물 공납을 쌀 등으로 통일한 제도 변화였다)</t>
  </si>
  <si>
    <t>ㄱ만 옳다</t>
  </si>
  <si>
    <t>ㄴ, ㄷ만 옳다</t>
  </si>
  <si>
    <t>ㄱ, ㄴ만 옳다</t>
  </si>
  <si>
    <t>ㄱ, ㄴ, ㄷ 모두 옳다</t>
  </si>
  <si>
    <t>* 정답 (④): GPA 가입에 따른 시장개방, 차세대 나라장터의 AI·빅데이터 기반 개발, 대동법의 현물 공납 통일이라는 세 설명 모두 옳음.</t>
  </si>
  <si>
    <t>[상황] 공공조달의 수요기관 유형(국가기관, 지방자치단체, 공기업, 기타 공공기관 등)별 등록 현황을 살펴볼 때 일반적으로 나타나는 경향으로 가장 적절한 것은?</t>
  </si>
  <si>
    <t>전체 수요기관 중에서 국가기관이 압도적으로 높은 비중을 차지한다.</t>
  </si>
  <si>
    <t>다양한 공공기관이 포함되며, 유형별 비중은 조사 시점마다 달라진다.</t>
  </si>
  <si>
    <t>공공조달 수요기관으로 등록할 수 있는 자격은 공기업으로만 제한된다.</t>
  </si>
  <si>
    <t>공공조달에 참여할 수 있는 수요기관의 유형은 국가기관으로 한정된다.</t>
  </si>
  <si>
    <t>* 정답 (②): 수요기관에는 국가기관·지방자치단체·공기업·기타 공공기관 등 다양한 유형이 포함되며, 유형별 정확한 등록 비중은 조사 시점의 통계에 따라 달라질 수 있어 최신 자료 확인이 필요함.</t>
  </si>
  <si>
    <t>[상황] 나라장터에 등록된 조달기업 전체 중 상당수가 중소기업이라는 통계가 발표되었다. 이 통계가 시사하는 바로 가장 적절한 것은?</t>
  </si>
  <si>
    <t>해당 통계는 공공조달시장 내 실제 공급자의 기업 규모별 구성 비율과는 전혀 무관한 정보이다.</t>
  </si>
  <si>
    <t>중소기업이 조달시장의 대다수를 차지하여, 공공조달이 중소기업 판로 지원에 실질적으로 기여하고 있다.</t>
  </si>
  <si>
    <t>현재 공공조달시장의 주요 공급망과 계약은 대부분 대기업을 위주로 집중되어 편향적으로 운영되고 있다.</t>
  </si>
  <si>
    <t>자본력 등의 현실적 한계로 인하여 일반 중소기업은 공공조달시장에 원천적으로 참여할 수 없다.</t>
  </si>
  <si>
    <t>* 정답 (②): 나라장터 등록기업의 상당수가 중소기업이라는 점은 공공조달이 중소기업 판로 지원 수단으로 실질적으로 기능할 수 있음을 보여줌(정확한 등록업체 수·비율은 조달청 최신 통계로 확인 필요).</t>
  </si>
  <si>
    <t>공공조달 계약에 참여하여 사업을 수행하는 '계약상대자(조달기업)'가 지켜야 할 권리와 의무에 대한 법리적 설명으로 명백히 틀린 것은?</t>
  </si>
  <si>
    <t>입찰 담합을 모의하거나 허위 서류 위변조 등 중대한 부정행위 발생 시, 국가계약법 등 관련 법령에 따라 최장 2년까지 향후 모든 공공 입찰 참가 자격이 제한(부정당업자 제재)될 수 있다.</t>
  </si>
  <si>
    <t>적법한 절차를 거쳐 낙찰자로 선정되어 정식 계약을 체결한 이후에는, 천재지변 등 불가항력의 사유가 없는 한 계약서 및 과업지시서에 명시된 납품 조건과 기한을 엄격히 준수할 책임을 진다.</t>
  </si>
  <si>
    <t>국가 조달 계약에서는 예산 집행 주체인 수요기관이 절대적인 우월적 지위를 가지므로, 계약상대자는 설령 부당한 과업 지시나 설계 변경 요구라 할지라도 이에 무조건적으로 복종할 법적 의무가 있다.</t>
  </si>
  <si>
    <t>납품하는 재화나 제공하는 용역이 사전에 약정된 규격과 품질 기준을 완벽히 충족해야 하며, 납품 이후 일정 기간 내에 계약 목적물에 하자가 발생할 경우 법령이 정한 바에 따라 사후관리(A/S) 책임을 진다.</t>
  </si>
  <si>
    <t>* 정답 (③): 국가계약법의 대원칙(제5조)에 따라 국가와 계약상대자는 '서로 대등한 입장에서 합의에 따라' 계약을 체결하고 신의성실의 원칙에 따라 이를 이행해야 하므로 무조건 복종할 의무는 없습니다.</t>
  </si>
  <si>
    <t>공공조달 시장에 진입하여 국가기관과 지속적인 파트너십을 맺고자 하는 공급자(조달기업)에게 가장 기본적이자 최우선적으로 요구되는 핵심 윤리 요소는?</t>
  </si>
  <si>
    <t>단발성 수익을 극대화하기 위해 경쟁 관계에 있는 타 업체들과 사전에 교감하여 투찰 가격을 은밀하게 모의하고 시장 질서를 교란하는 가격담합 행위</t>
  </si>
  <si>
    <t>입찰 공고문, 수요기관의 과업지시서, 국가계약법 및 하도급법 등 조달과 관련된 제반 법령과 규정을 철저히 숙지하고 한 치의 오차 없이 지키는 법규준수 행위</t>
  </si>
  <si>
    <t>입찰 적격심사 시 자사의 치명적인 결함이나 불리한 재무 상태가 감점 요소로 평가에 반영되지 않도록 신용평가 서류 조작에 적극 가담하는 정보은폐 행위</t>
  </si>
  <si>
    <t>박빙의 경쟁 상황에서 최종 낙찰 확률을 극적으로 높이기 위해 발주기관의 계약담당자나 평가위원에게 뇌물을 제공하거나 사적으로 접근하는 부정청탁 행위</t>
  </si>
  <si>
    <t>* 정답 (②): 입찰 담합, 부정청탁, 정보은폐 등은 모두 조달 질서를 심각하게 파괴하는 불법 행위이며, 조달 시장 참여의 대전제는 기업의 엄격한 윤리 경영과 청렴한 '법규 준수'입니다.</t>
  </si>
  <si>
    <t>[상황] 어느 위원회가 조달 행정이 법규에 맞게 집행되었는지 외부에서 점검하고 시정을 요구하는 역할을 한다고 하자. 이러한 감시·감독 기능에 가장 부합하는 기관 조합은?</t>
  </si>
  <si>
    <t>나라장터 운영기관과 조달업체 협의체</t>
  </si>
  <si>
    <t>지방자치단체와 조달업체 컨소시엄</t>
  </si>
  <si>
    <t>국회와 감사원</t>
  </si>
  <si>
    <t>수요기관과 공급업체</t>
  </si>
  <si>
    <t>* 정답 (③): 국회와 감사원은 조달 행정 전반을 외부에서 감시·감독하고 시정을 요구하는 대표적 기관임.</t>
  </si>
  <si>
    <t>공공조달 생태계를 구성하는 다양한 주체 중, 좁은 의미(협의)의 직접적 이해관계자로 분류하기 어려운 주체는?</t>
  </si>
  <si>
    <t>수요기관의 발주 조건과 과업지시서에 맞추어 실제 재화나 용역을 납품할 의무를 지는 조달기업(공급자)</t>
  </si>
  <si>
    <t>국가 예산 및 재정 집행의 적법성을 포괄적으로 감독하고 공공기관에 대한 회계 감사를 수행하는 감사원</t>
  </si>
  <si>
    <t>계약 법령과 지정된 행정 절차에 따라 상호 간에 구체적인 권리와 의무의 법률관계를 형성하는 계약 당사자</t>
  </si>
  <si>
    <t>대국민 공공서비스를 원활하게 제공하기 위해 필요 예산을 확보하고 조달 사업을 직접 발주하는 수요기관</t>
  </si>
  <si>
    <t>* 정답 (②): 조달을 직접 수행하는 수요기관과 기업은 '협의'의 이해관계자이며, 이를 감시하는 감사원, 국회, 일반 국민은 '광의'의 이해관계자입니다.</t>
  </si>
  <si>
    <t>공공조달 생태계를 구성하는 두 핵심 이해관계자인 수요기관(발주처)과 조달기업(공급자) 간의 상호 관계를 가장 입체적이고 정확하게 설명한 것은?</t>
  </si>
  <si>
    <t>각 이해관계자는 입찰부터 사후관리까지 정해진 법령에 따라 고정된 단일 역할만 엄격히 수행하며 상호 작용의 범위가 극히 제한되는 수직적 관계이다.</t>
  </si>
  <si>
    <t>양측 간에 계약 이행 과정에서 발생하는 설계 변경, 납기 지연 등의 의견 대립이나 갈등은 실제 납품되는 조달 목적물의 최종 품질에 아무런 영향을 미치지 않는다.</t>
  </si>
  <si>
    <t>수요자와 공급자는 양질의 공공서비스 창출과 계약의 성공적 완수라는 거시적 공동 목표 아래 언제나 이해관계가 완벽히 일치하는 확고한 동반자적 관계이다.</t>
  </si>
  <si>
    <t>성공적인 과업 완수를 위해 긴밀히 소통해야 하는 협력적 관계이면서도, 대금 지급이나 지체상금 등 경제적 반대급부를 둘러싸고는 팽팽하게 맞서는 대립적 관계가 공존한다.</t>
  </si>
  <si>
    <t>* 정답 (④): 발주처와 계약상대자는 사업 완수라는 측면에서는 파트너십을 맺은 '협력자'이지만, 비용 정산이나 하자 책임 소재 등 상업적·경제적 측면에서는 서로의 이익이 상충하는 '대립자'의 이중적 위치에 놓입니다.</t>
  </si>
  <si>
    <t>[상황] 발주기관이 두 제품 중 초기가는 더 비싸지만 유지보수 비용이 훨씬 적게 드는 제품을 선택하며, '장기적으로 더 경제적'이라고 설명했다. 이 판단 기준이 되는 원칙은?</t>
  </si>
  <si>
    <t>경쟁성(Competition)</t>
  </si>
  <si>
    <t>지속가능성(Sustainability)만을 의미하는 개념</t>
  </si>
  <si>
    <t>비용 대비 가치(Value for Money)</t>
  </si>
  <si>
    <t>윤리성(Ethics)</t>
  </si>
  <si>
    <t>* 정답 (③): 초기가격뿐 아니라 유지보수 등 총소유비용을 고려해 장기적으로 유리한 선택을 하는 것은 비용 대비 가치(VFM) 원칙의 적용임.</t>
  </si>
  <si>
    <t>[상황] 구매관리 강의에서 강사가 '적정 시기, 적정 수량, 적정 고객'을 언급하며 상업적 구매행위의 원칙을 설명했다. 이 원칙의 틀에 일반적으로 포함되지 않는 요소는?</t>
  </si>
  <si>
    <t>적정 규정(Right Regulation)</t>
  </si>
  <si>
    <t>적정 시기(Right Time)</t>
  </si>
  <si>
    <t>적정 수량(Right Quantity)</t>
  </si>
  <si>
    <t>적정 장소(Right Place)</t>
  </si>
  <si>
    <t>* 정답 (①): 상업적 구매의 적정요소 원칙은 통상 제품·가격·시기·품질·수량·고객·장소를 다루며, 'Right Regulation'은 이 틀에 포함되지 않음.</t>
  </si>
  <si>
    <t>공공조달 행위가 순수한 민간 부문의 상업적 구매(Private Purchasing) 활동과 뚜렷하게 구별되는 가장 핵심적인 특징은?</t>
  </si>
  <si>
    <t>재화 획득의 궁극적인 목적이 사적 이윤 창출이 아니라 국민의 세금을 재원으로 한 공공서비스의 제공이라는 공익성</t>
  </si>
  <si>
    <t>거래 당사자 간의 자유로운 의사 합치를 최우선적인 가치로 삼는 민법상의 계약 자유의 원칙에 대한 전면적인 적용</t>
  </si>
  <si>
    <t>복잡한 행정 규제와 심사 절차를 과감히 생략하여 필요 물자를 가장 신속하고 효율적으로 확보할 수 있는 절차적 유연성</t>
  </si>
  <si>
    <t>시장의 수요와 공급 변화에 기민하게 대응하여 단기적인 재무 수익을 극대화하기 위한 최고경영자의 빠른 의사결정력</t>
  </si>
  <si>
    <t>* 정답 (①): 공공조달의 본질적 존재 이유는 이윤 추구가 아닌 '공공서비스 제공'이라는 공익적 목적 달성에 있습니다.</t>
  </si>
  <si>
    <t>국가기관이 주도하는 '공공조달'과 일반 기업이 주도하는 '민간 구매' 간에 존재하는 가장 근본적인 목적의 차이를 바르게 짚어낸 것은?</t>
  </si>
  <si>
    <t>공공조달은 특정 기업의 독점적 이익을 우선적으로 보장하지만, 민간 구매는 산업 생태계 전체의 공익 실현을 최우선으로 삼는다.</t>
  </si>
  <si>
    <t>공공조달은 관계 법령에 부여된 공익 실현이 궁극적 목적이지만, 민간 구매는 특정 기업의 사적 이윤 창출과 필요 충족이 목적이다.</t>
  </si>
  <si>
    <t>공공조달은 공급자의 혁신적인 신기술 개발 유도에 집중하지만, 민간 구매는 수요자의 단순하고 맹목적인 소비 욕구 충족에만 몰두한다.</t>
  </si>
  <si>
    <t>공공조달은 오로지 공무원의 행정 편의주의를 목적으로 운영되지만, 민간 구매는 상법에 정해진 엄격한 법적 절차 준수를 목적으로 한다.</t>
  </si>
  <si>
    <t>* 정답 (②): 공공조달의 존재 이유는 공공서비스 제공과 국가 정책(공익) 실현이며, 민간 구매의 존재 이유는 사적 이윤과 효용의 극대화입니다.</t>
  </si>
  <si>
    <t>[상황] 한 신입 직원이 '공공조달과 민간구매는 재원·책임 구조가 다르지만, 결국 계약 상대방을 정해 물건을 사는 행위라는 점은 같다'고 말했다. 이 발언에서 놓치고 있는 점으로 가장 적절한 것은?</t>
  </si>
  <si>
    <t>공공조달과 민간구매는 모두 조직의 경제적 이윤 극대화를 최우선적인 공통 목적으로 삼고 운영된다는 점.</t>
  </si>
  <si>
    <t>공공조달과 민간구매는 계약 체결 및 이행 과정에서 모두 완전히 동일한 관련 법령의 적용을 받는다는 점.</t>
  </si>
  <si>
    <t>공공조달은 세금을 기반으로 국민에게 책임을 지지만, 민간구매는 주로 주주와 경영진에게 책임을 진다는 점.</t>
  </si>
  <si>
    <t>공공조달과 민간구매는 필요한 물품이나 용역을 구매할 때 활용하는 재원의 근본적인 성격에 차이가 없다는 점.</t>
  </si>
  <si>
    <t>* 정답 (③): 공공조달은 세금을 재원으로 국민·국회·감사원 등에 대한 다차원적 책임을, 민간구매는 주주·경영진에 대한 책임을 진다는 점에서 근본적으로 구분됨.</t>
  </si>
  <si>
    <t>다음 중 공공조달의 운영적 측면 목표로 명시적으로 다뤄지지 않는 개념은?</t>
  </si>
  <si>
    <t>책임성(Accountability)</t>
  </si>
  <si>
    <t>효율성(Efficiency)</t>
  </si>
  <si>
    <t>수익성(Profitability)</t>
  </si>
  <si>
    <t>* 정답 (④): 수익성은 민간구매의 목표이며, 공공조달의 운영적 측면 목표(VFM·공정성·투명성·책임성·효율성·경쟁성)에는 포함되지 않음.</t>
  </si>
  <si>
    <t>[상황] 한 보고서에서 'GPP', 'SRPP'라는 약칭을 사용하며 각각 다른 정책 목표를 설명했다. 이 두 약칭이 각각 가리키는 정책으로 옳게 짝지어진 것은?</t>
  </si>
  <si>
    <t>GPP=지속가능조달, SRPP=혁신조달</t>
  </si>
  <si>
    <t>GPP=혁신조달, SRPP=녹색조달</t>
  </si>
  <si>
    <t>GPP=녹색조달, SRPP=사회책임조달</t>
  </si>
  <si>
    <t>GPP=사회책임조달, SRPP=지속가능조달</t>
  </si>
  <si>
    <t>* 정답 (③): GPP(Green Public Procurement)는 녹색조달, SRPP(Socially Responsible Public Procurement)는 사회책임조달을 가리킴.</t>
  </si>
  <si>
    <t>[상황] 한 담당자가 '공공조달은 원래 수의계약이 기본이고 경쟁입찰은 예외적으로만 쓰인다'고 설명했다. 이 설명에 대한 평가로 가장 적절한 것은?</t>
  </si>
  <si>
    <t>틀린 설명이다. 공공조달에서 경쟁입찰과 수의계약 중 어느 것을 원칙으로 삼아야 하는지 법적으로 명확히 정해져 있지 않다.</t>
  </si>
  <si>
    <t>틀린 설명이다. 공공조달 업무에서는 공급자 선정 및 계약 방법에 대해 사전에 규정된 명확한 원칙 자체가 존재하지 않는다.</t>
  </si>
  <si>
    <t>틀린 설명이다. 공급자 선정은 경쟁입찰이 원칙이며, 수의계약은 관련 법령에서 정한 예외적인 사유가 있을 때만 허용된다.</t>
  </si>
  <si>
    <t>옳은 설명이다. 공공조달에서는 신속한 행정 처리와 효율성 확보를 위해 수의계약을 기본적인 계약 원칙으로 채택하고 있다.</t>
  </si>
  <si>
    <t>* 정답 (③): 공공조달의 공급자 선정은 경쟁입찰이 원칙이며, 수의계약은 법령이 정한 예외적 사유가 있을 때만 허용됨.</t>
  </si>
  <si>
    <t>[상황] 한 조달청 주무관이 신규 담당자들에게 공공계약 체결 시 준수해야 할 기본 원칙을 설명하고 있다. 이 중 적절하지 않은 발언은?</t>
  </si>
  <si>
    <t>발주기관과 조달업체는 어느 한쪽으로 치우침 없이 상호 동등하고 평등한 지위에서 공정하게 계약을 맺어야 합니다.</t>
  </si>
  <si>
    <t>계약 관계가 성립된 이후 양 당사자는 굳건한 신뢰를 바탕으로 합의된 내용을 성실하고 투명하게 이행해야 합니다.</t>
  </si>
  <si>
    <t>공공사업의 원활한 추진을 위해 불가피한 상황이라면 업체의 정당한 이익을 일부 제한하는 특약을 설정해도 무방합니다.</t>
  </si>
  <si>
    <t>계약의 성립과 세부 조건의 결정은 우월적 지위를 이용한 강요가 아닌 양측의 자율적이고 충분한 합의를 거쳐야 합니다.</t>
  </si>
  <si>
    <t>* 정답 (③): 국가계약법상 발주기관은 어떠한 경우라도 계약상대자의 정당한 이익을 부당하게 제한하거나 침해하는 부당한 특약 및 조건을 설정할 수 없음.</t>
  </si>
  <si>
    <t>국가계약법 제5조</t>
  </si>
  <si>
    <t>[상황] 한 발표자가 공공조달의 핵심원칙을 나열하며 '경쟁, 공정성, 지속가능성'을 언급했다. 다음 중 이 핵심원칙 목록에 함께 포함되기 어려운 것은?</t>
  </si>
  <si>
    <t>투명성(Transparency)</t>
  </si>
  <si>
    <t>* 정답 (①): 수익성은 민간기업의 목표이며, 공공조달의 핵심원칙(경쟁·투명성·공정성·효율성·책임성·윤리성·VFM·지속가능성)에는 포함되지 않음.</t>
  </si>
  <si>
    <t>[상황] 어느 학자가 "공공조달은 단순 물품 조달에서 시작해 법령 준수, 예산의 효율적 사용, 책임성 확보를 거쳐 궁극적으로 비용 대비 가치(VFM) 실현으로 발전한다"는 단계적 발전 모델을 제시했다. 이 모델이 강조하는 핵심 내용으로 가장 적절한 것은?</t>
  </si>
  <si>
    <t>공공조달의 핵심 목적은 기초적인 관련 법령과 규정을 준수하는 단계에 확고히 도달한 이후에는, 질적으로 더 이상 진화하거나 새로운 차원으로 발전하지 않고 정체된다.</t>
  </si>
  <si>
    <t>공공조달의 목적은 발전 단계가 거듭될수록 점차 확대 및 심화되며, 궁극적으로는 비용 대비 가치(VFM) 실현이라는 가장 고도화된 정책적 목표를 향해 지속 나아간다.</t>
  </si>
  <si>
    <t>해당 모델은 민간 기업의 단순 구매 관행을 설명하는 고전 이론으로, 복합적인 공공성을 지닌 정부의 공공조달 시스템이나 정책적 발전 과정과는 사실상 전혀 무관하다.</t>
  </si>
  <si>
    <t>공공조달 시스템은 제도의 도입 초기부터 성숙 단계에 이르기까지, 어떠한 외부 환경 변화에도 항상 동일한 수준의 기초적인 단순 물품 확보 목적만을 지속적으로 추구한다.</t>
  </si>
  <si>
    <t>* 정답 (②): 공공조달의 목적과 역할은 고정되어 있는 것이 아니라, 단순한 물품 확보라는 기초적 수준에서 출발해 규정 준수, 효율성, 책임성을 거쳐 최종적으로 '비용 대비 가치(VFM)'를 창출하는 심화된 수준으로 끊임없이 발전해 나간다는 점을 시사함.</t>
  </si>
  <si>
    <t>사기업의 구매 부서와 달리, 국가나 공공기관의 조달 업무 담당자에게 고도의 윤리의식과 공공성, 그리고 무거운 책임성이 그 무엇보다 강하게 요구되는 가장 근본적인 이유는?</t>
  </si>
  <si>
    <t>조달 사업에 투입되어 지출되는 모든 자금의 원천이 전적으로 국민이 피땀 흘려 납부한 신성한 세금(Tax)으로 조성된 공적 자금이기 때문이다.</t>
  </si>
  <si>
    <t>공공조달 시장에서 연간 집행되는 전체 예산의 절대적인 규모와 그에 따른 경제적 파급력이 국가 거시 경제 지표에 막대한 영향을 미치기 때문이다.</t>
  </si>
  <si>
    <t>세계무역기구 정부조달협정(WTO GPA) 가입국으로서 국제 사회가 요구하는 엄격하고 글로벌한 투명성 기준을 의무적으로 준수해야 하기 때문이다.</t>
  </si>
  <si>
    <t>수요 파악부터 입찰 공고, 적격심사, 낙찰, 그리고 계약 해제 및 지체상금 부과에 이르는 관련 법령과 행정 절차가 사기업에 비해 매우 복잡하기 때문이다.</t>
  </si>
  <si>
    <t>* 정답 (①): 조달 절차의 복잡성이나 경제적 파급력도 이유가 되지만, 조달 공무원에게 요구되는 청렴과 책임성의 가장 근원적인 잣대는 사용처의 재원이 '국민의 혈세'라는 점에 있습니다.</t>
  </si>
  <si>
    <t>조달 업무의 실무적 흐름을 보여주는 전체 라이프사이클을 6단계로 도식화할 때, 다음 빈칸에 들어갈 가장 알맞은 단계 명칭은? 
[조달계획 수립] → [조달 실행(입찰/계약)] → [계약 이행(납품) 관리] 
→ [ 빈칸 ] → [공급자 성과 평가] → [차기 계획 피드백]</t>
  </si>
  <si>
    <t>외부 민간 시장에 해당 조달 건의 세부 과업 내역을 널리 알리고 역량 있는 다수 업체의 경쟁적 참여를 유도하는 입찰 공고 단계</t>
  </si>
  <si>
    <t>참여 업체의 재무 건전성, 과거 납품 실적, 기술 인력 보유 현황 등 적합한 기준을 갖추었는지 꼼꼼히 검증하는 적격 자격 심사 단계</t>
  </si>
  <si>
    <t>물품의 획득이나 서비스 제공 중 예기치 않게 발생하는 각종 하자에 대해 책임 소재를 명확히 묻고 이를 무상으로 보완하는 사후 보증 단계</t>
  </si>
  <si>
    <t>계약상대자의 최종 납품 검수를 무사히 통과하고 사전에 약정된 대금을 관계 법령에 따라 정산하여 지급을 완료하는 계약 완료 단계</t>
  </si>
  <si>
    <t>* 정답 (④): 계약 이행(물품 납품 및 용역 수행)이 마무리되면, 검사/검수를 거쳐 대금을 지급하는 '계약 완료(종결)' 단계로 이어집니다. 이후 해당 업체의 성과를 평가하여 다음 계획에 피드백합니다.</t>
  </si>
  <si>
    <t>막대한 예산이 투입되는 공공조달 업무를 성공적으로 완수하고 예산 낭비를 막기 위해, 발주처인 조달기관이 가장 중점을 두고 통제 및 관리해야 할 핵심 사항은?</t>
  </si>
  <si>
    <t>수요 부서의 최초 조달 요구사항 분석 및 기획부터 시작하여, 입찰 공고, 낙찰자 선정, 물품 납품(이행), 그리고 사후 하자 평가에 이르기까지 구매 전·중·후의 전 과정을 유기적인 생애주기로 묶어 총체적으로 관리한다.</t>
  </si>
  <si>
    <t>공급자의 물품 납품 및 최초 설치가 정상적으로 완료된 이후에 발생하는 시스템 오류 및 유지보수 등 사후 영역은 전적으로 해당 물품을 쓰는 사용 부서의 책임이므로 조달 부서의 관리 대상에서 엄격히 제외한다.</t>
  </si>
  <si>
    <t>국가 예산 절감이 그 무엇보다 가장 중요한 가치이므로, 초기 서류 심사나 입찰 단계를 대폭 간소화하고 오로지 낙찰자와의 최종 가격 협상 과정에만 기관의 행정력을 집중적으로 투입하여 가격을 깎는 데 주력한다.</t>
  </si>
  <si>
    <t>계약이 최종적으로 체결되고 도장이 찍히는 시점의 법적 하자가 없는지가 향후 감사에서 가장 중요하게 다뤄지므로, 실제 이행 과정보다는 구매 및 계약이 성립하는 단일 행정 시점만을 중점적으로 서류상 관리한다.</t>
  </si>
  <si>
    <t>* 정답 (①): 현대적 공공조달 관리는 특정 시점의 단편적인 구매 행위 중심에서 벗어나, 사업의 기획 단계부터 계약 종결 및 폐기/사후 평가에 이르는 전체 생애주기(Life-Cycle)를 통합 관리하는 것을 핵심으로 합니다.</t>
  </si>
  <si>
    <t>국민의 세금을 재원으로 하는 공공계약의 고유한 행정적 특징으로 가장 올바른 것은?</t>
  </si>
  <si>
    <t>규정 위반 시 대외적 효력이 전면 무효화된다.</t>
  </si>
  <si>
    <t>최종 결과보다는 합법적 절차와 과정을 중시한다.</t>
  </si>
  <si>
    <t>상업적 이윤을 투명성보다 우선시하는 경향이 있다.</t>
  </si>
  <si>
    <t>법령의 모든 조문은 재량권이 배제된 강행규정이다.</t>
  </si>
  <si>
    <t>* 정답 (②): 공공조달은 세금을 집행하므로 절차적 정당성(과정)을 매우 중시합니다. 훈시규정 위반 시 무조건 무효화되는 것은 아니며 재량규정도 존재합니다.</t>
  </si>
  <si>
    <t>[상황] 공공조달의 구성요소를 '법적 근거', '이를 운영하는 조직', '실제 업무가 처리되는 수단'으로 나눠 설명하려 한다. 이 중 '실제 업무가 처리되는 수단'에 해당하는 것은?</t>
  </si>
  <si>
    <t>국가 공공조달 업무의 실무적 집행을 총괄하는 중앙행정기관인 조달청</t>
  </si>
  <si>
    <t>국가계약제도의 핵심 정책 수립을 총괄 담당하는 재정경제부 계약정책과</t>
  </si>
  <si>
    <t>공공조달 제도의 기본적 법적 근거인 '국가를 당사자로 하는 계약에 관한 법률'</t>
  </si>
  <si>
    <t>실제 조달 업무가 전산상으로 처리되는 국가종합전자조달시스템(나라장터)</t>
  </si>
  <si>
    <t>* 정답 (④): 나라장터는 실제 조달 업무가 처리되는 운영적 수단이며, 국가계약법은 법적 근거, 재정경제부·조달청은 이를 운영하는 조직에 해당함.</t>
  </si>
  <si>
    <t>[상황] 신임 실무자가 신규 사업 추진을 위해 공공조달 업무 프로세스를 정리하고 있다. 다음 중 공공조달의 표준적인 계약 추진 절차를 시간 흐름에 따라 가장 올바르게 나열한 것은?</t>
  </si>
  <si>
    <t>[개찰 및 심사] → [공식 입찰공고] → [사업 수요제기] → [낙찰자 선정] → [사전규격공개] → [입찰서류 제출] → [최종 계약체결]</t>
  </si>
  <si>
    <t>[공식 입찰공고] → [사업 수요제기] → [최종 계약체결] → [사전규격공개] → [입찰서류 제출] → [개찰 및 심사] → [낙찰자 선정]</t>
  </si>
  <si>
    <t>[사전규격공개] → [사업 수요제기] → [입찰서류 제출] → [개찰 및 심사] → [최종 계약체결] → [공식 입찰공고] → [낙찰자 선정]</t>
  </si>
  <si>
    <t>[사업 수요제기] → [사전규격공개] → [공식 입찰공고] → [입찰서류 제출] → [개찰 및 심사] → [낙찰자 선정] → [최종 계약체결]</t>
  </si>
  <si>
    <t>* 정답 (④): 공공조달은 발주기관의 '수요제기'를 시작으로, 업계 의견 수렴을 위한 '사전규격공개'와 '입찰공고'를 거쳐, '입찰서 제출 및 개찰', 적격심사 등을 통한 '낙찰자 선정' 후 최종적으로 '계약 체결'에 이르는 일련의 흐름을 따릅니다.</t>
  </si>
  <si>
    <t>[상황] 조달 담당자가 공급업체를 탐색해 적합한 후보군을 추리는 '소싱(Sourcing)' 단계를 막 끝냈다. 다음으로 진행해야 할 업무 단계로 가장 적절한 것은?</t>
  </si>
  <si>
    <t>내부 조달수요를 다시 식별하는 단계로 되돌아간다</t>
  </si>
  <si>
    <t>곧바로 낙찰자를 선정하는 단계로 건너뛴다</t>
  </si>
  <si>
    <t>제출된 입찰서를 평가하는 단계로 곧바로 넘어간다(권유 절차 없이)</t>
  </si>
  <si>
    <t>추린 후보군에게 입찰 참여를 권유하는 단계로 넘어간다</t>
  </si>
  <si>
    <t>* 정답 (④): 조달업무는 수요식별 → 공급업체탐색 → 소싱 → 입찰권유 → 입찰평가 순으로 이어지므로, 소싱 직후에는 입찰권유가 이루어짐.</t>
  </si>
  <si>
    <t>[상황] 해외 선진 조달 행정 체계 벤치마킹을 위해 관련 자료를 수집하던 중, 각국의 조달 전담기관 운영 현황에 대해 실무자들이 나눈 대화 내용이다. 이 중 가장 타당한 설명은 무엇인가?</t>
  </si>
  <si>
    <t>미국의 GSA나 영국의 CCS처럼 주요 선진국들은 대체로 국가 조달 정책을 수립하고 대규모 공동구매 사업을 총괄적으로 관리하는 별도의 전담 조달기관을 체계적으로 운영하고 있습니다.</t>
  </si>
  <si>
    <t>조달 업무의 특수성으로 인해 해외 선진국들조차 정부 조달만을 전담하는 별도의 독립적인 국가 기관을 설립하여 운영하는 사례는 전 세계적으로 사실상 전혀 존재하지 않는 것으로 파악됩니다.</t>
  </si>
  <si>
    <t>해외의 주요 조달기관들은 각 부처의 요구에 따라 단순한 물품 구매 대행 업무만을 기계적으로 수행할 뿐, 거시적인 조달 정책을 기획하거나 제도를 개선하는 권한은 전혀 보유하지 않습니다.</t>
  </si>
  <si>
    <t>글로벌 공공행정 개혁의 흐름에 따라 주요 선진국들의 국가 조달 전담기관들은 모두 동일한 특정 연도에 일괄적으로 설립되어 완벽히 똑같은 행정 기능과 조직적 역할을 수행하고 있습니다.</t>
  </si>
  <si>
    <t>* 정답 (①): 미국 GSA, 영국 CCS 등 주요 선진국은 범정부 차원의 조달 정책 수립 및 공동구매를 총괄하는 전담기관을 두고 있음. 단, 각 기관의 구체적인 설립 시기나 세부 기능은 국가별 행정 환경에 따라 상이함.</t>
  </si>
  <si>
    <t>대한민국 공공조달의 뼈대를 이루는 대표적인 계약 관련 법령인 「국가계약법」과 「지방계약법」을 실무적으로 구분하여 적용하는 가장 명확하고 절대적인 기준은?</t>
  </si>
  <si>
    <t>수의계약, 일반경쟁입찰, 다수공급자계약(MAS), 협상에 의한 계약 등 해당 조달 목적을 구체적으로 달성하기 위해 발주처가 채택한 계약 체결 방식의 종류</t>
  </si>
  <si>
    <t>최초 과업 납품 요구 지시로부터 최종 검수 완료 및 대금 지급 시점까지 소요되는 전체 조달 사업의 물리적 계약 기간과 장기계속계약 여부</t>
  </si>
  <si>
    <t>조달청 나라장터 등에 입찰 공고를 내고 최종적으로 계약서에 날인하여 해당 사업 자금을 집행하고 책임을 지는 핵심 계약 주체(발주기관)의 행정적 성격</t>
  </si>
  <si>
    <t>해당 조달 건을 통해 집행되는 전체 사업 예산 규모가 재정경제부장관이 고시하는 특정 고시 금액을 초과하는지 여부 및 최종 계약 금액의 크기</t>
  </si>
  <si>
    <t>* 정답 (③): 중앙행정기관(국가기관)이 주체가 되면 국가계약법을, 지방자치단체나 지방교육행정기관이 주체가 되면 지방계약법을 우선 적용합니다. 즉, 계약 주체의 성격이 법령 적용의 기준입니다.</t>
  </si>
  <si>
    <t>[상황] 조달 업무 신임 실무자가 공공계약의 법적 체계를 이루는 법령과 소관 부처를 다음과 같이 정리하였다. 
[ㄱ. 국가계약법-재정경제부, ㄴ. 지방계약법-행정안전부, ㄷ. 판로지원법-중소벤처기업부, ㄹ. 민법-법무부] 이에 대한 평가로 가장 적절한 것은?</t>
  </si>
  <si>
    <t>제시된 ㄱ, ㄴ, ㄷ, ㄹ의 조달 관련 주요 법령 및 계약의 일반법에 대한 각 소관 부처의 연결은 모두 법적으로 올바른 설명이다.</t>
  </si>
  <si>
    <t>제시된 항목 중에서 ㄴ(지방계약법)과 ㄹ(민법)의 소관 중앙부처를 서로 연결하여 정리한 실무자의 설명은 현행 법령상 옳지 않다.</t>
  </si>
  <si>
    <t>제시된 항목 중에서 ㄷ(판로지원법)과 ㄹ(민법)의 소관 중앙부처를 서로 연결하여 정리한 실무자의 설명은 현행 법령상 옳지 않다.</t>
  </si>
  <si>
    <t>제시된 항목 중에서 ㄱ(국가계약법)과 ㄷ(판로지원법)의 소관 중앙부처를 서로 연결하여 정리한 실무자의 설명은 현행 법령상 옳지 않다.</t>
  </si>
  <si>
    <t>* 정답 (①): 국가계약법은 재정경제부, 지방계약법은 행정안전부, 중소기업 제품 구매를 다루는 판로지원법은 중소벤처기업부, 공공계약의 기본 원리가 되는 민법은 법무부 소관으로 제시된 설명은 모두 옳음.</t>
  </si>
  <si>
    <t>공공계약 관련 법규 및 제정 배경에 대한 설명으로 가장 옳은 것은?</t>
  </si>
  <si>
    <t>지방계약법 하위 규정엔 시행령과 규칙만 있으며 별도 행안부 예규는 없다.</t>
  </si>
  <si>
    <t>조달시장 개방 및 국제 규범 대응을 위해 국가계약법이 별도로 제정되었다.</t>
  </si>
  <si>
    <t>국가계약법 하위 규정엔 시행령 등만 존재하며 재경부 계약예규는 제외된다.</t>
  </si>
  <si>
    <t>공공계약은 사법상 계약이므로 특별법인 계약법보다 민법이 항상 우선된다.</t>
  </si>
  <si>
    <t>정답 (②) 1995년 GPA 가입 등에 대응해 예산회계법에서 분리 제정됨 / ①·③ 각종 예규 존재함 / ④ 특별법이 우선함</t>
  </si>
  <si>
    <t>「국가계약법(1995.1.5., 법률 제4868호)」 제정·개정이유</t>
  </si>
  <si>
    <t>계약사무 위임 및 위탁에 대한 설명으로 가장 옳은 것은?</t>
  </si>
  <si>
    <t>지자체의 장은 계약사무를 다른 지방자치단체나 전문기관에 위탁하는 것이 전면 금지된다.</t>
  </si>
  <si>
    <t>지방계약법령상 계약사무를 위탁할 수 있는 전문기관에는 공기업과 준정부기관이 포함된다.</t>
  </si>
  <si>
    <t>각 중앙관서의 장이나 지자체장은 소속 기관의 특정 관직 지정 방식으로 계약사무를 위임할 수 없다.</t>
  </si>
  <si>
    <t>지자체가 국가기관에 계약사무를 위탁할 경우 수탁기관인 국가기관의 법령이 아닌 무조건 지방계약법을 적용한다.</t>
  </si>
  <si>
    <t>정답 (②) 지방계약법 시행령 제6조제2항제1호에 따라 공기업과 준정부기관이 전문기관에 명시적으로 포함됨 / ① 위임·위탁 자체는 허용됨 / ③ 관직 지정 방식의 위임 가능 / ④ 국가기관 위탁 시 국가계약법령을 따르는 것이 원칙</t>
  </si>
  <si>
    <t>지방계약법</t>
  </si>
  <si>
    <t>공공조달의 정의 및 목적의 기본 개념/원칙으로 가장 적절한 것은?</t>
  </si>
  <si>
    <t>* 정답 (①): 원칙(사전확정·공개·기록·동일적용)은 감사·분쟁 리스크를 줄이는 핵심이다. 공공조달은 법령에 따라 기준과 절차를 사전에 명확히 정하고, 모든 참가자에게 동일하게 적용함으로써 공정성과 투명성을 확보해야 한다.</t>
  </si>
  <si>
    <t>AAA</t>
  </si>
  <si>
    <t>공공조달의 정의 및 목적 관련 실무통제(리스크 관리)로 가장 적절한 것은?</t>
  </si>
  <si>
    <t>* 정답 (②): 문서화+사전공유는 분쟁 예방, 성과관리, 책임소재 명확화에 가장 효과적이다. 공공조달은 문서 기반의 투명한 절차를 원칙으로 하며, 요구사항과 평가기준 등은 반드시 사전에 문서화하여 이해관계자에게 공유되어야 한다.</t>
  </si>
  <si>
    <t>공공조달의 정의 및 목적에 관한 설명으로 옳은 것은?</t>
  </si>
  <si>
    <t>입찰·계약 단계에서 이해상충은 문제되지 않는다.</t>
  </si>
  <si>
    <t>조달절차의 각 단계는 관련 규정에 따라 수행되며, 핵심 판단은 기록으로 남겨야 한다.</t>
  </si>
  <si>
    <t>절차는 내부 방침만 따르면 되며 외부 기준은 고려하지 않는다.</t>
  </si>
  <si>
    <t>사전공개는 원칙이 아니라 선택사항이다.</t>
  </si>
  <si>
    <t>* 정답 (②): 절차 준수와 기록(근거)은 공공조달에서 필수 요건이다. 공공조달의 모든 단계는 「국가계약법」, 「지방계약법」 등 관련 규정에 따라 수행되어야 하며, 주요 의사결정은 반드시 기록으로 남겨 투명성과 책임성을 확보해야 한다.</t>
  </si>
  <si>
    <t>다음은 공공조달의 기본 원칙에 관한 설명이다. 옳은 것을 모두 고른 것은?
ㄱ. 공공조달은 공정성과 투명성을 확보해야 한다.
ㄴ. 입찰 기준은 입찰 마감 후 변경할 수 있다.
ㄷ. 주요 의사결정 과정은 기록으로 남겨야 한다.
ㄹ. 담당자의 재량에 따라 공개를 생략할 수 있다.</t>
  </si>
  <si>
    <t>ㄱ, ㄴ</t>
  </si>
  <si>
    <t>ㄱ, ㄷ</t>
  </si>
  <si>
    <t>ㄱ, ㄷ, ㄹ</t>
  </si>
  <si>
    <t>ㄱ, ㄴ, ㄷ</t>
  </si>
  <si>
    <t>* 정답 (②): 공공조달은 공정성·투명성 확보와 의사결정 기록이 핵심 원칙이다.</t>
  </si>
  <si>
    <t>「국가계약법」에 따른 '국가를 당사자로 하는 계약'의 의미에 포함되지 않는 것은?</t>
  </si>
  <si>
    <t>국가가 사인과 체결하는 물품구매계약</t>
  </si>
  <si>
    <t>국가기관이 체결하는 공사도급계약</t>
  </si>
  <si>
    <t>지방자치단체가 체결하는 용역계약</t>
  </si>
  <si>
    <t>중앙행정기관이 체결하는 임대차계약</t>
  </si>
  <si>
    <t>* 정답 (③): 지방자치단체가 체결하는 계약은 「지방계약법」의 적용을 받으며, 「국가계약법」은 국가(중앙행정기관 등)가 당사자인 계약에 적용된다.</t>
  </si>
  <si>
    <t>공공조달의 1차적 목적으로 가장 적절한 것은?</t>
  </si>
  <si>
    <t>국내 기업 보호 및 지원</t>
  </si>
  <si>
    <t>행정 업무 수행에 필요한 물품·공사·용역의 적기 조달</t>
  </si>
  <si>
    <t>조달청의 수익 창출</t>
  </si>
  <si>
    <t>민간기업의 경쟁력 향상</t>
  </si>
  <si>
    <t>* 정답 (②): 공공조달의 1차적 목적은 행정기관이 업무를 수행하는 데 필요한 물품, 공사, 용역을 적시에, 적정 품질로, 적정 가격에 조달하는 것이다.</t>
  </si>
  <si>
    <t>「조달사업법」상 '조달'의 정의에서 '물자'에 해당하지 않는 것은?</t>
  </si>
  <si>
    <t>수요기관이 필요로 하는 물품</t>
  </si>
  <si>
    <t>정부가 비축·관리하는 물자</t>
  </si>
  <si>
    <t>수요기관이 발주하는 시설 공사</t>
  </si>
  <si>
    <t>정부 창고에 보관 중인 물품</t>
  </si>
  <si>
    <t>* 정답 (③): 「조달사업법」에서 '물자'는 수요기관이 필요로 하거나 정부가 비축·관리하는 유형의 물품을 의미하며, 시설 공사(공사계약)는 별도로 구분한다.</t>
  </si>
  <si>
    <t>공공조달에서 '물품'과 '용역'을 구분하는 기준으로 가장 적절한 것은?</t>
  </si>
  <si>
    <t>계약금액의 크기</t>
  </si>
  <si>
    <t>유형성(물리적 형태) 존재 여부</t>
  </si>
  <si>
    <t>계약 당사자의 규모</t>
  </si>
  <si>
    <t>납품 장소의 위치</t>
  </si>
  <si>
    <t>* 정답 (②): 물품은 물리적 형태를 지닌 유형의 동산이고, 용역은 무형의 서비스 활동으로 구분된다. 가장 핵심적인 구분 기준은 유형성 여부이다.</t>
  </si>
  <si>
    <t>공공조달과 민간구매의 차이에 대한 설명으로 옳지 않은 것은?</t>
  </si>
  <si>
    <t>공공조달은 국민의 세금을 재원으로 한다.</t>
  </si>
  <si>
    <t>공공조달은 법령에 따른 엄격한 절차가 요구된다.</t>
  </si>
  <si>
    <t>공공조달은 사회적 가치 실현 목적이 포함될 수 있다.</t>
  </si>
  <si>
    <t>공공조달은 민간구매보다 구매 의사결정이 자유롭다.</t>
  </si>
  <si>
    <t>* 정답 (④): 공공조달은 법령에 따른 엄격한 절차·기준을 따라야 하므로 민간구매에 비해 의사결정의 자유도가 낮다.</t>
  </si>
  <si>
    <t>다음 중 공공조달 대상에 해당하지 않는 것은?</t>
  </si>
  <si>
    <t>사무용 컴퓨터 구매</t>
  </si>
  <si>
    <t>청사 신축 공사</t>
  </si>
  <si>
    <t>법률 자문 용역</t>
  </si>
  <si>
    <t>공무원 급여 지급</t>
  </si>
  <si>
    <t>* 정답 (④): 공무원 급여는 공공조달의 대상이 아닌 인건비 지출로서, 물품·공사·용역 계약과는 구별된다.</t>
  </si>
  <si>
    <t>「지방계약법」에 따른 '지방자치단체를 당사자로 하는 계약'에 해당하는 것은?</t>
  </si>
  <si>
    <t>교육부가 발주하는 교과서 인쇄·용역</t>
  </si>
  <si>
    <t>광역시가 발주하는 도로 포장 공사</t>
  </si>
  <si>
    <t>조달청이 체결하는 MAS 계약</t>
  </si>
  <si>
    <t>한국전력공사가 체결하는 전기 공급 계약</t>
  </si>
  <si>
    <t>* 정답 (②): 광역시는 지방자치단체에 해당하며, 광역시가 발주하는 공사 계약은 「지방계약법」의 적용 대상이다.</t>
  </si>
  <si>
    <t>공공조달에서 '공사'와 '용역'이 혼재하는 계약에서 적용 법령을 결정하는 기준은?</t>
  </si>
  <si>
    <t>계약 금액이 더 큰 부분의 법령 적용</t>
  </si>
  <si>
    <t>공사 부분의 법령 항상 우선 적용</t>
  </si>
  <si>
    <t>용역 부분의 법령 항상 우선 적용</t>
  </si>
  <si>
    <t>수요기관이 임의로 선택</t>
  </si>
  <si>
    <t>* 정답 (①): 물품과 용역이 혼재하거나 공사와 용역이 혼재하는 경우, 금액 비중이 더 큰 부분의 계약 유형에 해당하는 법령을 적용하는 것이 원칙이다.</t>
  </si>
  <si>
    <t>공공조달의 재원이 '국민의 세금'이라는 사실이 공공조달에 미치는 가장 직접적인 영향은?</t>
  </si>
  <si>
    <t>조달 물량 증가</t>
  </si>
  <si>
    <t>법령에 따른 엄격한 절차·투명성 요구</t>
  </si>
  <si>
    <t>민간기업과의 동일한 구매 방식 적용</t>
  </si>
  <si>
    <t>조달 품목의 다양화</t>
  </si>
  <si>
    <t>* 정답 (②): 공공조달은 국민 세금으로 집행되므로 효율성·공정성·투명성 확보를 위해 법령에 따른 엄격한 절차를 준수해야 한다.</t>
  </si>
  <si>
    <t>공공조달의 법령 적용에 관한 설명으로 옳은 것은?</t>
  </si>
  <si>
    <t>모든 공공기관은 「국가계약법」만 적용한다.</t>
  </si>
  <si>
    <t>한국철도공사는 「지방계약법」 적용 대상이다.</t>
  </si>
  <si>
    <t>공기업은 원칙적으로 공기업·준정부기관 계약사무규칙의 적용을 받는다.</t>
  </si>
  <si>
    <t>지방자치단체는 「국가계약법」과 「지방계약법」 중 선택 적용할 수 있다.</t>
  </si>
  <si>
    <t>* 정답 (③): 공기업과 준정부기관은 공공기관의 운영에 관한 법률에 따라 「공기업·준정부기관 계약사무규칙」이 적용된다. 국가기관은 「국가계약법」, 지방자치단체는 「지방계약법」 적용이 원칙이다.</t>
  </si>
  <si>
    <t>다음은 공공조달의 목적에 관한 설명이다. 옳은 것을 모두 고른 것은?
ㄱ. 공공재정의 효율적 집행
ㄴ. 공정한 경쟁 환경 조성
ㄷ. 공공서비스 품질 확보
ㄹ. 특정 기업의 보호</t>
  </si>
  <si>
    <t>ㄱ, ㄴ, ㄷ, ㄹ</t>
  </si>
  <si>
    <t>* 정답 (②):</t>
  </si>
  <si>
    <t>공공조달이 단순 구매 행위를 넘어 정책 도구로 활용되는 측면에 관한 설명으로 옳지 않은 것은?</t>
  </si>
  <si>
    <t>중소기업 판로 지원, 녹색제품 우선 구매 등 산업·환경 정책 실현 수단으로 활용된다.</t>
  </si>
  <si>
    <t>정부 지출 규모를 통한 경기 조절·고용 창출 등 거시경제적 영향을 미친다.</t>
  </si>
  <si>
    <t>혁신제품 우선 구매를 통해 신산업 시장 형성과 기술 혁신을 촉진한다.</t>
  </si>
  <si>
    <t>정책 도구화는 가격 효율성을 절대 기준으로 삼아 다른 가치를 배제한다.</t>
  </si>
  <si>
    <t>* 정답 (④): 공공조달의 정책 도구화는 가격 효율성 외에 사회적 가치, 환경, 혁신 등 복합적 가치를 함께 추구하는 방향이다. 가격을 절대 기준으로 삼는 것은 전통적 조달관에 가까우며, 현대적 공공조달은 다중 가치 통합을 지향한다.</t>
  </si>
  <si>
    <t>공공조달과 민간조달의 본질적 차이에 관한 설명으로 옳은 것은?</t>
  </si>
  <si>
    <t>민간조달은 법령상 절차에 엄격히 구속되며, 공공조달은 자율성이 보장된다.</t>
  </si>
  <si>
    <t>공공조달은 공공자금을 사용하므로 공정성·투명성·책임성이 절차적으로 강제된다.</t>
  </si>
  <si>
    <t>두 조달 모두 동일한 회계 기준과 감사 절차를 적용받는다.</t>
  </si>
  <si>
    <t>공공조달은 단가 절감만을 목표로 하며 사회적 가치는 고려 대상이 아니다.</t>
  </si>
  <si>
    <t>* 정답 (②): 공공조달은 국민의 세금 등 공공자금을 사용하므로 공정성·투명성·책임성이 법령으로 강제되며, 절차의 형식성이 본질적 특성이다. 민간조달은 기업 내규와 시장 자율에 따라 운영된다.</t>
  </si>
  <si>
    <t>공공조달의 사회경제적 기능에 관한 설명으로 옳지 않은 것은?</t>
  </si>
  <si>
    <t>공공서비스 제공에 필요한 물자·시설을 안정적으로 공급한다.</t>
  </si>
  <si>
    <t>정부 지출의 상당 부분을 차지하므로 거시경제 안정화 기능을 수행한다.</t>
  </si>
  <si>
    <t>중소기업·여성기업·장애인기업 등 정책 대상 기업의 시장 참여 기회를 제공한다.</t>
  </si>
  <si>
    <t>공공조달은 시장 가격 형성과 무관하게 운영되어 민간 산업에 영향을 미치지 않는다.</t>
  </si>
  <si>
    <t>* 정답 (④): 공공조달은 대규모 수요자로서 시장 가격 형성, 기술 표준 정립, 산업 생태계 조성에 직접적 영향을 미친다. 민간 산업과 단절된 운영은 현실적으로 불가능하다.</t>
  </si>
  <si>
    <t>공공조달이 추구하는 핵심 가치에 관한 설명으로 옳은 것은?</t>
  </si>
  <si>
    <t>경제성·효율성·공정성·투명성은 공공조달의 4대 가치로 균형 있게 추구되어야 한다.</t>
  </si>
  <si>
    <t>가장 낮은 가격 입찰자를 선정하는 것이 공공조달의 유일한 목표이다.</t>
  </si>
  <si>
    <t>투명성은 절차의 비공개를 통해 확보되는 가치이다.</t>
  </si>
  <si>
    <t>효율성은 공정성과 항상 일치하며 충돌하지 않는다.</t>
  </si>
  <si>
    <t>* 정답 (①): 공공조달은 경제성(자원의 효율적 사용), 효율성(절차 신속), 공정성(차별 없는 기회), 투명성(공개·검증 가능성)을 4대 가치로 추구하며, 이들 가치가 상호 충돌할 때 균형 있는 조정이 필요하다.</t>
  </si>
  <si>
    <t>한국 공공조달 시장의 규모와 위상에 관한 설명으로 옳지 않은 것은?</t>
  </si>
  <si>
    <t>한국의 공공조달 규모는 GDP 대비 상당한 비중을 차지하며, 정부 지출 정책의 핵심 수단이다.</t>
  </si>
  <si>
    <t>나라장터를 통한 전자조달 비중이 높아 국제적으로도 선진 사례로 평가받는다.</t>
  </si>
  <si>
    <t>공공조달은 한국 경제에서 차지하는 비중이 미미하여 정책 효과가 제한적이다.</t>
  </si>
  <si>
    <t>공공조달 시장은 정부 정책 변화에 따라 산업 구조 전반에 파급 효과를 미친다.</t>
  </si>
  <si>
    <t>* 정답 (③): 한국 공공조달 시장은 GDP 대비 큰 비중을 차지하며, 정책 변화의 파급 효과가 산업 구조 전반에 영향을 미치는 핵심 시장이다. 비중이 미미하다는 설명은 사실에 반한다.</t>
  </si>
  <si>
    <t>이해관계자의 기본 개념/원칙으로 가장 적절한 것은?</t>
  </si>
  <si>
    <t>담당자 편의에 따라 공개 기록을 생략할 수 있다.</t>
  </si>
  <si>
    <t>* 정답 (③): 원칙(사전확정·공개·기록·동일적용)은 감사·분쟁 리스크를 줄이는 핵심이다. 공공조달에는 수요자·공급자·조달기관·감사기관·국민 등 다양한 이해관계자가 관여하므로, 기준과 절차를 사전에 확정하고 동일하게 적용하는 것이 모든 이해관계자 간의 신뢰를 확보하는 기반이 된다.</t>
  </si>
  <si>
    <t>이해관계자 관련 실무통제(리스크 관리)로 가장 적절한 것은?</t>
  </si>
  <si>
    <t>* 정답 (③): 문서화+사전공유는 분쟁 예방, 성과관리, 책임소재 명확화에 가장 효과적이다. 이해관계자가 다층적으로 존재하는 공공조달 구조에서, 요구사항과 평가기준을 문서화하여 사전에 공유하는 것은 정보 비대칭을 줄이고 절차적 공정성을 확보하는 핵심 수단이다.</t>
  </si>
  <si>
    <t>이해관계자에 관한 설명으로 옳은 것은?</t>
  </si>
  <si>
    <t>* 정답 (③): 절차 준수와 기록(근거)은 공공조달에서 필수 요건이다. 수요기관 내부의 사업담당부서, 계약부서, 법률부서, 감사부서 각각이 서로 다른 관점에서 조달 절차에 관여하므로, 각 단계의 의사결정과 판단을 기록으로 남기는 것이 책임 분담 구조의 실효성을 보장하는 핵심이다.</t>
  </si>
  <si>
    <t>「조달사업법」상 수요기관에 해당하지 않는 것은?</t>
  </si>
  <si>
    <t>중앙행정기관</t>
  </si>
  <si>
    <t>지방자치단체</t>
  </si>
  <si>
    <t>사립 병원</t>
  </si>
  <si>
    <t>공기업·준정부기관</t>
  </si>
  <si>
    <t>* 정답 (③): 사립 병원은 민간기관으로 수요기관에 해당하지 않는다.</t>
  </si>
  <si>
    <t>발주기관과 수요기관의 관계로 옳은 것은?</t>
  </si>
  <si>
    <t>항상 동일한 기관이다.</t>
  </si>
  <si>
    <t>수요기관이 직접 발주하거나 조달청에 의뢰 시 달라질 수 있다.</t>
  </si>
  <si>
    <t>발주기관은 항상 조달청이다.</t>
  </si>
  <si>
    <t>수요기관은 민간기업이다.</t>
  </si>
  <si>
    <t>* 정답 (②): 수요기관이 직접 입찰을 발주하면 발주기관과 수요기관이 같지만, 조달청을 통한 중앙조달 시에는 달라질 수 있다.</t>
  </si>
  <si>
    <t>조달기업의 기본 자격 요건으로 옳은 것은?</t>
  </si>
  <si>
    <t>반드시 대기업이어야 한다.</t>
  </si>
  <si>
    <t>나라장터에 업체 등록 후 관련 자격을 갖추어야 한다.</t>
  </si>
  <si>
    <t>외국 기업은 참여 불가</t>
  </si>
  <si>
    <t>특허 보유 기업만 가능</t>
  </si>
  <si>
    <t>* 정답 (②): 조달기업은 나라장터에 업체 등록을 마치고 계약 유형에 따른 자격(면허 등)을 갖추어야 입찰에 참여할 수 있다.</t>
  </si>
  <si>
    <t>공공조달에서 감사원의 역할로 옳은 것은?</t>
  </si>
  <si>
    <t>직접 낙찰자를 선정한다.</t>
  </si>
  <si>
    <t>국가기관 조달 업무를 감사하는 간접 이해관계자이다.</t>
  </si>
  <si>
    <t>입찰 공고문을 작성한다.</t>
  </si>
  <si>
    <t>계약을 대신 체결한다.</t>
  </si>
  <si>
    <t>* 정답 (②): 감사원은 국가기관의 업무를 감사하는 기관으로, 공공조달의 절차 적정성을 감사하는 간접 이해관계자이다.</t>
  </si>
  <si>
    <t>공공조달에서 국민(납세자)의 이해관계자 지위로 옳은 것은?</t>
  </si>
  <si>
    <t>직접 계약 당사자이다.</t>
  </si>
  <si>
    <t>공공재원 제공자이자 행정서비스 수혜자이다.</t>
  </si>
  <si>
    <t>이해관계가 없다.</t>
  </si>
  <si>
    <t>입찰에 직접 참여한다.</t>
  </si>
  <si>
    <t>* 정답 (②): 국민은 세금이라는 공공재원을 제공하고 행정서비스를 최종 수혜하는 간접 이해관계자이다.</t>
  </si>
  <si>
    <t>시민사회단체(NGO)의 이해관계자 분류로 옳은 것은?</t>
  </si>
  <si>
    <t>공공부문 이해관계자</t>
  </si>
  <si>
    <t>민간부문 이해관계자</t>
  </si>
  <si>
    <t>계약 당사자</t>
  </si>
  <si>
    <t>발주기관</t>
  </si>
  <si>
    <t>* 정답 (②): 시민사회단체(NGO)는 민간부문 이해관계자로 분류된다.</t>
  </si>
  <si>
    <t>2024년 기준 국내 공공조달 수요기관 수로 옳은 것은?</t>
  </si>
  <si>
    <t>약 1만 개</t>
  </si>
  <si>
    <t>약 3만 개</t>
  </si>
  <si>
    <t>약 7.2만 개</t>
  </si>
  <si>
    <t>약 50만 개</t>
  </si>
  <si>
    <t>* 정답 (③): 2024년 기준 국내 공공조달 수요기관은 총 약 7.2만 개이다.</t>
  </si>
  <si>
    <t>공공조달 수요기관의 분류에 관한 설명으로 옳지 않은 것은?</t>
  </si>
  <si>
    <t>국가기관에는 중앙행정기관과 그 산하기관이 포함된다.</t>
  </si>
  <si>
    <t>지방자치단체와 지방의회, 지방공기업은 모두 별개의 법령 근거를 갖는다.</t>
  </si>
  <si>
    <t>「공공기관의 운영에 관한 법률」에 따른 공기업·준정부기관·기타공공기관도 수요기관에 해당한다.</t>
  </si>
  <si>
    <t>사립 유치원·초중고교·대학은 어떠한 경우에도 공공조달 수요기관에 포함되지 않는다.</t>
  </si>
  <si>
    <t>* 정답 (④): 사립 교육기관도 「유아교육법」, 「초·중등교육법」, 「고등교육법」 등 관련 법령에 따라 조달사업법령상 수요기관(그 외 공공기관)에 포함된다.</t>
  </si>
  <si>
    <t>공공조달 공급자(조달기업)의 자격 요건에 관한 설명으로 옳은 것은?</t>
  </si>
  <si>
    <t>입찰 참가 자격등록이 없어도 모든 공공조달에 자유롭게 참여할 수 있다.</t>
  </si>
  <si>
    <t>다른 법령에서 허가·인가·면허·등록·신고 등을 요구하는 경우 해당 자격을 갖추어야 한다.</t>
  </si>
  <si>
    <t>부정당업자 제재를 받은 자도 제재 기간 중 자유롭게 입찰에 참가할 수 있다.</t>
  </si>
  <si>
    <t>외국 기업은 어떠한 경우에도 공공조달에 참여할 수 없다.</t>
  </si>
  <si>
    <t>* 정답 (②): 공급자는 입찰 참가 자격등록 필수, 관련 법령상 허가·인가·면허·등록 등 자격 요건 충족, 부정당업자 제재 기간 중 입찰 참여 제한, 외국 기업은 GPA(정부조달협정) 등 국제규범에 따라 일정 조건에서 참여 가능하다.</t>
  </si>
  <si>
    <t>공공조달의 감독·통제 기관과 권한의 연결로 옳지 않은 것은?</t>
  </si>
  <si>
    <t>감사원 - 회계검사·직무감찰을 통한 조달 절차 감독</t>
  </si>
  <si>
    <t>공정거래위원회 - 입찰담합 규제, 하도급 공정거래 감시</t>
  </si>
  <si>
    <t>재정경제부 - 「국가계약법」 등 제도 총괄, 유권해석</t>
  </si>
  <si>
    <t>행정안전부 - 「국가계약법」의 제·개정 권한 보유</t>
  </si>
  <si>
    <t>* 정답 (④): 「국가계약법」의 제·개정, 해석 권한은 재정경제부에 있다. 행정안전부는 「지방계약법」을 소관한다.</t>
  </si>
  <si>
    <t>공공조달의 외부 이해관계자에 관한 설명으로 옳은 것은?</t>
  </si>
  <si>
    <t>시민사회·언론은 공공조달의 투명성 감시 기능을 수행하지 못한다.</t>
  </si>
  <si>
    <t>학계·연구기관은 정책 평가와 제도 개선 권고를 통해 간접적으로 참여한다.</t>
  </si>
  <si>
    <t>외부 이해관계자는 조달 절차에 어떠한 영향도 미치지 않는다.</t>
  </si>
  <si>
    <t>국제기구는 한국의 국내 조달에 전혀 관여하지 않는다.</t>
  </si>
  <si>
    <t>* 정답 (②): 학계·연구기관은 정책 평가·제도 개선 권고를 통해, 시민사회·언론은 감시·보도를 통해, 국제기구(WTO, OECD 등)는 협정·권고를 통해 공공조달에 영향을 미치는 외부 이해관계자이다.</t>
  </si>
  <si>
    <t>공공조달 참여자 간 권리·의무 관계에 관한 설명으로 옳지 않은 것은?</t>
  </si>
  <si>
    <t>수요기관은 공정한 입찰 절차 운영 의무와 적정한 대금 지급 의무를 진다.</t>
  </si>
  <si>
    <t>공급자는 계약 이행 의무와 함께 부정당행위를 하지 않을 의무를 진다.</t>
  </si>
  <si>
    <t>수요기관과 공급자는 모두 「국가계약법」상 이의신청·분쟁조정 절차를 활용할 권리가 있다.</t>
  </si>
  <si>
    <t>수요기관은 절대적 우월적 지위를 가지므로 공급자에게 부당한 조건을 강요할 수 있다.</t>
  </si>
  <si>
    <t>* 정답 (④): 공공조달은 신의성실 원칙·계약자유의 원칙이 적용되는 대등한 당사자 관계를 전제하며, 수요기관의 우월적 지위 남용은 불공정조달행위로 조달사업법상 제재 대상이다.</t>
  </si>
  <si>
    <t>공공조달의 특성의 기본 개념/원칙으로 가장 적절한 것은?</t>
  </si>
  <si>
    <t>* 정답 (④): 원칙(사전확정·공개·기록 동일적용)은 감사·분쟁 리스크를 줄이는 핵심이다.</t>
  </si>
  <si>
    <t>다음 중 공공조달의 특성 관련 실무통제(리스크 관리)로 가장 적절한 것은?</t>
  </si>
  <si>
    <t>* 정답 (③): 문서화+사전공유는 문쟁 예방, 성과관리, 책임소재 명확화에 가장 효과적이다.</t>
  </si>
  <si>
    <t>다음 중 공공조달의 특성에 관한 설명으로 옳은 것은?</t>
  </si>
  <si>
    <t>* 정답 (③): 절차 준수와 기록(근거)은 공공조달에서 필수 요건이다.</t>
  </si>
  <si>
    <t>공공조달의 '공공성'에 관한 설명으로 옳은 것은?</t>
  </si>
  <si>
    <t>조달기관의 이익 극대화가 목적이다.</t>
  </si>
  <si>
    <t>국민의 세금을 재원으로 하므로 공익 실현이 목적이다.</t>
  </si>
  <si>
    <t>민간기업과 동일한 원리로 운영된다.</t>
  </si>
  <si>
    <t>비용 절감만을 최우선 목표로 한다.</t>
  </si>
  <si>
    <t>* 정답 (②): 공공조달은 공공재원(세금)을 바탕으로 하므로 공익 실현과 효율적 집행이 핵심 특성이다.</t>
  </si>
  <si>
    <t>공공조달이 민간구매와 가장 다른 특성은?</t>
  </si>
  <si>
    <t>구매 규모가 작다.</t>
  </si>
  <si>
    <t>법령에 의한 엄격한 절차 공개 의무가 부과된다.</t>
  </si>
  <si>
    <t>가격 협상이 자유롭다.</t>
  </si>
  <si>
    <t>품질 기준이 없다.</t>
  </si>
  <si>
    <t>* 정답 (②): 공공조달은 법령에 따른 절차, 공개 의무, 경쟁 원칙이 엄격히 적용된다는 점에서 민간구매와 근본적으로 다르다.</t>
  </si>
  <si>
    <t>공공조달에서 '사회적 가치' 실현 수단으로 옳은 것은?</t>
  </si>
  <si>
    <t>최저가 낙찰만 활용</t>
  </si>
  <si>
    <t>중소기업·장애인기업 우선구매, 녹색조달 등 정책적 구매 활용</t>
  </si>
  <si>
    <t>대기업에게만 기회 부여</t>
  </si>
  <si>
    <t>입찰 절차 간소화</t>
  </si>
  <si>
    <t>* 정답 (②): 공공조달은 구매력을 활용하여 중소기업 지원, 녹색조달, 장애인기업 우선구매 등 사회적 가치를 실현하는 정책 수단이 된다.</t>
  </si>
  <si>
    <t>공공조달에서 '투명성'을 확보하기 위한 수단으로 옳은 것은?</t>
  </si>
  <si>
    <t>입찰 결과를 내부 문서로만 관리</t>
  </si>
  <si>
    <t>입찰공고·평가기준 계약 결과를 공개한다.</t>
  </si>
  <si>
    <t>담당자 재량으로 공개 여부 결정</t>
  </si>
  <si>
    <t>계약서를 작성하지 않는다.</t>
  </si>
  <si>
    <t>* 정답 (②): 투명성 확보를 위해 입찰공고, 평가기준, 낙찰 결과 등은 나라장터 등을 통해 공개되어야 한다.</t>
  </si>
  <si>
    <t>공공조달에서 '규모의 경제'를 활용하는 방법으로 적절한 것은?</t>
  </si>
  <si>
    <t>기관별 소량 개별 구매</t>
  </si>
  <si>
    <t>나라장터 통합구매 MAS 계약 등 공동구매 활용</t>
  </si>
  <si>
    <t>수의계약만 활용</t>
  </si>
  <si>
    <t>입찰 없이 수시 구매</t>
  </si>
  <si>
    <t>* 정답 (②): 여러 기관의 수요를 통합하여 대량 구매하면 단가를 낮출 수 있으며, MAS 단가계약 등이 이를 활용한 방식이다.</t>
  </si>
  <si>
    <t>공공조달에서 '효율성'과 '공정성'이 충돌할 때 원칙으로 옳은 것은?</t>
  </si>
  <si>
    <t>효율성이 항상 우선된다.</t>
  </si>
  <si>
    <t>공정성이 항상 우선된다.</t>
  </si>
  <si>
    <t>법령 절차를 준수하면서 양자의 균형을 추구한다.</t>
  </si>
  <si>
    <t>담당자 판단에 따라 결정한다.</t>
  </si>
  <si>
    <t>* 정답 (③): 공공조달에서는 법령에서 정한 절차를 준수하면서 효율성과 공정성을 균형 있게 추구하는 것이 원칙이다.</t>
  </si>
  <si>
    <t>공공조달에서 '책임성'의 의미로 옳은 것은?</t>
  </si>
  <si>
    <t>낙찰자에게 모든 책임을 전가한다.</t>
  </si>
  <si>
    <t>공공재원 집행에 대한 결과를 국민에게 설명하고 책임을 지는 것이다.</t>
  </si>
  <si>
    <t>담당 공무원이 개인적 책임을 지지 않는다.</t>
  </si>
  <si>
    <t>계약 종료 후 책임이 소멸된다.</t>
  </si>
  <si>
    <t>* 정답 (②): 책임성은 공공재원 집행 결과에 대해 국민과 상급기관에 설명하고, 위반 시 징계 배상 등 책임을 지는 것을 의미한다.</t>
  </si>
  <si>
    <t>공공조달의 상업적 구매 행위 특성에 관한 설명으로 옳은 것은?</t>
  </si>
  <si>
    <t>공공조달은 상업적 거래의 본질을 가지지 않으므로 시장 원리는 적용되지 않는다.</t>
  </si>
  <si>
    <t>공공조달도 매도 매수의 상업적 거래이지만 공익성·공정성을 추가로 요구받는다.</t>
  </si>
  <si>
    <t>공공조달은 일방적 행정처분이며 양 당사자 합의는 필요 없다.</t>
  </si>
  <si>
    <t>공공조달은 모든 점에서 민간 상거래와 동일하다.</t>
  </si>
  <si>
    <t>* 정답 (②): 공공조달은 본질적으로 매도 매수의 상업적 거래이지만, 거래 일방이 공공기관이라는 점에서 공익성 공정성·투명성·책임성이 추가로 요구된다. 시장 원리(가격 형성, 경쟁)는 작동하되 절차적 통제가 강하다.</t>
  </si>
  <si>
    <t>공공조달의 조달행위 특성에 관한 설명으로 옳지 않은 것은?</t>
  </si>
  <si>
    <t>공공자금을 사용하므로 회계법령·예산법령의 통제를 받는다.</t>
  </si>
  <si>
    <t>절차의 형식성이 강하여 입찰공고·공개경쟁·낙찰자 결정 절차가 법령으로 규정된다.</t>
  </si>
  <si>
    <t>사후 감사·분쟁에 대비하여 모든 의사결정 과정을 기록·보존해야 한다.</t>
  </si>
  <si>
    <t>담당자의 재량으로 절차를 단축하거나 생략할 수 있다.</t>
  </si>
  <si>
    <t>* 정답 (④): 공공조달의 절차는 법령으로 규정되어 담당자의 재량 단축·생략은 원칙적으로 허용되지 않는다. 법정 사유(긴급성소액 등)가 있어야 간소화 절차 적용이 가능하다.</t>
  </si>
  <si>
    <t>공공조달 거래 구조의 다층성에 관한 설명으로 옳은 것은?</t>
  </si>
  <si>
    <t>발주기관 - 계약상대자 - 하수급인 - 자재공급사 등 다층적 거래 구조를 갖는다.</t>
  </si>
  <si>
    <t>모든 거래는 발주기관과 직접 계약상대자 간의 단일 관계로 한정된다.</t>
  </si>
  <si>
    <t>하도급 관계는 공공조달 영역에 포함되지 않는다.</t>
  </si>
  <si>
    <t>자재 공급은 발주기관이 항상 직접 수행한다.</t>
  </si>
  <si>
    <t>* 정답 (①): 공공조달은 발주기관 계약상대자 하수급인→자재공급자로 이어지는 다층 구조를 가지며, 하도급 단계의 공정거래대금지급 등도 '하도급법, 전자적 하도급 관리 시스템 등으로 통제된다.</t>
  </si>
  <si>
    <t>공공조달의 책임성 확보 메커니즘에 관한 설명으로 옳지 않은 것은?</t>
  </si>
  <si>
    <t>입찰·계약·집행의 모든 단계가 문서화·전산화되어 추적 가능성을 확보한다.</t>
  </si>
  <si>
    <t>감사원의 회계검사·직무감찰을 통한 외부 통제가 작동한다.</t>
  </si>
  <si>
    <t>부정당업자 제재 제도를 통해 공급자 측의 부정행위를 통제한다.</t>
  </si>
  <si>
    <t>책임성 확보는 사후 감사로만 가능하며 사전적 통제는 불가능하다.</t>
  </si>
  <si>
    <t>* 정답 (④): 공공조달의 책임성은 ① 사전적 통제(입찰공고 공개경쟁·평가위원회 운영), ② 진행 중 통제(검사·감독), ③ 사후 통제(감사·제재)의 3단계 메커니즘으로 확보된다. 사후 감사에만 의존하지 않는다.</t>
  </si>
  <si>
    <t>공공조달에서 위험 분담의 일반 원칙에 관한 설명으로 옳은 것은?</t>
  </si>
  <si>
    <t>모든 위험은 계약상대자가 부담하는 것이 원칙이다.</t>
  </si>
  <si>
    <t>모든 위험은 발주기관이 부담하는 것이 원칙이다.</t>
  </si>
  <si>
    <t>위험은 그 위험을 가장 잘 관리·통제할 수 있는 당사자가 부담하는 것이 원칙이다.</t>
  </si>
  <si>
    <t>위험 분담은 계약 체결 후 발생 시점에서야 결정된다.</t>
  </si>
  <si>
    <t>* 정답 (③): 공공계약의 위험 분담은 "위험을 가장 잘 관리할 수 있는 당사자가 부담하는 효율성 원칙을 띠른다. 예: 시공 위험은 시공자, 설계 변경 위험은 발주기관, 물가변동은 일정 한도 내 분담 등이다.</t>
  </si>
  <si>
    <t>공공조달의 구성 체계의 기본 개념/원칙으로 가장 적절한 것은?</t>
  </si>
  <si>
    <t>* 정답 (②): 공공조달 구성체계의 핵심 원칙은 기준의 사전 확정, 공개, 기록, 동일 적용이며, 이는 감사·분쟁 리스크를 줄이는 기반이 된다.</t>
  </si>
  <si>
    <t>다음 중 공공조달의 구성 체계 관련 실무통제(리스크 관리)로 가장 적절한 것은?</t>
  </si>
  <si>
    <t>* 정답 (④): 문서화와 사전 공유는 분쟁 예방, 성과관리, 책임소재 명확화에 가장 효과적인 실무 통제 수단이다.</t>
  </si>
  <si>
    <t>다음 중 공공조달의 구성 체계에 관한 설명으로 옳은 것은?</t>
  </si>
  <si>
    <t>특정 업체를 지명하고 동등이상 허용 여부는 사후 결정한다.</t>
  </si>
  <si>
    <t>* 정답 (②): 공공조달 구성체계에서 절차 준수와 기록 관리는 필수 요건이며, 변경 시에도 문서화된 절차에 따라 처리해야 한다.</t>
  </si>
  <si>
    <t>공공조달 규범의 계층 구조를 상위에서 하위 순서로 올바르게 나열한 것은?</t>
  </si>
  <si>
    <t>법률 → 헌법 → 시행령 → 시행규칙 → 행정규칙</t>
  </si>
  <si>
    <t>헌법 → 법률 → 시행령 → 시행규칙 → 행정규칙</t>
  </si>
  <si>
    <t>헌법 → 시행령 → 법률 → 행정규칙 → 시행규칙</t>
  </si>
  <si>
    <t>법률 → 시행령 → 헌법 → 시행규칙 → 행정규칙</t>
  </si>
  <si>
    <t>* 정답 (②): 공공조달 규범은 헌법(경제조항) → 법률(「국가계약법」, 「지방계약법」, 「조달사업법」 등) → 시행령(대통령령) → 시행규칙(부령) → 행정규칙(계약예규·고시·훈령·지침)의 5단 계층으로 구성된다. 헌법이 최상위이며, 하위 규범은 상위 규범에 위반될 수 없다.</t>
  </si>
  <si>
    <t>「국가계약법」과 「지방계약법」의 소관 기관이 올바르게 짝지어진 것은?</t>
  </si>
  <si>
    <t>「국가계약법」 - 행정안전부, 「지방계약법」 - 재정경제부</t>
  </si>
  <si>
    <t>「국가계약법」 - 재정경제부, 「지방계약법」 - 행정안전부</t>
  </si>
  <si>
    <t>「국가계약법」 - 조달청, 「지방계약법」 - 행정안전부</t>
  </si>
  <si>
    <t>「국가계약법」 - 재정경제부, 「지방계약법」 - 국토교통부</t>
  </si>
  <si>
    <t>* 정답 (②): 「국가계약법」은 재정경제부가 소관하며 국가기관·소속기관의 계약을 규율한다. 「지방계약법」은 행정안전부가 소관하며 지방자치단체의 계약 투명성과 효율성 확보를 목적으로 한다. 두 기관은 각 법령의 유권해석 권한도 보유한다.</t>
  </si>
  <si>
    <t>조달청의 역할에 관한 설명으로 옳지 않은 것은?</t>
  </si>
  <si>
    <t>「조달사업법」에 근거하여 설치된 재정경제부 소속 중앙행정기관이다.</t>
  </si>
  <si>
    <t>나라장터(국가종합전자조달시스템)를 운영하며 전자조달 절차를 지원한다.</t>
  </si>
  <si>
    <t>일정 금액 이상의 물품·공사·용역에 대해 수요기관의 구매를 의무 대행한다.</t>
  </si>
  <si>
    <t>모든 공공기관의 조달 건을 예외 없이 독점적으로 처리한다.</t>
  </si>
  <si>
    <t>* 정답 (④): 조달청은 일정 금액 이상의 대형 표준 품목에 대해 의무구매 대행 기능을 수행하지만 소액 건이나 기관 고유 사업은 각 수요기관이 자체적으로 조달한다. 한국은 조달청 30%, 자체조달 70%의 혼합형 구조로 운영되므로 독점 처리는 사실이 아니다.</t>
  </si>
  <si>
    <t>중앙집중형 조달 운영 모델의 특징으로 옳지 않은 것은?</t>
  </si>
  <si>
    <t>대량 묶음 구매를 통해 단가 절감 효과를 기대할 수 있다.</t>
  </si>
  <si>
    <t>친환경·중소기업 지원 등 정책 목표를 일관되게 반영하기 용이하다.</t>
  </si>
  <si>
    <t>개별 기관의 특수·긴급 수요에 신속하게 대응하기 유리하다.</t>
  </si>
  <si>
    <t>절차의 표준화와 통일된 법령·규정 체계 적용이 가능하다.</t>
  </si>
  <si>
    <t>* 정답 (③): 개별 기관의 특수·긴급 수요에 신속하게 대응하는 것은 분산형 모델의 장점이다. 중앙집중형은 표준화된 절차 위주로 운영되므로 수요 반영에 시간이 소요되는 한계가 있다. 중앙집중형의 핵심 장점은 비용 절감, 정책 일관성, 절차 표준화이다.</t>
  </si>
  <si>
    <t>한국 공공조달 운영 모델에 관한 설명으로 옳은 것은?</t>
  </si>
  <si>
    <t>조달청이 모든 국가 조달을 독점 처리하는 완전 중앙집중형이다.</t>
  </si>
  <si>
    <t>조달청 중심 중앙조달 약 30%, 각 기관 자체조달 약 70%로 구성된 혼합형이다.</t>
  </si>
  <si>
    <t>각 기관이 독자적으로 모든 조달을 수행하는 완전 분산형이다.</t>
  </si>
  <si>
    <t>조달청과 각 기관이 50:50 비율로 조달을 균등 분담하는 혼합형이다.</t>
  </si>
  <si>
    <t>* 정답 (②): 한국은 중앙조달기관인 조달청이 일정 금액 이상의 조달을 대행하고, 소액 건이나 기관 고유 사업은 각 기관이 자체 처리하는 혼합형 모델을 채택하고 있다. 통상 조달청 중심 약 30%, 각 기관 자체조달 약 70%의 비중으로 운영된다.</t>
  </si>
  <si>
    <t>다음 중 성과감사(Performance Audit)의 주된 초점으로 옳은 것은?</t>
  </si>
  <si>
    <t>법정 절차·기한·자격요건 등 규범의 충족 여부를 확인한다.</t>
  </si>
  <si>
    <t>조달 활동이 정책 목표를 달성했는지, 비용 대비 가치(VFM)가 적정한지를 평가한다.</t>
  </si>
  <si>
    <t>지출 기록의 정확성과 부패·횡령 등 금전적 비위 여부를 점검한다.</t>
  </si>
  <si>
    <t>부패 사건·신규 시스템 도입 등 특정 사안에 초점을 맞추어 수시로 실시한다.</t>
  </si>
  <si>
    <t>* 정답 (②): 성과감사는 조달 활동이 소기의 목적을 달성했는지, 투입 대비 산출이 적정한지를 평가하는 감사이다. '①'은 적법성 점검(규정준수 감사), '③'은 재정 건전성 점검(재무 감사), '④'는 목적 지향적 점검(특수목적 감사)에 해당한다.</t>
  </si>
  <si>
    <t>UN, WTO, OECD, EU 등 주요 국제기구가 공공조달의 공통 기본원칙으로 제시하는 3가지를 올바르게 나열한 것은?</t>
  </si>
  <si>
    <t>공정성, 효율성, 수익성</t>
  </si>
  <si>
    <t>경쟁, 차별금지·평등대우, 투명성</t>
  </si>
  <si>
    <t>경쟁, 신속성, 투명성</t>
  </si>
  <si>
    <t>공개성, 전문성, 안전성</t>
  </si>
  <si>
    <t>* 정답 (②): 국제기구들이 공통으로 제시하는 공공조달 3대 원칙은 '경쟁', '차별금지·평등대우', '투명성'이다. 감독은 이 원칙들이 현실에서 실제로 지켜지고 있는지를 검증하는 핵심 수단으로 기능한다.</t>
  </si>
  <si>
    <t>공공조달 규범의 계층 구조에 관한 설명으로 옳지 않은 것은?</t>
  </si>
  <si>
    <t>헌법은 경제질서·기본권 조항을 통해 제도의 정당성 기반을 제공한다.</t>
  </si>
  <si>
    <t>「국가계약법」과 「지방계약법」은 동일한 법률에 통합되어 운영된다.</t>
  </si>
  <si>
    <t>시행령은 법률이 위임한 세부 요건·절차를 구체화한다.</t>
  </si>
  <si>
    <t>계약예규·고시·훈령은 입찰·계약 실무의 상세 기준을 제공하는 행정규칙이다.</t>
  </si>
  <si>
    <t>* 정답 (②): 「국가계약법」은 국가기관의 계약을 규율하고 「지방계약법」은 지방자치단체의 계약을 규율하는 별개 법률이다. 적용 주체와 소관 부처(재정경제부·행정안전부)도 다르다.</t>
  </si>
  <si>
    <t>공공조달 관련 법령의 소관 기관 연결로 옳지 않은 것은?</t>
  </si>
  <si>
    <t>「국가계약법」 - 재정경제부</t>
  </si>
  <si>
    <t>「지방계약법」 - 행정안전부</t>
  </si>
  <si>
    <t>「조달사업법」 - 조달청 운영 근거/재정경제부 소속</t>
  </si>
  <si>
    <t>「전자조달법」 - 산업통상자원부</t>
  </si>
  <si>
    <t>* 정답 (④): 「전자조달법」은 전자적 방법에 의한 조달 절차의 법적 효력을 부여하는 법률로, 조달청이 운영 주체이며 재정경제부 소관이다. 산업통상자원부 소관이 아니다.</t>
  </si>
  <si>
    <t>공공조달의 실행 주체와 역할에 관한 설명으로 옳지 않은 것은?</t>
  </si>
  <si>
    <t>조달청은 일정 금액 이상의 물품·공사·용역에 대해 의무구매 대행 기능을 수행한다.</t>
  </si>
  <si>
    <t>방위사업청은 무기체계와 군수물자의 조달을 전담한다.</t>
  </si>
  <si>
    <t>조달청이 모든 공공조달을 독점적으로 처리하므로 수요기관의 자체 조달은 허용되지 않는다.</t>
  </si>
  <si>
    <t>농수산식품유통공사는 공공급식 식재료 분야의 전자조달 플랫폼(NeaT)을 운영한다.</t>
  </si>
  <si>
    <t>* 정답 (③): 소액 구매·기관 고유 사업·긴급 수요 등에서는 수요기관이 자체조달기관으로 기능하며, 적용 법령(「국가계약법」 또는 「지방계약법」)을 직접 준수해 입찰·계약 절차를 진행한다.</t>
  </si>
  <si>
    <t>공공조달 운영 모델에 관한 설명으로 옳은 것은?</t>
  </si>
  <si>
    <t>중앙집중형은 단일 또는 소수의 전문기관이 국가 전체의 조달 수요를 통합 처리하는 방식이다.</t>
  </si>
  <si>
    <t>분산형은 모든 조달을 단일 기관이 처리하므로 절차 표준화 효과가 가장 크다.</t>
  </si>
  <si>
    <t>혼합형은 국제적으로 채택 사례가 없는 이론적 모델이다.</t>
  </si>
  <si>
    <t>한국은 완전한 분산형 모델을 채택하고 있다.</t>
  </si>
  <si>
    <t>* 정답 (①): 중앙집중형은 통합 처리, 분산형은 개별 기관 처리, 혼합형은 양자 결합이다. 분산형은 표준화보다 기관 자율성에 강점이 있고, 한국은 중앙집중(조달청 의무구매 대행)과 분산(수요기관 자체 조달)이 결합된 혼합형에 해당한다.</t>
  </si>
  <si>
    <t>공공조달 구성체계에서 특별법 우선 원칙에 관한 설명으로 옳은 것은?</t>
  </si>
  <si>
    <t>모든 공공조달 계약은 「국가계약법」이 다른 법률보다 우선하여 적용된다.</t>
  </si>
  <si>
    <t>다른 법률에 특별한 규정이 있으면 그 법이 우선 적용된다.</t>
  </si>
  <si>
    <t>행정규칙은 법률보다 우선 적용된다.</t>
  </si>
  <si>
    <t>「조달사업법」은 「국가계약법」보다 항상 후순위로 적용된다.</t>
  </si>
  <si>
    <t>* 정답 (②): 「국가계약법」 제3조는 다른 법률에 특별한 규정이 있으면 그 법이 우선 적용된다고 규정한다(특별법 우선 원칙). 따라서 「판로지원법」의 중소기업자 간 경쟁제품 등 특별 규정이 있는 경우에는 그 법이 우선한다.</t>
  </si>
  <si>
    <t>공공조달과 법제도 이해 - 2. 공공조달 원칙 및 방법</t>
  </si>
  <si>
    <t>[상황] 한 강사가 공공조달의 5대 기본원칙을 설명하며 '투명성, 비용대비가치, 경쟁성, 차별금지 및 동등대우, 책임성'을 언급했다. 다음 중 이 목록에 포함될 가능성이 가장 낮은 개념은?</t>
  </si>
  <si>
    <t>경쟁성(Competitiveness)</t>
  </si>
  <si>
    <t>* 정답 (④): 수익성은 민간구매의 최우선 목표이며, 공공조달의 5대 기본원칙(투명성·VFM·경쟁성·차별금지동등대우·책임성)에는 포함되지 않음.</t>
  </si>
  <si>
    <t>[상황] 발주기관이 사무기기를 구매하면서 구매가격뿐 아니라 유지보수 비용, 소모품 비용, 폐기 비용까지 함께 비교해 선정했다. 이러한 접근방식이 구현하는 원칙은?</t>
  </si>
  <si>
    <t>차별금지 및 동등대우</t>
  </si>
  <si>
    <t>비용 대비 가치(VFM)</t>
  </si>
  <si>
    <t>책임성</t>
  </si>
  <si>
    <t>경쟁성</t>
  </si>
  <si>
    <t>* 정답 (②): 구매가격 외에 유지보수·폐기 등 총소유비용까지 종합 고려하는 것은 비용 대비 가치(VFM) 원칙의 구현임.</t>
  </si>
  <si>
    <t>[상황] 한 공공기관의 조달 담당자가 신규 장비 도입을 위해 TCO(총소유비용)를 산정하면서, '장비의 최초 취득부터 운영, 그리고 최종 폐기까지 우리 기관이 실제로 지출하게 될 모든 비용'을 합산하여 집계했다. 이러한 산정 방식에 대한 평가로 가장 적절한 것은?</t>
  </si>
  <si>
    <t>틀린 산정 방식이다. TCO는 장비의 최초 취득과 운영 기간의 유지보수 비용만을 합산하는 재무 지표이므로, 수명이 종료된 이후의 최종 폐기 단계에서 발생하는 각종 처리 비용은 원칙적으로 전면 제외하고 계산해야 한다.</t>
  </si>
  <si>
    <t>올바른 산정 방식이다. 하지만 향후 감사에 대비해 객관성을 완벽히 입증하려면, 우리 기관의 실제 지출 비용 외에 입찰에 참여했던 타 경쟁업체들의 평균 제시 가격까지도 TCO 산출 내역에 반드시 포함시켜야만 한다.</t>
  </si>
  <si>
    <t>올바른 산정 방식이다. TCO(총소유비용)는 자산의 최초 취득 단계부터 정비 등의 운영 기간을 거쳐 최종 폐기에 이르기까지, 해당 자산과 관련해 실질적으로 발생하는 모든 비용을 온전히 포괄하는 개념이기 때문이다.</t>
  </si>
  <si>
    <t>틀린 산정 방식이다. 공공조달에서 TCO는 당해 예산 집행을 위해 장비를 최초 도입할 때 지급하는 초기 구매 가격만을 의미하므로, 향후에 지속적으로 발생하게 될 장기적인 운영 비용 및 폐기 비용은 제외해야 한다.</t>
  </si>
  <si>
    <t>* 정답 (③): TCO(Total Cost of Ownership, 총소유비용)는 자산을 획득하고 유지·보수하며 최종적으로 폐기하는 전체 수명 주기 동안 실제 발생하는 모든 지출 비용을 합산한 포괄적 개념임. 경쟁업체의 가격을 억지로 포함시킬 필요가 없으며, 단순 초기 구매 비용만을 의미하지도 않음.</t>
  </si>
  <si>
    <t>[상황] 한 공공기관의 계약담당자가 입찰 공고가 정식으로 게시되기 전에, 평소 친분이 있던 특정 업체에게만 과업지시서 등 입찰 관련 핵심 정보를 미리 제공했다. 이러한 담당자의 행위가 위반하고 있는 공공조달의 기본 원칙으로 가장 적절한 것은?</t>
  </si>
  <si>
    <t>특정 업체에 유리한 입찰 환경을 조성했으므로 '경쟁성 원칙'만을 단편적으로 위반한 것이며, 공공조달의 다른 핵심적인 기본 원칙들과는 직접적인 연관성이 없다.</t>
  </si>
  <si>
    <t>계약 공고 이전의 단순한 절차적 하자에 해당할 뿐이므로, 공공 예산 집행에 대해 국민에게 엄중히 책임을 져야 한다는 '책임성 원칙'과는 사실상 전혀 무관하다.</t>
  </si>
  <si>
    <t>예산을 절감하여 경제적 효율성을 달성해야 한다는 '비용 대비 가치 원칙'만을 단독으로 훼손한 것이며, 공공조달의 절차적 공정성 문제로 치부하기는 매우 어렵다.</t>
  </si>
  <si>
    <t>잠재적 입찰자 모두에게 동등하게 정보를 공개해야 한다는 '투명성 원칙' 및 특정 업체를 부당하게 우대해서는 안 되는 '차별금지·동등대우 원칙'에 정면으로 반한다.</t>
  </si>
  <si>
    <t>* 정답 (④): 특정 업체에만 사전 정보를 제공하는 행위는 입찰 관련 정보를 모든 이해관계자에게 투명하게 공개해야 한다는 '투명성 원칙'과 특정인을 유리하게 대우하지 않아야 한다는 '차별금지 및 동등대우 원칙'을 심각하게 훼손하는 부정행위임.</t>
  </si>
  <si>
    <t>[상황] 한 신임 계약담당자가 "향후 감사를 대비하여 공공조달의 책임성을 확보하려면, 무조건 가장 낮은 입찰 가격을 제시한 최저가 업체를 낙찰자로 선정하는 것이 가장 확실한 방법이다"라고 주장했다. 이 주장의 핵심적인 문제점은 무엇인가?</t>
  </si>
  <si>
    <t>단순 가격 중심의 무조건적인 최저가 낙찰 방식은 오히려 조달 목적물의 품질 저하를 초래하여 '비용 대비 가치(VFM)' 원칙을 심각하게 훼손할 우려가 크므로, 진정한 의미의 책임성 확보 방안이 될 수 없다.</t>
  </si>
  <si>
    <t>책임성 원칙은 예산 집행 과정의 경제성과는 전혀 무관한 독립적 개념이므로, 입찰 업체의 가격 제안 수준이나 구체적인 낙찰자 선정 방식 등 재무적인 요소들을 억지로 결부시켜 책임성을 논의하는 것은 잘못된 접근이다.</t>
  </si>
  <si>
    <t>공공조달에서 의미하는 책임성이란 사후 감사 기관의 지적 사항을 회피하기 위한 소극적인 방어 기제에만 전적으로 국한되므로, 초기 입찰 단계에서의 가격 산정 문제나 낙찰자 결정 방식과는 근본적으로 아무런 관련성이 없다.</t>
  </si>
  <si>
    <t>해당 주장은 아무런 문제가 없다. 국민의 혈세를 집행하는 공공조달의 특성상, 예산을 최대한 절감할 수 있는 무조건적 최저가 선정이 곧 투명하고 공정한 업무 처리이자 책임성을 완벽하게 입증하는 가장 핵심적인 지표이다.</t>
  </si>
  <si>
    <t>* 정답 (①): 무조건적인 최저가 선정은 장기적인 품질과 효율성을 따지는 VFM(비용 대비 가치) 원칙을 훼손할 수 있음. 공공조달의 책임성은 단순한 가격 인하가 아니라 합리적 의사결정 과정, 꼼꼼한 기록 보관, 투명한 성과평가 등을 통해 확보됨.</t>
  </si>
  <si>
    <t>[상황] 신입 직원이 '공공조달은 수의계약을 기본으로 하고 경쟁입찰은 특별한 경우에만 쓰는 것 아니냐'고 물었다. 이에 대한 올바른 답변은?</t>
  </si>
  <si>
    <t>아니다. 제한경쟁이 원칙이며 나머지가 예외이다</t>
  </si>
  <si>
    <t>아니다. 일반경쟁이 원칙이며, 제한경쟁·지명경쟁·수의계약이 예외적으로 허용된다</t>
  </si>
  <si>
    <t>맞다. 지명경쟁이 원칙이고 나머지가 보조수단이다</t>
  </si>
  <si>
    <t>맞다. 수의계약이 원칙이고 경쟁입찰이 예외이다</t>
  </si>
  <si>
    <t>* 정답 (②): 국가계약법 제7조는 일반경쟁을 원칙으로 규정하며, 제한경쟁·지명경쟁·수의계약은 예외적 방법임.</t>
  </si>
  <si>
    <t>국가계약법 제7조</t>
  </si>
  <si>
    <t>[상황] 적격심사제도를 처음 접한 직원이 '결국 가격만 보고 낙찰자를 정하는 것 아니냐'고 물었다. 이 질문에 대한 올바른 답변은?</t>
  </si>
  <si>
    <t>아니다. 입찰가격과 함께 계약이행능력(수행능력·재무상태·신인도 등)을 종합 심사한다</t>
  </si>
  <si>
    <t>아니다. 오직 재무상태만으로 결정한다</t>
  </si>
  <si>
    <t>맞다. 수행능력만 보고 가격은 보지 않는다</t>
  </si>
  <si>
    <t>맞다. 오직 가격만으로 결정한다</t>
  </si>
  <si>
    <t>* 정답 (①): 적격심사제도는 가격뿐 아니라 수행능력·재무상태·신인도 등 계약이행능력을 종합적으로 심사하는 제도임.</t>
  </si>
  <si>
    <t>국가계약법령 및 조달사업법령의 취지에 비추어 볼 때, 공공조달 업무 수행 시 요구되는 핵심 기본원칙에 해당하지 않는 것은?</t>
  </si>
  <si>
    <t>조달 절차와 심사 기준을 외부로 투명하게 공개하여 조달 행정에 대한 국민적 신뢰를 확보하는 투명성 유지의 원칙</t>
  </si>
  <si>
    <t>다수의 유효한 공급자에게 입찰에 참여할 수 있는 동등한 기회를 부여하여 시장의 활력을 높이는 경쟁성 확보의 원칙</t>
  </si>
  <si>
    <t>특정 조달기업과의 장기적이고 반복적인 거래 관계를 우선적으로 보호하여 공급망을 고착화하는 지속성 유지의 원칙</t>
  </si>
  <si>
    <t>투입된 국가 예산 대비 최적의 품질과 효용을 추구하여 재정 지출의 효율성을 극대화하는 비용대비 가치 창출의 원칙</t>
  </si>
  <si>
    <t>* 정답 (③): 공공조달은 공정성과 경쟁성을 중시하므로, 특정 기업과의 거래를 고착화하여 기회균등을 저해하는 '지속성 유지'는 기본원칙이 될 수 없습니다.</t>
  </si>
  <si>
    <t>국가계약법령의 기본 이념에 비추어 볼 때, 공공조달 제도를 운영함에 있어 반드시 지켜야 할 3대 원칙으로 볼 수 없는 것은?</t>
  </si>
  <si>
    <t>합리적인 기준 없이 특정 기업에 부당한 특혜를 주거나 불이익을 강요하는 행위를 원천적으로 차단하는 차별금지의 원칙</t>
  </si>
  <si>
    <t>조달 사업 수행 과정에서 공공기관의 재무적 이익과 잉여금을 극대화하여 국고에 환수하도록 규정하는 수익 창출의 원칙</t>
  </si>
  <si>
    <t>공공 입찰과 관련된 모든 정보와 평가 기준을 외부로 명확하게 공개하여 절차적 정당성을 확보하는 투명성 유지의 원칙</t>
  </si>
  <si>
    <t>자격 요건을 갖춘 다수의 적격 공급자에게 입찰에 참여할 수 있는 동등한 기회를 균등하게 보장하는 경쟁 확보의 원칙</t>
  </si>
  <si>
    <t>* 정답 (②): 공공조달은 국가 예산을 재원으로 공공성을 실현하는 것이 목적이므로, 민간 기업처럼 조달 자체를 통한 '재무적 수익 창출'을 원칙으로 삼지 않습니다.</t>
  </si>
  <si>
    <t>공공기관의 계약 및 지출 업무 담당자가 조달 업무 수행 시 원칙적으로 '경쟁적 조달 방법(경쟁입찰)'을 우선적으로 선택하여 설계해야 하는 가장 타당하고 중요한 법리적 근거는?</t>
  </si>
  <si>
    <t>조달청의 적격심사 및 낙찰자 선정 과정이 시스템을 통해 완벽히 정형화되어 있어, 경험이 부족한 실무자의 행정 편의성과 업무 효율성이 수의계약 대비 대폭 향상되기 때문이다.</t>
  </si>
  <si>
    <t>수의계약 시 발생할 수 있는 잦은 유찰의 위험이나 업체 간의 분쟁 소지가 적고, 궁극적으로 발주기관이 필요한 물자를 최종적으로 획득하는 데 걸리는 전체 조달 기간이 단축되기 때문이다.</t>
  </si>
  <si>
    <t>오랜 기간 거래해 오며 제품의 품질이 이미 검증된 신뢰할 수 있는 특정 우수 조달기업의 몫을 확실히 챙겨주어 그들의 안정적 매출 규모를 정책적으로 보호해 줄 수 있기 때문이다.</t>
  </si>
  <si>
    <t>국가 세금을 사용하는 조달 행정의 근간인 공공성 확보, 절차적 투명성 보장, 그리고 관련 업계의 기회균등이라는 공공조달 제도의 확고한 대원칙을 준수하기 위한 최우선 전제 조건이기 때문이다.</t>
  </si>
  <si>
    <t>* 정답 (④): 조달의 기본 이념인 경쟁, 투명성, 차별금지를 공정하게 실현하는 가장 완벽하고 원칙적인 방법론이 바로 지정정보처리장치를 통한 공개 경쟁입찰입니다.</t>
  </si>
  <si>
    <t>공공조달 제도를 공정하고 굳건하게 지탱하기 위해, 실무자와 기업이 가슴에 새기고 각종 법령에서 엄격하게 규정하고 있는 '3대 기본원칙(Core Principles)'을 가장 바르게 나열한 것은?</t>
  </si>
  <si>
    <t>행정상 불필요한 비용을 과감히 단축하는 절차적 편의성의 원칙, 다양한 사회적 가치를 포괄적으로 실현하는 포용성의 원칙, 납품 결과에 끝까지 책임지는 사후관리 보장의 원칙</t>
  </si>
  <si>
    <t>장기간의 안정적이고 익숙한 거래를 유도하는 공급망 지속성의 원칙, 영세한 지역 중소기업을 무조건적으로 보호하는 상생협력의 원칙, 첨단 신기술을 우대하는 기술 혁신성의 원칙</t>
  </si>
  <si>
    <t>특정 자격 요건을 갖춘 자에게 참여 기회균등을 보장하는 경쟁의 원칙, 정당한 이유 없이 특정 업체를 배제하지 않는 차별금지 원칙, 심사 기준과 절차를 투명하게 공개하는 투명성의 원칙</t>
  </si>
  <si>
    <t>투입되는 국가 예산 대비 산출 효율을 무조건적으로 높이는 경제성 제일주의 원칙, 무역협정에도 불구하고 국내 기업을 무조건 우대하는 자국우대 원칙, 공정성을 중시하는 도덕적 책임의 원칙</t>
  </si>
  <si>
    <t>* 정답 (③): 공공조달의 흔들림 없는 3대 대원칙은 다수의 입찰을 유도하는 '경쟁', 국적이나 기업 규모를 이유로 한 부당한 진입 장벽을 없애는 '차별금지', 입찰 전 과정의 정보를 사전에 고지하는 '투명성'입니다.</t>
  </si>
  <si>
    <t>[상황] 어느 기관이 조달 계획을 예산 편성·재정 관리 계획과 긴밀히 연계하여 운영하기로 했다. 이러한 접근이 구현하는 실행원칙으로 가장 적절한 것은?</t>
  </si>
  <si>
    <t>참여(Participation)</t>
  </si>
  <si>
    <t>통합(Integration)</t>
  </si>
  <si>
    <t>평가(Evaluation)</t>
  </si>
  <si>
    <t>균형성(Balance)</t>
  </si>
  <si>
    <t>* 정답 (②): 조달을 재정관리·예산편성이라는 더 큰 틀과 연계해 운영하는 것은 통합(Integration) 원칙의 구현임.</t>
  </si>
  <si>
    <t>[상황] 조달정책 담당자가 '중소기업이 서류 제출 부담 때문에 공공입찰 참여를 포기하는 사례가 많다'는 지적을 받고, 관련 행정절차를 간소화하기로 했다. 이 조치가 구현하는 실행원칙로 가장 적절한 것은?</t>
  </si>
  <si>
    <t>접근성(Access)</t>
  </si>
  <si>
    <t>* 정답 (④): 중소기업 등의 시장 진입 장벽(행정 부담 등)을 낮추는 조치는 접근성(Access) 원칙의 구현임.</t>
  </si>
  <si>
    <t>[상황] 한 기관이 평가위원의 이해충돌 여부를 사전에 점검하고, 뇌물·향응 수수를 엄격히 금지하는 내부 규정을 강화했다. 이 조치가 구현하는 실행원칙로 가장 적절한 것은?</t>
  </si>
  <si>
    <t>청렴성(Integrity)</t>
  </si>
  <si>
    <t>* 정답 (②): 이해충돌 점검, 뇌물·향응 금지는 부패·사기를 예방하고 높은 윤리기준을 유지하는 청렴성(Integrity) 원칙의 구현임.</t>
  </si>
  <si>
    <t>다음 설명이 공통적으로 가리키고 있는 공공조달의 5대 핵심 실행 원칙은? 
[설명] 공공기관이 조달 과정에서 단순히 최저가격을 추구하는 것을 넘어, 투입된 예산 대비 대상물의 품질, 내구성, 사후 유지비용 등을 종합적으로 고려하여 최적의 효용과 성과를 획득하는 것</t>
  </si>
  <si>
    <t>자격을 갖춘 다수의 공급자에게 동등하고 균등한 참여 기회를 폭넓게 제공하여 시장의 활력을 유도하는 경쟁성 확보의 원칙</t>
  </si>
  <si>
    <t>조달 행정의 최종 결과 및 절차적 정당성에 대해 담당자가 엄격한 책임을 지고 사후 검증을 수용하는 조달 책임성의 원칙</t>
  </si>
  <si>
    <t>입찰에 투입되는 한정된 국가 예산 대비 최적의 품질과 장기적 효용을 구하여 재정 효율성을 높이는 비용대비 가치의 원칙</t>
  </si>
  <si>
    <t>조달 과정 전반의 정보를 외부에 명확히 공개하여 공정성을 입증하고 정보의 비대칭성을 해소하는 투명성 유지의 원칙</t>
  </si>
  <si>
    <t>* 정답 (③): 가격 중심의 단편적 평가를 벗어나 생애주기비용(LCC)과 품질을 아울러 판단하는 것은 '비용대비 가치(Value for Money)' 원칙에 대한 설명입니다.</t>
  </si>
  <si>
    <t>공공조달의 12대 원칙 중 시장에 대한 ‘참여(Participation)’ 원칙이 배제되거나 원활하게 작동하지 않을 때 우려되는 가장 치명적인 문제점은?</t>
  </si>
  <si>
    <t>시장 진입 장벽이 인위적으로 높아짐에 따라 소수의 기존 공급자만이 조달 시장을 장악하는 폐쇄적인 독과점 구조가 고착화된다.</t>
  </si>
  <si>
    <t>새로운 업체의 시장 진입 장벽이 지나치게 낮아져 자격 미달 업체의 난립 현상이 발생하고 계약 불이행 사태가 빈발하게 된다.</t>
  </si>
  <si>
    <t>소수의 우량 업체 간 담합 횟수가 현저히 줄어들고 입찰 과정의 공정성과 투명성이 오히려 긍정적인 방향으로 강화되는 결과를 낳는다.</t>
  </si>
  <si>
    <t>조달 시장에 참여하는 유효 경쟁 기업의 수가 줄어들어 조달청 등 발주기관의 계약 행정 업무 전문성이 과도하게 고도화된다.</t>
  </si>
  <si>
    <t>* 정답 (①): 참여 기회가 차단되면 경쟁이 사라지고, 기존에 진입한 시장 지배적 사업자들만이 입찰을 독식하여 국가 예산의 낭비를 초래하게 됩니다.</t>
  </si>
  <si>
    <t>공공조달의 선순환을 위한 ‘성과 평가(Evaluation)’ 기능이 제대로 작동하지 않을 경우 발생할 수 있는 행정적 위험 요소로 가장 거리가 먼 것은?</t>
  </si>
  <si>
    <t>측정 가능한 객관적 핵심성과지표(KPI)가 부족하여 장기적인 관점에서 공공조달 시스템의 정책적 효과성 분석이 심각하게 제한된다.</t>
  </si>
  <si>
    <t>과거 조달 사업에 대한 피드백 루프가 단절되어, 향후 유사한 사업의 조달 계획을 수립할 때 과거의 행정 오류가 그대로 반복될 수 있다.</t>
  </si>
  <si>
    <t>분산된 조달 데이터가 일관되게 수집 및 정제되지 않아 통계의 신뢰성이 하락하고, 데이터 기반의 과학적인 의사결정에 활용하기 어렵다.</t>
  </si>
  <si>
    <t>재정 지출 과정 전반에 대한 촘촘한 감시망이 소홀해져 횡령, 사기, 입찰 담합, 공적 자금 오남용 등 범죄 발생 위험이 직접적으로 증가한다.</t>
  </si>
  <si>
    <t>* 정답 (④): 횡령, 자금 오남용 등의 부패 범죄는 사후적인 '성과 평가'의 부재라기보다는 내부 통제 및 '위험 관리(Risk Management)' 시스템이 미흡할 때 발생하는 직접적 위험 요소입니다.</t>
  </si>
  <si>
    <t>조달사업법령상 조달청에 원칙적으로 의무 구매를 요청해야 하는 '수요물자'의 품류에 해당하는 것은?</t>
  </si>
  <si>
    <t>보관이 까다로운 각종 신선 식료품류</t>
  </si>
  <si>
    <t>관리가 필요한 살아있는 동·식물류</t>
  </si>
  <si>
    <t>행정 인프라에 쓰이는 일반 기계장치류</t>
  </si>
  <si>
    <t>기밀 유지가 필요한 무기 및 총포·화약류</t>
  </si>
  <si>
    <t>* 정답 (③): 식료품, 동·식물, 무기류는 특수성 탓에 조달청 의무 요청 대상에서 제외(자체 구매)되나, 기계장치류는 수요물자에 해당합니다.</t>
  </si>
  <si>
    <t>국가기관 및 지방자치단체가 조달청을 거치지 않고 예외적으로 '자체 구매'를 추진할 수 있는 경우가 아닌 것은?</t>
  </si>
  <si>
    <t>지자체가 지역 경제 활성화를 위해 1억 원 이상의 물품을 구매하는 경우</t>
  </si>
  <si>
    <t>조달청 종합쇼핑몰에 제3자를 위한 단가계약으로 이미 등록되어 있는 물품</t>
  </si>
  <si>
    <t>국가기관이 구매하는 물품 중 중앙조달이 곤란하다고 명백히 승인된 규격품</t>
  </si>
  <si>
    <t>지자체가 지역 소상공인 보호를 위해 고시금액 미만의 자재를 구매하는 경우</t>
  </si>
  <si>
    <t>* 정답 (②): 종합쇼핑몰에 단가계약이나 다수공급자계약으로 이미 등록된 물품은 예외 없이 조달청을 통해 의무적으로 구매해야 합니다.</t>
  </si>
  <si>
    <t>조달청장이 수요기관의 요청 물품을 해당 수요기관이 '직접 구매하도록 위임'할 수 있는 사유로 틀린 것은?</t>
  </si>
  <si>
    <t>긴급한 재난 복구로 인해 조달청을 거치면 적기에 수요를 충족하기 어려운 경우</t>
  </si>
  <si>
    <t>조달청 내부 행정 절차상 수의계약을 체결하는 것이 매우 번거롭고 까다로운 경우</t>
  </si>
  <si>
    <t>시중 거래가 없는 신규 개발품으로 수요기관의 특수 기술과 전문성이 요구되는 경우</t>
  </si>
  <si>
    <t>국방·안보상의 사정 등으로 수요기관이 직접 구매하는 것이 국가에 명백히 유리한 경우</t>
  </si>
  <si>
    <t>* 정답 (②): 조달 위임은 긴급성, 안보 등 법적 사유가 있어야 하며, 단순히 조달청 입장에서 '수의계약 체결이 번거롭다'는 사유로 위임할 수 없습니다.</t>
  </si>
  <si>
    <t>[상황] 한 교육생이 '지명경쟁입찰이 국가계약법상 원칙적인 계약방법이고, 참가자격 제한이 없는 방식이 오히려 예외'라고 잘못 이해하고 있었다. 이 오해를 바로잡는 설명으로 가장 적절한 것은?</t>
  </si>
  <si>
    <t>수의계약이 원칙이며 나머지가 예외이다</t>
  </si>
  <si>
    <t>그 이해가 맞다. 지명경쟁이 원칙이다</t>
  </si>
  <si>
    <t>참가자격 제한 없는 일반경쟁이 원칙이며, 지명경쟁은 예외적으로만 허용된다</t>
  </si>
  <si>
    <t>제한경쟁이 원칙이며 나머지가 예외이다</t>
  </si>
  <si>
    <t>* 정답 (③): 국가계약법상 원칙은 참가자격 제한이 없는 일반경쟁이며, 지명경쟁은 예외적 방법에 불과함.</t>
  </si>
  <si>
    <t>[상황] 발주기관이 인공위성 시스템처럼 기술적으로 매우 복잡해 사전에 완벽한 규격을 정하기 어려운 사업을 발주하려 한다. 먼저 가격을 제외한 기술제안서만 평가하고, 기술 적합 판정을 받은 업체만을 대상으로 이후 가격입찰을 실시해 낙찰자를 정하는 방식을 무엇이라 하는가?</t>
  </si>
  <si>
    <t>적격심사낙찰제</t>
  </si>
  <si>
    <t>지명경쟁입찰</t>
  </si>
  <si>
    <t>협상에 의한 계약</t>
  </si>
  <si>
    <t>2단계 경쟁입찰</t>
  </si>
  <si>
    <t>* 정답 (④): 기술평가와 가격입찰을 단계적으로 분리해 진행하는 방식은 2단계 경쟁입찰이며, 기술 요구가 복잡해 사전 규격 확정이 어려운 사업에 활용됨.</t>
  </si>
  <si>
    <t>[상황] 발주기관이 대량의 표준 사무용품 구매에 2단계 경쟁입찰(기술평가+가격입찰 분리) 방식을 적용하려 한다. 이 선택에 대한 평가로 가장 적절한 것은?</t>
  </si>
  <si>
    <t>적절하다. 표준화된 소모품 구매에도 항상 2단계 경쟁입찰을 적용해야 한다</t>
  </si>
  <si>
    <t>적절하다. 모든 물품 구매는 2단계 경쟁입찰이 원칙이다</t>
  </si>
  <si>
    <t>적절하지 않다. 표준 사무용품은 반드시 수의계약으로만 구매해야 한다</t>
  </si>
  <si>
    <t>적절하지 않다. 2단계 경쟁입찰은 기술적으로 복잡해 사전 규격 확정이 어려운 사업에 적합하며, 표준화된 사무용품에는 불필요한 절차 부담을 줄 수 있다</t>
  </si>
  <si>
    <t>* 정답 (④): 2단계 경쟁입찰은 기술 요구가 복잡해 사전 규격 확정이 어려운 사업에 적합하며, 표준화된 사무용품처럼 단순한 구매에는 오히려 불필요한 절차 부담을 줄 수 있음.</t>
  </si>
  <si>
    <t>[상황] 협상에 의한 계약에서 1순위 협상대상자와의 협상이 결렬되었다. 발주기관의 다음 조치로 가장 적절한 것은?</t>
  </si>
  <si>
    <t>모든 절차를 처음부터 새로 시작해 재공고한다</t>
  </si>
  <si>
    <t>동일한 기준·절차에 따라 차순위 협상적격자와 협상을 이어간다</t>
  </si>
  <si>
    <t>1순위 업체와 가격만 다시 협상한다</t>
  </si>
  <si>
    <t>해당 사업을 자동으로 취소한다</t>
  </si>
  <si>
    <t>* 정답 (②): 협상에 의한 계약은 고득점자 순으로 순차 협상(연속협상)을 진행하며, 1순위와 결렬되면 차순위와 협상을 이어감.</t>
  </si>
  <si>
    <t>[상황] 전자역경매(ERA)를 도입한 기관에서 공급업체들의 납품 품질이 이전보다 다소 낮아졌다는 지적이 나왔다. 이 현상의 원인으로 가장 적절한 것은?</t>
  </si>
  <si>
    <t>전자역경매는 담합을 조장하는 구조이기 때문이다</t>
  </si>
  <si>
    <t>전자역경매는 특정 업체에 대한 특혜를 유발하기 때문이다</t>
  </si>
  <si>
    <t>실시간 최저가 경쟁이 과열되면서 공급업체가 수익성 확보를 위해 품질을 낮출 유인이 생기기 때문이다</t>
  </si>
  <si>
    <t>전자역경매는 절차가 지나치게 복잡해 품질 관리가 어려워지기 때문이다</t>
  </si>
  <si>
    <t>* 정답 (③): 전자역경매는 실시간 최저가 발굴에는 효율적이지만, 과도한 가격 경쟁이 공급업체의 품질 저하·수익성 악화로 이어질 수 있다는 단점이 있음.</t>
  </si>
  <si>
    <t>다수의 업체를 참여시키는 '경쟁입찰(Competitive Bidding)' 방식이 내포하고 있는 행정적 단점 또는 한계로 가장 적절한 것은?</t>
  </si>
  <si>
    <t>까다로운 입찰 참가 자격 요건으로 인해 혁신적인 기술력을 갖춘 신생 조달기업의 입찰 참여 기회가 원천적으로 완벽히 차단된다.</t>
  </si>
  <si>
    <t>법령에 정해진 표준화된 공개 절차와 공고 기간을 엄격히 준수해야 하므로 조달 물자의 최종 획득 완료까지 상당한 시간이 지연될 수 있다.</t>
  </si>
  <si>
    <t>계약 체결 과정의 세부 평가 기준과 심사위원 명단 등 핵심 정보가 투명하게 공개되지 않아 절차적 공정성을 확보하기가 매우 어려워진다.</t>
  </si>
  <si>
    <t>다수의 영세 업체가 무분별하게 참여함에 따라 업체 간의 기술 경쟁성이 과도하게 약화되어 최종 납품되는 대상물의 품질이 심각하게 저하된다.</t>
  </si>
  <si>
    <t>* 정답 (②): 경쟁입찰은 공정성과 투명성을 담보하기 위해 사전 규격 공개, 공고 기간 준수, 서류 심사 등 엄격한 절차를 거치므로 필연적으로 조달 리드타임이 길어집니다.</t>
  </si>
  <si>
    <t>우리나라의 국가계약법령 체계에서 명시적으로 규정하여 운영 중인 '3대 경쟁입찰 방식'을 가장 올바르게 묶은 것은?</t>
  </si>
  <si>
    <t>불특정 다수를 대상으로 하는 공개경쟁입찰, 협상을 통해 낙찰자를 정하는 협상경쟁입찰, 종합 심사를 거치는 종합경쟁입찰</t>
  </si>
  <si>
    <t>가장 널리 쓰이는 일반경쟁입찰, 특정 조건을 갖춘 자로 제한하는 제한경쟁입찰, 발주자가 직접 업체를 지정하는 지명경쟁입찰</t>
  </si>
  <si>
    <t>특정 지역 업체로 한정하는 지역경쟁입찰, 지식재산권을 보호하기 위한 특허경쟁입찰, 다수의 공급자를 등록하는 다수공급자경쟁입찰</t>
  </si>
  <si>
    <t>예산 절감을 최우선으로 하는 최저가경쟁입찰, 물품의 규격을 심사하는 규격경쟁입찰, 협상 절차를 포함하는 복합경쟁입찰</t>
  </si>
  <si>
    <t>* 정답 (②): 법령상 경쟁입찰의 기본 형태는 참가 자격을 제한하지 않는 '일반경쟁'을 원칙으로 하며, 예외적인 요건을 충족할 경우 '제한경쟁' 및 '지명경쟁'을 허용하고 있습니다.</t>
  </si>
  <si>
    <t>공공기관의 계약담당자가 특정 업체와의 수의계약 유혹을 뿌리치고 원칙에 따라 '경쟁입찰' 방식을 채택했을 때 실무적으로 얻을 수 있는 기대 효과와 가장 거리가 먼 것은?</t>
  </si>
  <si>
    <t>발주기관의 재량권이 대폭 확대되어, 계약 체결 이후 상황 변화에 따라 과업지시서를 임의로 변경하거나 계약 조건을 발주자에게 유리하게 수정하는 등 계약변경의 자유가 완벽히 보장된다.</t>
  </si>
  <si>
    <t>다수 업체의 치열한 투찰 가격 경쟁을 통해 시장의 합리적이고 객관적인 시장 가격(Market Price)이 자연스럽게 형성되고, 결과적으로 국고 예산이 눈에 띄게 절감된다.</t>
  </si>
  <si>
    <t>다수의 예비 공급자 간의 선의의 기술 및 품질 경쟁을 유도하여, 더 뛰어난 기술력과 우수한 납품 역량을 갖춘 숨은 우량 공급자를 발굴하고 산업계 전반을 자극하고 촉진한다.</t>
  </si>
  <si>
    <t>입찰 공고부터 적격심사, 최종 낙찰자 선정까지의 전 과정이 시스템을 통해 외부로 명명백백히 공개되므로 공공조달 행정 전반의 객관성과 대국민 투명성이 강력하게 강화된다.</t>
  </si>
  <si>
    <t>* 정답 (①): 경쟁입찰은 사전에 확정하여 공고한 과업지시서와 계약 조건에 따라 투찰이 이루어지므로, 낙찰 후 기관이 임의로 과업을 변경하는 행위는 탈락한 타 업체의 기득권을 침해하는 위법 행위가 될 수 있어 오히려 계약 변경이 엄격히 통제됩니다.</t>
  </si>
  <si>
    <t>누구나 참여할 수 있는 '일반경쟁입찰' 방식이 지니는 구조적 단점 및 위험 요소로 가장 타당한 것은?</t>
  </si>
  <si>
    <t>기회균등 원칙 탓에 행정의 공평성이 심각하게 저해된다.</t>
  </si>
  <si>
    <t>조달 절차가 투명하여 담당자의 통제력이 상실된다.</t>
  </si>
  <si>
    <t>부실업체의 참여로 과당경쟁 및 품질 저하가 우려된다.</t>
  </si>
  <si>
    <t>다수 업체 참여로 염가 계약이 체결되어 예산이 낭비된다.</t>
  </si>
  <si>
    <t>* 정답 (③): 일반경쟁은 무분별한 부실업자 진입으로 인한 품질 저하 및 과당경쟁 위험이 가장 큰 단점으로 지적됩니다.</t>
  </si>
  <si>
    <t>국가계약법령에 따라 발주기관이 선택할 수 있는 합법적인 정규 '경쟁입찰의 방법(방식)'에 해당하지 않는 것은?</t>
  </si>
  <si>
    <t>능력이 검증된 5인 이상을 지명하는 지명경쟁입찰</t>
  </si>
  <si>
    <t>특정 객관적 실적으로 문턱을 높이는 제한경쟁입찰</t>
  </si>
  <si>
    <t>불특정 다수에게 기회를 개방하는 일반경쟁입찰</t>
  </si>
  <si>
    <t>온라인 경매로 실시간 최저가를 찾는 복수경쟁입찰</t>
  </si>
  <si>
    <t>* 정답 (④): 국가계약법상의 원칙적인 입찰 방식은 일반경쟁, 제한경쟁, 지명경쟁 등이며 '복수경쟁입찰'이라는 법적 분류는 존재하지 않습니다.</t>
  </si>
  <si>
    <t>공공조달의 원칙적 방법인 '일반경쟁입찰'이 지니는 장단점에 대한 객관적 평가로 부적절하게 서술된 것은?</t>
  </si>
  <si>
    <t>자격 미달 부실업체가 덤핑 투찰로 낙찰될 경우 심각한 계약 불이행 및 품질 저하 위험을 내포한다.</t>
  </si>
  <si>
    <t>복잡한 적격자 선별 절차가 생략되어 공고부터 낙찰까지 행정 절차가 간소화되고 업무 부담이 준다.</t>
  </si>
  <si>
    <t>다수 업체가 치열한 가격 경쟁을 벌여 예산 낭비를 막고 목적물을 염가에 구매할 가능성이 커진다.</t>
  </si>
  <si>
    <t>모든 입찰 희망자에게 참가 자격을 폭넓게 부여하므로 공평성이 보장되고 대국민 신뢰도가 높아진다.</t>
  </si>
  <si>
    <t>* 정답 (②): 일반경쟁은 제한이 없어 참가자가 폭증할 수 있으며, 이로 인해 제출된 서류 검토 및 심사 대상이 늘어나 오히려 행정 절차가 복잡해진다는 것이 큰 단점입니다.</t>
  </si>
  <si>
    <t>공공계약의 일반 원칙 및 입찰 진행 절차에 대한 설명으로 가장 옳은 것은?</t>
  </si>
  <si>
    <t>청렴계약을 위반한 경우 국가 안보 등과 무관하게 모든 계약을 해제해야 한다.</t>
  </si>
  <si>
    <t>사업자등록증 등 고유번호증 서류 제출만으론 입찰참가자격이 자동 부여된다.</t>
  </si>
  <si>
    <t>국가계약법령상 공공계약 체결 시 기본적으로 적용해야 하는 방식은 일반경쟁이다.</t>
  </si>
  <si>
    <t>경쟁입찰은 단 1인의 유효한 입찰 참가자만 있어도 정상적으로 입찰이 성립된다.</t>
  </si>
  <si>
    <t>정답 (③) 일반경쟁입찰이 원칙임 / ① 국가안보 등 예외 시 유지 가능 / ② 추가 요건(면허 등) 필요 / ④ 2인 이상 유효입찰 필요</t>
  </si>
  <si>
    <t>계약법 제7조</t>
  </si>
  <si>
    <t>[상황] 계약담당공무원이 '평소 친분이 있는 업체와 계약하고 싶다'는 이유로 제한경쟁입찰의 참가자격을 좁게 설정하려 한다. 이 사유의 적법성에 대한 평가로 가장 적절한 것은?</t>
  </si>
  <si>
    <t>적법 여부는 계약금액에 따라 달라진다</t>
  </si>
  <si>
    <t>적법하다. 담당자의 재량으로 자유롭게 정할 수 있다</t>
  </si>
  <si>
    <t>적법하지 않다. 개인적 선호는 제한경쟁의 적법한 사유가 될 수 없으며 공정성을 해치는 행위이다</t>
  </si>
  <si>
    <t>적법하다. 특수 기술 요건과 동일하게 취급된다</t>
  </si>
  <si>
    <t>* 정답 (③): 담당자의 개인적 선호는 제한경쟁의 적법한 사유가 될 수 없으며, 특수기술·설비 요구, 추정가격 기준 등 법령상 인정되는 사유만 정당함.</t>
  </si>
  <si>
    <t>국가계약법 시행령 제21조</t>
  </si>
  <si>
    <t>일반경쟁의 단점을 보완하기 위해 도입된 '제한경쟁입찰' 제도의 법적 기준과 운영 원칙에 대한 설명으로 올바른 것은?</t>
  </si>
  <si>
    <t>중소기업 보호를 위해 고시금액 이하일 때만 영업소 소재지로 지역제한을 적용할 수 있다.</t>
  </si>
  <si>
    <t>발주기관 임의로 2개 이상의 제한 기준(실적+지역 등)을 무제한으로 중복 적용할 수 있다.</t>
  </si>
  <si>
    <t>일반경쟁의 부실업자 진입 단점을 보완하고 우량 업체의 경쟁을 유도하기 위한 제도이다.</t>
  </si>
  <si>
    <t>특혜 시비를 차단하기 위해 실적 제한과 지역 제한을 동일 공고에 중복하는 것이 원칙이다.</t>
  </si>
  <si>
    <t>* 정답 (③): 실적 및 지역 제한은 원칙적으로 중복 금지되며(특수 예외 있음), 지역제한은 고시금액 '미만(이하 아님)'일 경우에만 적용할 수 있습니다.</t>
  </si>
  <si>
    <t>일반경쟁 단점을 보완하기 위해 고안된 '제한경쟁입찰' 제도의 법적·실무적 의의를 가장 정확하게 서술한 것은?</t>
  </si>
  <si>
    <t>특정 업체 5인 이내만을 직접 지명하여 행정 소요일수를 획기적으로 단축하는 편의적 제도이다.</t>
  </si>
  <si>
    <t>전국 단위로 개방하되 지역 업체의 투찰 금액을 일정 비율 할인해 주는 지역 상생 유인 제도이다.</t>
  </si>
  <si>
    <t>신규 영세 업체의 진입을 유도하여 과당경쟁 부작용을 원천 해소하기 위한 특별 예외 제도이다.</t>
  </si>
  <si>
    <t>부실업자 진입을 막고 우량 업체의 경쟁을 유도하는 일반과 지명경쟁의 중간적 보완 제도이다.</t>
  </si>
  <si>
    <t>* 정답 (④): 제한경쟁입찰은 부실업체 진입(일반경쟁 단점)을 막고, 특혜 시비(지명경쟁 단점)를 줄이면서 일정 기준을 갖춘 다수의 경쟁을 유도하는 중간적 성격의 제도입니다.</t>
  </si>
  <si>
    <t>지역제한 등 제한경쟁입찰의 적용 기준에 대한 설명으로 가장 옳은 것은?</t>
  </si>
  <si>
    <t>국가기관의 지역제한은 고시금액 이상인 대규모 계약에 한정하여 엄격히 적용한다.</t>
  </si>
  <si>
    <t>지자체가 물품제조실적으로 제한할 경우 그 기준은 행안부 고시금액 미만일 때이다.</t>
  </si>
  <si>
    <t>지역제한 참가자는 입찰 공고일 하루만 해당 본점소재지를 유지하면 자격이 인정된다.</t>
  </si>
  <si>
    <t>산업표준화법상 KS인증이나 우수단체표준인증 제품 등으로 입찰 참가자격을 제한할 수 있다.</t>
  </si>
  <si>
    <t>정답 (④) 품질 확보를 위해 인증 제품으로 제한 가능함 / ① 고시금액 미만 적용 / ② 고시금액 이상 / ③ 계약체결일까지 유지</t>
  </si>
  <si>
    <t>계약법 시행령</t>
  </si>
  <si>
    <t>정부계약 제한경쟁입찰의 실적 및 자격 제한에 대한 설명으로 가장 옳은 것은?</t>
  </si>
  <si>
    <t>국가기관이 실적으로 자격을 제한할 때는 계약목적물 규모의 1배 이내로 제한해야 한다.</t>
  </si>
  <si>
    <t>농공단지 입주업체가 생산한 물품으로 참가자격을 제한하는 것은 법령상 전면 금지된다.</t>
  </si>
  <si>
    <t>중소기업자간 제한경쟁 진행 시 타 법령에 명시된 제한 요건을 추가로 중복할 수 없다.</t>
  </si>
  <si>
    <t>지역제한 대상자의 본점소재지는 입찰 당일에만 요건을 충족하면 유효하게 인정받는다.</t>
  </si>
  <si>
    <t>정답 (①) 과도한 진입장벽 방지를 위해 실적 제한은 1배 이내로 함 / ② 제한 가능 / ③ 중복 제한 가능 / ④ 계약일까지 유지</t>
  </si>
  <si>
    <t>[상황] 한 담당자가 '지명경쟁입찰은 담당자가 신뢰하는 업체를 미리 골라 부르는 방식이라 오히려 공정성 시비가 적다'고 주장했다. 이 주장에 대한 평가로 가장 적절한 것은?</t>
  </si>
  <si>
    <t>옳지 않다. 지명 과정에서 담당자의 주관이 개입될 소지가 있어 오히려 일반경쟁입찰보다 공정성 시비 가능성이 높다</t>
  </si>
  <si>
    <t>옳다. 지명경쟁은 원칙적 계약방법이라 문제되지 않는다</t>
  </si>
  <si>
    <t>지명경쟁과 공정성은 서로 무관한 개념이다</t>
  </si>
  <si>
    <t>옳다. 지명 절차가 있으므로 공정성 시비가 적다</t>
  </si>
  <si>
    <t>* 정답 (①): 지명 과정에서 담당자의 주관이 개입될 소지가 있어, 지명경쟁은 오히려 일반경쟁입찰보다 공정성 시비 가능성이 높음.</t>
  </si>
  <si>
    <t>발주기관이 특정 업체를 직접 지정하는 '지명경쟁입찰' 제도의 특징과 주의사항에 대한 설명으로 틀린 것은?</t>
  </si>
  <si>
    <t>유효 경쟁자가 10인 이내 소수일 경우 적용하는 등 제한경쟁입찰과는 뚜렷한 차이가 있다.</t>
  </si>
  <si>
    <t>수의계약 대상이라도 특혜 시비를 줄이기 위해 지명경쟁입찰로 전환하여 집행할 수 있다.</t>
  </si>
  <si>
    <t>특혜 시비를 없애기 위해 계약담당자는 사적 지인이 추천하는 업체를 우선적으로 지명해야 한다.</t>
  </si>
  <si>
    <t>원칙적으로 5인 이상을 지명해야 하며, 최소 2인 이상이 참가해야 유효한 입찰로 성립된다.</t>
  </si>
  <si>
    <t>* 정답 (③): 지명경쟁은 객관적인 기준과 협의를 통해 대상을 지명해야 하며, 사적 지인의 추천을 받아 지명하는 것은 심각한 특혜 및 유착 비리입니다.</t>
  </si>
  <si>
    <t>국가계약법 시행령 제23조</t>
  </si>
  <si>
    <t>지명경쟁입찰의 성립 요건 및 절차에 대한 설명으로 가장 옳은 것은?</t>
  </si>
  <si>
    <t>지명경쟁입찰은 5인 이상 지명하되 실제 입찰참가신청은 단 1인만 있어도 성립한다.</t>
  </si>
  <si>
    <t>수의계약 요건을 충족하는 대상 사업은 지명경쟁입찰 방식을 적용하는 것이 금지된다.</t>
  </si>
  <si>
    <t>관련 요건에 해당할 경우 입찰대상자가 10인 이내일 때 지명경쟁입찰에 부칠 수 있다.</t>
  </si>
  <si>
    <t>지명경쟁입찰로 체결한 모든 계약은 감사원에 대한 통지 의무가 완전히 면제되어 있다.</t>
  </si>
  <si>
    <t>정답 (③) 성질상 10인 이내인 경우 지명경쟁 가능 / ① 2인 이상 참가 필요 / ② 수의계약 대상도 지명 가능 / ④ 통지 의무 있음</t>
  </si>
  <si>
    <t>국가계약법 시행령 제23조 및 제24조</t>
  </si>
  <si>
    <t>[상황] 예상치 못한 태풍으로 시설물이 붕괴되어 경쟁에 부칠 시간적 여유가 없이 즉시 복구가 필요한 상황이다. 이 경우 활용할 수 있는 계약방법으로 가장 적절한 것은?</t>
  </si>
  <si>
    <t>수의계약</t>
  </si>
  <si>
    <t>일반경쟁입찰</t>
  </si>
  <si>
    <t>* 정답 (①): 천재지변 등으로 경쟁에 부칠 여유가 없는 긴급한 경우는 수의계약이 가능한 대표적 사유임.</t>
  </si>
  <si>
    <t>국가계약법 시행령 제26조</t>
  </si>
  <si>
    <t>특허권 등 배타적 권리를 보유한 업체가 시장에 객관적으로 단 하나만 존재해 그 업체와 수의계약을 체결하는 경우를 가리키는 용어는?</t>
  </si>
  <si>
    <t>단독공급원(Sole Source) 조달</t>
  </si>
  <si>
    <t>일반경쟁 조달</t>
  </si>
  <si>
    <t>제한경쟁 조달</t>
  </si>
  <si>
    <t>단일공급원(Single Source) 조달</t>
  </si>
  <si>
    <t>* 정답 (①): 단독공급원(Sole Source) 조달은 특허·저작권 등으로 공급 가능한 업체가 객관적으로 하나뿐인 경우를 말함.</t>
  </si>
  <si>
    <t>[상황] 시장에 여러 경쟁업체가 존재함에도, 시간적 여유가 없는 긴급한 재해 복구를 이유로 그중 한 업체를 선정해 수의계약을 체결했다. 이러한 조달방식을 가리키는 용어는?</t>
  </si>
  <si>
    <t>* 정답 (①): 단일공급원(Single Source) 조달은 경쟁자가 존재함에도 긴급성 등 특별한 사유로 특정 업체 하나를 선택하는 경우를 말하며, 공급자 자체가 하나뿐인 단독공급원과 구분됨.</t>
  </si>
  <si>
    <t>[상황] 발주기관이 '경쟁 절차 없이 특정 업체를 직접 선정해 계약을 체결'하려 한다. 이 방식이 속하는 범주로 옳은 것은?</t>
  </si>
  <si>
    <t>경쟁적 조달 방법(일반경쟁의 일종)</t>
  </si>
  <si>
    <t>경쟁적 조달 방법(제한경쟁의 일종)</t>
  </si>
  <si>
    <t>비경쟁적 조달 방법(수의계약)</t>
  </si>
  <si>
    <t>경쟁적 조달 방법(2단계 경쟁입찰의 일종)</t>
  </si>
  <si>
    <t>* 정답 (③): 경쟁 절차 없이 특정 업체를 직접 선택하는 방식은 비경쟁적 조달 방법인 수의계약에 해당함.</t>
  </si>
  <si>
    <t>[상황] 발주기관이 총 2억원 규모의 사업을 5천만원짜리 계약 4건으로 나누어, 각각 수의계약 가능 금액 이하로 맞춰 체결하려 한다. 이 계획에 대한 평가로 가장 적절한 것은?</t>
  </si>
  <si>
    <t>적절하다. 기관장 승인만 받으면 항상 가능하다</t>
  </si>
  <si>
    <t>적절하다. 소액으로 나누면 예산 절감에 도움이 된다</t>
  </si>
  <si>
    <t>적절하지 않다. 수의계약 한도에 맞추기 위한 인위적 사업 분할은 관련 법령상 엄격히 금지된다</t>
  </si>
  <si>
    <t>적절하다. 소액 사업은 분할이 예외적으로 항상 허용된다</t>
  </si>
  <si>
    <t>* 정답 (③): 수의계약 제도 남용을 막기 위해, 사업을 인위적으로 분할해 수의계약 한도에 맞추는 행위는 법령상 엄격히 금지됨.</t>
  </si>
  <si>
    <t>국가계약법 시행령에 근거할 때, 원칙적인 경쟁입찰을 배제하고 예외적으로 '수의계약(Private Contract)'을 합법적으로 체결할 수 있는 사유에 해당하는 것은?</t>
  </si>
  <si>
    <t>시중에서 쉽게 구할 수 있는 범용적이고 표준화된 규격의 일반 사무용품을 기관 운영을 위해 대량으로 일괄 구매하고자 하는 경우</t>
  </si>
  <si>
    <t>집중호우로 극심한 수해를 입은 지방자치단체가 이재민 구호와 무너진 제방의 긴급 복구를 위해 즉시 투입할 자재를 구매하는 경우</t>
  </si>
  <si>
    <t>규격과 품질이 확정된 단일 품목의 대규모 물량을 장기간에 걸쳐 정기적이고 반복적으로 특정 업체로부터 납품받아 구매해야 하는 경우</t>
  </si>
  <si>
    <t>조달 시장에 해당 품목을 전문적으로 취급하는 다수의 유력한 공급업체가 존재하여 업체 간 기술 및 가격 경쟁이 치열하게 벌어지는 경우</t>
  </si>
  <si>
    <t>* 정답 (②): 천재지변, 감염병 확산, 긴급 재난 복구 등 시간적 여유가 없어 입찰 공고를 거칠 수 없는 긴박한 상황은 수의계약의 대표적인 합법적 사유입니다.</t>
  </si>
  <si>
    <t>비경쟁적 공공조달 방식인 '수의계약'이 지니는 장점과 단점에 대한 설명으로 가장 논리적이지 않은 것은?</t>
  </si>
  <si>
    <t>복잡한 입찰 공고 및 적격심사 절차가 생략되어 행정 소요 기간이 획기적으로 단축되므로, 국가적 비상사태 등 긴급한 상황에서 신속한 조달이 가능하다.</t>
  </si>
  <si>
    <t>다수 업체의 치열한 경쟁을 원천적으로 배제하므로 시장 가격 변동에 따른 과도한 비용 지불 가능성과 특정 기업에 대한 특혜 시비가 필연적으로 발생할 수 있다.</t>
  </si>
  <si>
    <t>다수의 유망한 예비 공급자 간의 기술 및 가격 경쟁을 자연스럽게 유도하여 공공서비스의 질을 단기간에 혁신적으로 대폭 끌어올릴 수 있는 긍정적 효과가 있다.</t>
  </si>
  <si>
    <t>국가 안보 등 보안이 강하게 요구되는 민감한 사안에 대해 외부로의 정보 유출을 막고, 사전에 철저히 검증된 업체와 안정적인 거래 관계를 유지할 수 있다.</t>
  </si>
  <si>
    <t>* 정답 (③): 다수 공급자 간의 기술 및 품질 경쟁을 유도하여 서비스의 질을 끌어올리는 것은 수의계약이 아닌 '경쟁입찰' 체제에서 기대할 수 있는 장점입니다.</t>
  </si>
  <si>
    <t>발주기관의 계약담당자가 경쟁입찰 대신 수의계약 방식으로 조달을 집행할 때, 훗날의 감사나 분쟁에 대비하여 법적·행정적으로 반드시 확보해 두어야 할 가장 중요한 사항은?</t>
  </si>
  <si>
    <t>수의계약을 통해 체결된 계약 단가가 시장 평균가 대비 명백히 저렴하여 예산 절감에 기여했음을 증명할 수 있는 타사 대비 최저가격 입증 서류</t>
  </si>
  <si>
    <t>과업 수행에 필요한 계약 기간이 적정하게 산정되었는지, 그리고 해당 업체가 기한 내에 과업을 완수할 물리적 능력이 있는지를 증명하는 서류</t>
  </si>
  <si>
    <t>수의계약 대상자로 선정된 특정 공급자가 관련 산업 및 조달 시장 내에서 독보적인 기술력과 우월적 지위를 차지하고 있음을 보여주는 실적 증명</t>
  </si>
  <si>
    <t>해당 조달 건을 경쟁입찰에 부치지 못하고 부득이하게 수의계약으로 진행해야만 했던 합법적인 적용 사유에 대한 객관적인 근거 자료 및 내부 기록</t>
  </si>
  <si>
    <t>* 정답 (④): 수의계약은 원칙에 대한 중대한 예외 적용이므로, 반드시 해당 법령에 부합하는 명백한 사유와 객관적 증빙 서류를 남겨야 합니다.</t>
  </si>
  <si>
    <t>원칙적인 경쟁입찰의 틀을 깨고, 국가계약법 시행령에 근거하여 예외적으로 1인과의 '수의계약'을 합법적으로 집행할 수 있는 정당한 사유에 해당하지 않는 것은?</t>
  </si>
  <si>
    <t>조달 업무 담당자의 과도한 행정적 서류 부담을 일거에 해소하고, 과거에 여러 차례 문제없이 거래해 오던 익숙한 특정 업체와의 원활하고 지속적인 우호 협력 관계를 유지하고자 수의계약을 맺는 경우</t>
  </si>
  <si>
    <t>특정 기업이 조달 대상물에 대한 원천 특허, 실용신안 등 배타적 지식재산권을 온전히 보유하고 있어, 현실적으로 다른 대체 업체로부터 동일한 물품이나 기술을 조달받는 것이 원천적으로 불가능한 경우</t>
  </si>
  <si>
    <t>태풍, 지진 등 천재지변이나 국가적 감염병 확산 등 초유의 긴급한 재난 상황이 발생하여, 국민의 생명과 안전을 지키기 위해 신속한 구호 및 복구 물자가 즉각적으로 필요한 경우</t>
  </si>
  <si>
    <t>해당 조달 대상물을 생산하거나 공급할 수 있는 자격을 갖춘 조달기업이 시장에 단 하나만 존재하거나, 고도의 국방 안보상 기밀 유지를 위해 특정 업체와 수의계약을 맺는 것이 국가에 명백히 유리하다고 판단되는 경우</t>
  </si>
  <si>
    <t>* 정답 (①): 담당자의 행정 편의주의나 특정 업체와의 친분, 거래 관행을 이유로 한 수의계약 체결은 관련 법규 위반이며 심각한 특혜 및 유착 비리로 처벌받을 수 있는 대표적 부적절 사례입니다.</t>
  </si>
  <si>
    <t>국가 재정을 집행함에 있어 수의계약 방식을 무리하게 적용하기에 가장 부적절하여, 훗날 특정 업체에 대한 감사 및 특혜 시비가 발생할 소지가 가장 다분한 사례는?</t>
  </si>
  <si>
    <t>집중호우로 크게 유실된 하천 제방을 장마철이 본격적으로 시작되기 전 신속히 원상 복구하기 위해 불가피하게 투입되는 긴급 재난 구호 건설 공사</t>
  </si>
  <si>
    <t>국가정보원이나 국방부 등에서 국가 안보와 직결되어 세부 제원이나 수량이 외부 적대 세력에게 절대 유출되어서는 안 되는 고도의 특수 방산장비 구매</t>
  </si>
  <si>
    <t>시장에 대체품이 존재하고 다수 업체의 경쟁이 충분히 가능한 범용 품목임에도 불구하고, 단지 발주 편의를 위해 과거 거래 실적이 있는 특정 기업과 체결하는 반복적 계약</t>
  </si>
  <si>
    <t>기관 내부의 핵심 행정망 서버 교체 시 기존 구축된 데이터베이스 시스템과의 호환성 문제로 인해 대체 기술이나 호환 가능 소프트웨어가 전혀 없는 독점 전문 시스템의 도입</t>
  </si>
  <si>
    <t>* 정답 (③): 경쟁이 가능한 품목을 명확한 법적 사유 없이 행정 편의를 위해 특정 기업과 지속적으로 수의계약하는 것은 공정성을 크게 훼손하는 행위입니다.</t>
  </si>
  <si>
    <t>경쟁입찰을 실시하였으나 원활한 낙찰자가 선정되지 않아, 예외적으로 '수의계약'으로 전환할 수 있는 사유 중 틀린 것은?</t>
  </si>
  <si>
    <t>낙찰자가 결정되었으나 정당한 사유 없이 기일 내에 계약을 체결하지 않아 사업이 지연되는 경우</t>
  </si>
  <si>
    <t>1차 입찰자가 1인뿐이며, 재공고 시에도 참가 자격을 갖춘 자가 1인뿐임이 명백히 인정되는 경우</t>
  </si>
  <si>
    <t>1순위자가 적격심사 점수 미달로 탈락할 경우, 차순위자 심사를 생략하고 즉시 수의계약으로 전환하는 경우</t>
  </si>
  <si>
    <t>재공고 입찰에 부친 경우로서 입찰에 참여한 자가 없거나 조건을 만족하는 유효한 낙찰자가 없는 경우</t>
  </si>
  <si>
    <t>* 정답 (③): 1순위자가 적격심사에서 탈락하면 즉시 수의계약으로 넘어가는 것이 아니라, 차순위자(2순위, 3순위 순)를 대상으로 적격심사를 계속 실시해야 합니다.</t>
  </si>
  <si>
    <t>국가계약법령에 따라 경쟁입찰의 예외로서 '수의계약'을 체결할 수 있는 법적 요건에 해당하지 않는 것은?</t>
  </si>
  <si>
    <t>물품 제조·구매 시 사전에 적절한 규격이나 과업지시서 작성이 곤란한 경우</t>
  </si>
  <si>
    <t>긴급 상황 등으로 인해 경쟁에 부칠 여유가 없거나 목적 달성이 곤란한 경우</t>
  </si>
  <si>
    <t>특정인의 기술이 필요하거나 물품 생산자가 단 1인뿐이라 경쟁이 불가한 경우</t>
  </si>
  <si>
    <t>중소기업자가 직접 생산한 제품을 해당 기업으로부터 예외적으로 구매하는 경우</t>
  </si>
  <si>
    <t>* 정답 (①): '미리 적절한 규격 등의 작성이 곤란한 경우'는 수의계약이 아니라, 먼저 규격(제안)을 받아 심사하는 **'2단계 경쟁입찰'**의 적용 대상입니다. (나머지는 모두 수의계약 사유)</t>
  </si>
  <si>
    <t>수의계약 가능 대상 및 운영 규정에 대한 설명으로 가장 옳은 것은?</t>
  </si>
  <si>
    <t>소프트웨어 품질인증(GS)을 받은 중소기업 제품은 원칙적으로 수의계약 대상이 아니다.</t>
  </si>
  <si>
    <t>우수조달공동상표로 지정된 물품이라도 수의계약을 체결할 수 있는 금액 한도가 존재한다.</t>
  </si>
  <si>
    <t>수의계약을 체결하려 할 때 반드시 사전 경쟁입찰을 먼저 진행하여 2회 유찰되어야 한다.</t>
  </si>
  <si>
    <t>특허나 실용신안을 받은 물품은 별도 용도 검토 없이 무조건 수의계약으로만 체결한다.</t>
  </si>
  <si>
    <t>정답 (②) 지정 상표라도 금액 등에 따른 세부 제한이 있음 / ① GS인증 제품 수의 가능 / ③ 여유 없을 시 바로 가능 / ④ 대체 가능성 등 검토 필요</t>
  </si>
  <si>
    <t>특정 물품 및 대상자에 대한 수의계약 적용 기준 중 가장 옳은 것은?</t>
  </si>
  <si>
    <t>추정가격 1억 원 이하 물품 구매 시 소기업·소상공인 전용 수의계약을 진행할 수 있다.</t>
  </si>
  <si>
    <t>신기술 인증 물품의 수의계약은 연장 신청 없이도 최초 지정 후 최장 6년까지 자동으로 유효하다.</t>
  </si>
  <si>
    <t>국가유공자나 장애인 일자리 지원 목적의 계약은 수의계약 진행이 불가능하다.</t>
  </si>
  <si>
    <t>수의계약으로 체결한 사안은 감사원 통지 의무가 항상 면제된다.</t>
  </si>
  <si>
    <t>정답 (①) 소기업·소상공인 대상 특례 수의계약 가능 / ② 자동 연장이 아니라 별도 절차로 연장해야 최대 6년까지 인정됨 / ③ 지원 목적 수의 가능 / ④ 통지 의무는 항상 면제되지 않음</t>
  </si>
  <si>
    <t>유찰 등에 따른 수의계약 전환 요건으로 가장 옳은 것은?</t>
  </si>
  <si>
    <t>재공고입찰이 유찰된 경우에는 반드시 한 번 더 재공고를 한 후 수의계약으로 전환한다.</t>
  </si>
  <si>
    <t>경제위기 극복 특례 기간 내에는 최초 입찰에서 1인만 입찰한 경우에도 수의계약이 가능하다.</t>
  </si>
  <si>
    <t>입찰 실시 후 수의계약으로 전환할 때 최초 입찰에 정한 모든 조건을 자유롭게 변경할 수 있다.</t>
  </si>
  <si>
    <t>추정가격 1억 원 이하의 소액 수의계약은 사유서 등 수의계약 근거서류 비치 의무가 없다.</t>
  </si>
  <si>
    <t>정답 (②) 특례 적용 시 1인 입찰 단독 유찰이어도 재공고 없이 수의 전환 가능 / ① 재공고 유찰 시 바로 수의 가능 / ③ 조건 변경 금지 원칙 / ④ 근거 비치해야 함</t>
  </si>
  <si>
    <t>국가계약법 시행령 제27조</t>
  </si>
  <si>
    <t>재입찰이나 수의계약 전환 시 최초 입찰 조건 중 예외적으로 변경이 허용되는 것은?</t>
  </si>
  <si>
    <t>과업 내용서 및 납품 일자</t>
  </si>
  <si>
    <t>입찰서 제출 기한 및 보증금</t>
  </si>
  <si>
    <t>입찰 참가 자격 면허 기준</t>
  </si>
  <si>
    <t>낙찰자 결정 및 평가 방식</t>
  </si>
  <si>
    <t>정답 (②) 원칙적으로 조건 변경이 금지되나, 원활한 추진을 위해 '기한'과 '보증금'에 한해서만 변경이 허용됨</t>
  </si>
  <si>
    <t>[상황] 한 기관이 소모품 등 반복적인 소액 구매마다 정식 입찰 절차를 거치느라 행정 부담이 크다는 문제를 겪고 있다. 이 문제를 해결하기 위해 도입할 수 있는 제도로 가장 적절한 것은?</t>
  </si>
  <si>
    <t>모든 구매를 국제입찰로 전환</t>
  </si>
  <si>
    <t>정부구매카드를 활용한 소액구매 절차 도입</t>
  </si>
  <si>
    <t>대규모 공사 발주 절차 강화</t>
  </si>
  <si>
    <t>특정 대기업과의 장기 전속계약 체결</t>
  </si>
  <si>
    <t>* 정답 (②): 정부구매카드를 활용한 소액구매 절차는 빈번한 소규모 구매의 행정비용·시간을 절감해 업무 효율성을 높이기 위해 도입됨.</t>
  </si>
  <si>
    <t>조달 행정의 효율성을 위해 운영되는 '소액수의계약' 제도의 구체적인 적용 기준 및 운영 방식에 대한 실무적 설명으로 가장 올바른 것은?</t>
  </si>
  <si>
    <t>소액수의계약 제도는 행정의 남용을 막기 위해 대상 물품이나 일반 용역의 추정가격이 1억 원 미만으로 산정된 경우에 한정하여 매우 엄격히 예외적으로만 적용된다.</t>
  </si>
  <si>
    <t>견적서 제출을 안내하는 공고문은 견적서 제출 마감일의 전일을 기준으로 기산하여 영업일 기준 최소 5일 이상 나라장터에 공고하여야 한다.</t>
  </si>
  <si>
    <t>추정가격이 2천만 원 이상 1억 원 미만이라도 2인 이상의 견적을 받는 다자간 입찰 방식은 원칙적으로 금지된다.</t>
  </si>
  <si>
    <t>대상 물품의 추정가격이 2천만 원 이하(특정 요건 충족 시 5천만 원 등 예외 있음)인 소액 조달 건의 경우에는, 지정정보처리장치를 통하지 않고 단일 공급자가 제출한 1인 수기 견적서만으로도 계약 체결이 가능하다.</t>
  </si>
  <si>
    <t>* 정답 (④): 소액수의 대상 금액 기준은 추정가격 1억 원 '이하'입니다. 2천만 원 이하는 1인 견적이 가능하지만, 2천만 원 초과~1억 원 이하는 다자간 전자 견적을 원칙으로 합니다. 견적 제출 안내 공고는 최소 3일 이상입니다.</t>
  </si>
  <si>
    <t>조달청 및 공공기관의 내자 물품 '소액구매' 기준 및 약자 보호 절차에 대한 설명으로 올바르지 않은 것은?
(추정가격 기준)</t>
  </si>
  <si>
    <t>영세한 소액 조달(2천만 원 이하) 건은 공고 없이 1인 견적 수의계약이 허용된다.</t>
  </si>
  <si>
    <t>2천만 원 초과 1억 원 이하인 경우 원칙적으로 다자간 전자 견적 공고를 실시한다.</t>
  </si>
  <si>
    <t>간소화된 절차를 밟을 수 있는 소액구매 추정가격의 기본 범위는 1억 원 이하이다.</t>
  </si>
  <si>
    <t>5천만 원 초과 1억 원 이하일 경우 여성기업 대상 1인 견적 특례가 무조건 적용된다.</t>
  </si>
  <si>
    <t>* 정답 (④): 사회적 약자 기업(여성기업 등)에 대한 1인 견적 수의계약 특례 상한액은 추정가격 '5천만 원 이하'입니다. 초과 시 특례를 적용할 수 없습니다.</t>
  </si>
  <si>
    <t>소액수의계약 및 전자견적 제출 규정에 대한 설명으로 가장 옳은 것은?</t>
  </si>
  <si>
    <t>소액수의계약을 진행할 때 견적서 제출 가능 업체를 지역 본점소재지로 제한할 수 없다.</t>
  </si>
  <si>
    <t>수의계약은 입찰 절차가 아니므로 참가자들은 입찰참가 요건을 전혀 준용받지 않는다.</t>
  </si>
  <si>
    <t>5천만 원 초과 계약도 전자조달시스템을 통하지 않고 임의로 직접 견적서를 수령한다.</t>
  </si>
  <si>
    <t>장애인기업 등 특정 기업은 5천만 원 이하 계약 시 1인의 견적서 제출로 수의계약이 가능하다.</t>
  </si>
  <si>
    <t>정답 (④) 여성·장애인기업 등은 5천만 원 이하 1인 수의 가능 / ① 지역제한 가능 / ② 참가 요건 준용함 / ③ 2천만(또는 5천만) 초과 시 전자견적 의무</t>
  </si>
  <si>
    <t>국가계약법 시행령 제30조</t>
  </si>
  <si>
    <t>공공조달 원칙의 기본 개념/원칙으로 가장 적절한 것은?</t>
  </si>
  <si>
    <t>* 정답 (③): 원칙(사전확정·공개·기록·동일적용)은 감사·분쟁 리스크를 줄이는 핵심이다.</t>
  </si>
  <si>
    <t>다음 중 공공조달 원칙 관련 실무통제(리스크 관리)로 가장 적절한 것은?</t>
  </si>
  <si>
    <t>* 정답 (③): 문서화+사전공유는 분쟁 예방, 성과관리, 책임소재 명확화에 가장 효과적이다.</t>
  </si>
  <si>
    <t>다음 중 공공조달 원칙에 관한 설명으로 옳은 것은?</t>
  </si>
  <si>
    <t>OECD 공공조달 12대 원칙 중 '기본원칙(5개)'에 해당하지 않는 것은?</t>
  </si>
  <si>
    <t>경쟁(Competition)</t>
  </si>
  <si>
    <t>* 정답 (④): OECD 12대 원칙에서 기본원칙은 투명성·비용 대비 가치(VfM)·경쟁·차별금지 및 동등대우·책임성의 5가지이다. 청렴성(Integrity)은 기본원칙이 아닌 실행원칙 7개 중 하나에 해당한다. 실행원칙에는 청렴성 외에도 접근성·효율성·균형성·참여·전자조달·역량개발 등이 있다.</t>
  </si>
  <si>
    <t>투명성(Transparency) 원칙을 확보하는 가장 효과적인 수단으로 옳은 것은?</t>
  </si>
  <si>
    <t>수의계약 방식의 적극적 활용</t>
  </si>
  <si>
    <t>입찰 참가자에게만 선별적으로 정보를 제공하는 절차 설계</t>
  </si>
  <si>
    <t>공개적이고 경쟁적인 입찰 절차의 실행</t>
  </si>
  <si>
    <t>평가 기준을 낙찰자 발표 후에 공개하여 이의 제기를 방지</t>
  </si>
  <si>
    <t>* 정답 (③): 공개적이고 경쟁적인 입찰 절차는 입찰 참여자 전원에게 동일한 정보를 동시에 제공하고 평가 기준과 결과를 사전·사후에 공개함으로써 투명성을 확보하는 가장 효과적인 수단이다. 이는 청렴성(Integrity) 향상에도 직접적으로 기여한다.</t>
  </si>
  <si>
    <t>비용 대비 가치(Value for Money) 원칙에 관한 설명으로 옳지 않은 것은?</t>
  </si>
  <si>
    <t>최저가격이 반드시 최선의 선택은 아니다.</t>
  </si>
  <si>
    <t>총소유비용(TCO)과 생애주기비용(LCC) 관점에서 운영·유지·폐기 비용까지 종합적으로 고려해야 한다.</t>
  </si>
  <si>
    <t>공급자 역량, 정책 목표 달성 여부까지 포괄하여 판단한다.</t>
  </si>
  <si>
    <t>VFM 원칙에서는 품질이나 성과보다 조달 시점의 단가를 항상 최우선으로 고려해야 한다.</t>
  </si>
  <si>
    <t>* 정답 (④): VFM은 비용·품질·기타 요소의 최적 조합을 확보하는 것으로, 단순히 구매 시점의 최저가를 추구하는 개념이 아니다. 총소유비용(TCO)·생애주기비용(LCC)을 고려하고, 공급자 역량·정책 목표까지 종합적으로 평가하여 진정한 가치를 추구해야 한다.</t>
  </si>
  <si>
    <t>경쟁(Competition) 원칙에 관한 설명으로 옳은 것은?</t>
  </si>
  <si>
    <t>경쟁은 그 자체가 목적이며 다른 원칙들과 무관하게 독립적으로 기능한다.</t>
  </si>
  <si>
    <t>경쟁은 투명성·책임성·공정성·청렴성을 동시에 구현하는 통합적 장치이다.</t>
  </si>
  <si>
    <t>수의계약이 VFM 달성에 있어 공개경쟁입찰보다 일반적으로 더 효과적이다.</t>
  </si>
  <si>
    <t>경쟁 절차에서 산출되는 입찰서·평가표 등의 기록은 감사에 활용할 수 없다.</t>
  </si>
  <si>
    <t>* 정답 (②): 경쟁은 비용 대비 가치 확보를 위한 핵심 수단이면서, 동시에 투명성·책임성·공정성·청렴성을 구현하는 통합적 장치이다. 공개경쟁 절차를 통해 특정 업체에 대한 편향을 차단하고, 경쟁 과정에서 생성된 기록은 사후 감사와 이의 제기의 근거로 활용된다.</t>
  </si>
  <si>
    <t>차별금지·동등대우(Non-discrimination and Equal Treatment) 원칙에 관한 설명으로 옳지 않은 것은?</t>
  </si>
  <si>
    <t>국적·출신지 등 조달 목적과 관련 없는 요소에 의한 참여 제한을 배제한다.</t>
  </si>
  <si>
    <t>특정 업체 제품에만 부합하는 규격 설정은 이 원칙에 위배될 수 있다.</t>
  </si>
  <si>
    <t>WTO 정부조달협정(GPA), UN 모델법, EU 지침 등 국제기준에서 핵심 원칙으로 채택한다.</t>
  </si>
  <si>
    <t>자국 산업 보호를 위해 외국 기업의 입찰 참가를 일반적으로 제한하는 것은 허용된다.</t>
  </si>
  <si>
    <t>* 정답 (④): 차별금지·동등대우 원칙은 국적·출신지 등 조달 목적과 무관한 요소에 의한 참여 제한을 배제하는 것이다. 자유무역 체제하에서 자국 기업 보호를 이유로 외국 기업의 입찰을 일반적으로 제한하는 것은 WTO GPA·UN 모델법·OECD 권고 등 국제기준에 위배된다.</t>
  </si>
  <si>
    <t>책임성(Accountability) 원칙의 구현 방식에 관한 설명으로 옳지 않은 것은?</t>
  </si>
  <si>
    <t>조달 활동의 기록과 결과를 이해관계자가 열람·확인할 수 있는 체계를 마련한다.</t>
  </si>
  <si>
    <t>공급업체가 조달 절차에 대해 이의를 제기할 수 있는 공식 경로를 제공한다.</t>
  </si>
  <si>
    <t>이해관계자가 제기한 문제에 대한 처리 결과를 공개적 방법으로 환류한다.</t>
  </si>
  <si>
    <t>조달 담당자에게 완전한 재량을 부여하고 외부 검토 없이 의사결정을 집중시킨다.</t>
  </si>
  <si>
    <t>* 정답 (④): 책임성은 의사결정과 결과에 대한 설명·달성 책임을 의미한다. 조달 담당자에게 무제한 재량을 부여하고 외부 검토를 배제하는 방식은 오히려 책임성을 약화시킨다. 책임성 구현을 위해서는 정보 접근 보장, 이의 제기 절차, 피드백 체계, 성과 보고의 4가지 요소가 갖추어져야 한다.</t>
  </si>
  <si>
    <t>공공조달 5대 기본원칙의 상호관계에 관한 설명으로 옳지 않은 것은?</t>
  </si>
  <si>
    <t>투명성이 확보되어야 다수의 공급자가 참여하는 공정한 경쟁이 가능하다.</t>
  </si>
  <si>
    <t>경쟁 환경이 형성되어야 가격·품질의 최적 조합인 VFM을 달성할 수 있다.</t>
  </si>
  <si>
    <t>5개 기본원칙 중 하나가 약화되더라도 나머지 원칙들은 독립적으로 실효성을 유지한다.</t>
  </si>
  <si>
    <t>차별금지 원칙은 공정한 경쟁의 전제 조건으로 전 단계에 걸쳐 공정성의 기반으로 작동한다.</t>
  </si>
  <si>
    <t>* 정답 (③): 5개 기본원칙은 독립적으로 존재하는 것이 아니라 상호 보완하고 강화하는 유기적 관계를 형성한다. 어느 하나의 원칙이 무너지면 다른 원칙의 실효성도 함께 약화된다. 예컨대 투명성이 확보되지 않으면 경쟁과 책임성 모두 형해화될 수 있으므로, 5개 원칙은 동시에 충족되어야 한다.</t>
  </si>
  <si>
    <t>공공조달의 5대 기본 원칙에 관한 설명으로 옳지 않은 것은?</t>
  </si>
  <si>
    <t>경제성 원칙 — 최소 비용으로 최대 가치를 실현해야 한다.</t>
  </si>
  <si>
    <t>공정성 원칙 — 입찰 참가자에게 차별 없는 동등한 기회를 보장한다.</t>
  </si>
  <si>
    <t>투명성 원칙 — 절차와 의사결정을 공개하고 추적 가능성을 확보한다.</t>
  </si>
  <si>
    <t>비밀보장 원칙 — 모든 입찰·계약 정보는 절대 공개하지 않는 것이 원칙이다.</t>
  </si>
  <si>
    <t>* 정답 (④): 공공조달은 투명성 원칙을 기본으로 하며, 입찰가 등 일부 정보는 개찰 전까지만 비밀이 유지된다. 모든 정보의 절대적 비공개는 투명성 원칙과 정면으로 충돌한다.</t>
  </si>
  <si>
    <t>효율성 원칙과 공정성 원칙이 충돌할 때의 조정 방향으로 옳은 것은?</t>
  </si>
  <si>
    <t>효율성을 절대 기준으로 삼아 공정성을 후순위로 둔다.</t>
  </si>
  <si>
    <t>공정성을 절대 기준으로 삼아 효율성을 무시한다.</t>
  </si>
  <si>
    <t>두 원칙은 양립 불가능하므로 사안별로 한쪽만 선택한다.</t>
  </si>
  <si>
    <t>두 원칙은 균형 있게 추구하되, 절차의 형식성을 통해 양자를 동시에 보장한다.</t>
  </si>
  <si>
    <t>* 정답 (④): 공공조달의 5대 원칙은 상호 보완 관계로, 절차의 형식성(공고·공개·기록)을 통해 효율성과 공정성을 동시에 확보하는 것이 원칙이다. 한쪽 원칙의 절대적 우선은 인정되지 않는다.</t>
  </si>
  <si>
    <t>공공조달의 신의성실 원칙에 관한 설명으로 옳은 것은?</t>
  </si>
  <si>
    <t>발주기관과 계약상대자는 신의에 따라 성실히 권리를 행사하고 의무를 이행해야 한다.</t>
  </si>
  <si>
    <t>신의성실은 도덕적 권고이며 법적 효력은 없다.</t>
  </si>
  <si>
    <t>신의성실 원칙은 계약상대자에게만 적용되고 발주기관에는 적용되지 않는다.</t>
  </si>
  <si>
    <t>신의성실은 공공조달에 적용되지 않는 사적 자치 원리이다.</t>
  </si>
  <si>
    <t>* 정답 (①): 신의성실 원칙은 「민법」 제2조의 일반 원칙으로 공공계약에도 적용되며, 발주기관과 계약상대자 양 당사자가 동등하게 부담하는 법적 의무이다.</t>
  </si>
  <si>
    <t>공공조달 원칙 중 책임성에 관한 설명으로 옳지 않은 것은?</t>
  </si>
  <si>
    <t>의사결정 권한과 책임의 소재가 명확히 부여되어야 한다.</t>
  </si>
  <si>
    <t>절차의 모든 단계가 사후 검증 가능하도록 기록·보존되어야 한다.</t>
  </si>
  <si>
    <t>책임성은 사전 통제·진행 중 통제·사후 통제의 3단계로 확보된다.</t>
  </si>
  <si>
    <t>책임성은 담당자 개인의 재량 확대를 통해 가장 효과적으로 확보된다.</t>
  </si>
  <si>
    <t>* 정답 (④): 책임성은 명확한 권한·의무 부여, 기록·보존, 다단계 통제로 확보되며, 담당자 재량 확대는 오히려 책임성을 약화시키는 방향이다.</t>
  </si>
  <si>
    <t>공공조달의 5대 기본 원칙 적용 우선순위에 관한 설명으로 옳은 것은?</t>
  </si>
  <si>
    <t>효율성이 항상 최우선이며 다른 원칙은 후순위이다.</t>
  </si>
  <si>
    <t>5대 원칙은 상호 보완 관계로 균형 있게 추구하되, 사안별 가중치 조정이 가능하다.</t>
  </si>
  <si>
    <t>투명성이 다른 모든 원칙을 압도하는 절대원칙이다.</t>
  </si>
  <si>
    <t>5대 원칙은 우선순위가 고정되어 있어 사안별 조정이 불가능하다.</t>
  </si>
  <si>
    <t>* 정답 (②): 5대 원칙(경제성·효율성·공정성·투명성·책임성)은 상호 보완 관계로 균형 있게 추구되며, 사안의 성격(긴급성, 규모, 정책 목적)에 따라 가중치가 달라질 수 있다. 절대적 우선순위는 인정되지 않는다.</t>
  </si>
  <si>
    <t>중앙집중형 공공조달에 대한 설명으로 가장 적절한 것은?</t>
  </si>
  <si>
    <t>개별 기관이 자체 규정에 따라 독립적으로 조달 절차를 수행하는 방식이다.</t>
  </si>
  <si>
    <t>중앙조달기관(CPB)이 공공기관의 조달 수요를 전담하여 통합 처리하는 방식이다.</t>
  </si>
  <si>
    <t>소액 수의계약만을 중앙에서 관리하고 대규모 계약은 기관 자체에 위임하는 방식이다.</t>
  </si>
  <si>
    <t>국가 수준의 통일된 법령 없이 기관별 재량으로 기준을 적용하는 방식이다.</t>
  </si>
  <si>
    <t>* 정답 (②): 중앙집중형은 CPB가 국가 내 모든(또는 대부분의) 공공기관의 조달 수요를 전담하여 처리하는 형식이다. A는 분산형, C는 혼합형의 일부 특성, D는 분산형의 법적 체계에 해당한다.</t>
  </si>
  <si>
    <t>분산형 공공조달의 한계로 적절하지 않은 것은?</t>
  </si>
  <si>
    <t>개별 기관이 소규모로 분산 구매하여 규모의 경제 효과를 기대하기 어렵다.</t>
  </si>
  <si>
    <t>기관마다 상이한 기준 적용으로 국가 차원의 정책 일관성이 약화될 수 있다.</t>
  </si>
  <si>
    <t>표준화된 규격 위주의 조달로 기관별 맞춤형 요구를 반영하지 못한다.</t>
  </si>
  <si>
    <t>중앙 수준의 성과 평가와 규정 준수 모니터링이 구조적으로 어렵다.</t>
  </si>
  <si>
    <t>* 정답 (③): '표준화된 규격 위주의 조달로 맞춤형 요구를 반영하지 못하는 것'은 중앙집중형의 한계이다. 분산형은 오히려 기관별 맞춤 대응이 장점이므로 '③'은 분산형의 한계에 해당하지 않는다.</t>
  </si>
  <si>
    <t>한국의 공공조달 체계에 대한 설명으로 옳은 것은?</t>
  </si>
  <si>
    <t>조달청이 모든 공공기관의 조달을 전담하는 완전한 중앙집중형 모델이다.</t>
  </si>
  <si>
    <t>각 수요기관이 독립적으로 조달하며 공통 시스템은 존재하지 않는다.</t>
  </si>
  <si>
    <t>조달청이 약 30%를 통합 처리하고 나머지는 수요기관이 자체 조달하되, 나라장터를 의무 활용하는 혼합형 모델이다.</t>
  </si>
  <si>
    <t>지방자치단체는 「국가계약법」의 적용을 받지 않고 완전한 자율 조달을 수행한다.</t>
  </si>
  <si>
    <t>* 정답 (③): 한국은 조달청(약 30% 통합)과 수요기관(약 70% 자체) 구조의 혼합형이며, 나라장터 의무 활용으로 시스템 차원의 중앙 통합이 매우 높은 '시스템 통합형 혼합 모델'에 해당한다.</t>
  </si>
  <si>
    <t>중앙집중형 공공조달의 강점에 관한 설명으로 옳지 않은 것은?</t>
  </si>
  <si>
    <t>다수 기관의 수요를 통합 구매함으로써 EU 추정 12 ~ 25%의 비용 절감 효과를 기대할 수 있다.</t>
  </si>
  <si>
    <t>조달 전문 인력이 중앙기관에 집중되어 고도의 전문성 축적이 가능하다.</t>
  </si>
  <si>
    <t>개별 기관의 긴급하고 특수한 수요에 신속하게 대응할 수 있다.</t>
  </si>
  <si>
    <t>환경보호·중소기업 지원 등 국가 정책을 조달 절차에 통일적으로 반영할 수 있다.</t>
  </si>
  <si>
    <t>* 정답 (③): 개별 기관의 긴급하고 특수한 수요에 신속하게 대응하는 것은 분산형의 강점이다. 중앙집중형은 표준화된 절차 위주로 운영되므로 수요 반영에 시간이 소요되는 '수요 대응 경직성'이 오히려 주요 한계로 꼽힌다.</t>
  </si>
  <si>
    <t>분산형 공공조달의 강점으로 옳은 것은?</t>
  </si>
  <si>
    <t>대량 구매를 통해 규모의 경제 효과를 극대화할 수 있다.</t>
  </si>
  <si>
    <t>국가 수준의 환경·사회 정책 목표를 일관되게 반영하기 용이하다.</t>
  </si>
  <si>
    <t>개별 기관이 자체 수요 특성을 가장 잘 파악하므로 맞춤형 규격·조건 설정이 용이하다.</t>
  </si>
  <si>
    <t>중앙 수준의 데이터 수집과 성과 평가 체계를 구축하기 용이하다.</t>
  </si>
  <si>
    <t>* 정답 (③): 분산형의 핵심 강점은 '수요 맞춤 대응'이다. 개별 기관이 자체 수요의 특성을 가장 잘 파악하므로 맞춤형 규격·조건 설정과 신속한 의사결정이 가능하다. '①, ②, ④'는 모두 중앙집중형의 강점에 해당한다.</t>
  </si>
  <si>
    <t>혼합형(Hybrid) 공공조달 모델에서 중앙조달기관이 담당하기에 가장 적합한 대상은?</t>
  </si>
  <si>
    <t>기관 고유의 특수 연구용역</t>
  </si>
  <si>
    <t>긴급 소액 수의계약 건</t>
  </si>
  <si>
    <t>사무용품·IT장비 등 다수 기관이 공통으로 사용하는 범용 물품</t>
  </si>
  <si>
    <t>기관 내부의 전문 기술이 필수적인 특수 시설 공사</t>
  </si>
  <si>
    <t>* 정답 (③): 혼합형 모델에서 중앙조달기관은 사무용품·IT장비 등 범용 물품처럼 표준화가 가능하고 다수 기관의 공통 수요가 있는 대상을 통합 처리한다. 기관 고유 특수용역, 긴급 소액 구매, 전문 기술이 필요한 시설공사는 기관 자체 조달에 적합하다.</t>
  </si>
  <si>
    <t>한국 공공조달 체계를 '시스템 통합형 혼합 모델'로 특징짓는 주된 이유로 옳은 것은?</t>
  </si>
  <si>
    <t>조달청이 국가의 모든 조달 건을 예외 없이 단독으로 수행하기 때문이다.</t>
  </si>
  <si>
    <t>각 수요기관이 독자적인 전자조달시스템을 별도로 운영하기 때문이다.</t>
  </si>
  <si>
    <t>조달 행위는 분산되어 있으나 나라장터라는 단일 전자조달시스템을 통해 정보·절차가 중앙에서 통합 관리되기 때문이다.</t>
  </si>
  <si>
    <t>「지방계약법」과 「국가계약법」을 완전히 분리하여 적용하는 이중 법령 체계를 갖추기 때문이다.</t>
  </si>
  <si>
    <t>* 정답 (③): 한국은 조달 행위의 수행 주체는 조달청(약 30%)과 수요기관(약 70%)으로 분산되어 있지만, 모든 기관이 나라장터(G2B)를 의무적으로 활용해야 하므로 시스템 차원의 중앙 통합이 매우 높다. 이를 통해 분산형의 유연성과 중앙집중형의 투명성·데이터 관리 효과를 동시에 확보한다.</t>
  </si>
  <si>
    <t>중앙집중형과 분산형 공공조달 유형에 관한 설명으로 옳지 않은 것은?</t>
  </si>
  <si>
    <t>중앙집중형은 통일된 법령·기준을 적용하여 정책 일관성 확보에 유리하다.</t>
  </si>
  <si>
    <t>분산형은 기관별 독립적 규정 수립이 가능하여 맞춤형 대응이 유연하다.</t>
  </si>
  <si>
    <t>완전한 중앙집중형 또는 완전한 분산형만을 단독으로 채택하는 국가가 대부분이다.</t>
  </si>
  <si>
    <t>중앙집중형은 규정 준수 여부를 중앙 수준에서 모니터링·검증하기 용이하다.</t>
  </si>
  <si>
    <t>* 정답 (③): 완전한 중앙집중형이나 완전한 분산형만을 단독으로 채택하는 경우는 극히 예외적이다. 대부분의 국가는 두 유형을 결합한 혼합형(Hybrid) 모델을 채택하고 있으며, 미국(GSA)·영국(CCS)·캐나다(PSPC)·프랑스(UGAP) 등 선진 조달 국가들도 모두 혼합형이다.</t>
  </si>
  <si>
    <t>공공조달 운영체계 유형의 판별 기준에 관한 설명으로 옳은 것은?</t>
  </si>
  <si>
    <t>수요를 단일 기관이 통합 처리하면 분산형, 개별 기관이 처리하면 중앙집중형이다.</t>
  </si>
  <si>
    <t>중앙집중형에서는 각 기관이 독립적 조달 규정을 자유롭게 수립할 수 있는 재량이 부여된다.</t>
  </si>
  <si>
    <t>절차 수행 주체가 중앙조달기관(CPB)이면 중앙집중형, 개별 기관이면 분산형으로 분류된다.</t>
  </si>
  <si>
    <t>법적 체계의 존재 여부와 무관하게 계약 예산 규모만으로 유형이 결정된다.</t>
  </si>
  <si>
    <t>* 정답 (③): 공공조달 유형의 핵심 판별 기준은 '누가 조달 절차를 수행하는가'이다. 중앙조달기관(CPB, Central Purchasing Body)이 전담하면 중앙집중형, 개별 기관이 각자 수행하면 분산형이다. 중앙집중형은 통일된 법령 체계를 적용하므로 '②'는 분산형의 특성이다.</t>
  </si>
  <si>
    <t>혼합형(Hybrid) 공공조달 모델에서 중앙조달기관이 아닌 각 기관의 자체 조달에 맡기는 것이 적합한 상황으로 옳지 않은 것은?</t>
  </si>
  <si>
    <t>기관 고유의 전문 용역으로 내부 기술 전문성이 필수인 경우</t>
  </si>
  <si>
    <t>수십 개 기관이 공통으로 필요로 하는 범용 사무용품을 대량 구매하는 경우</t>
  </si>
  <si>
    <t>예산이 소액인 긴급 수의계약 건</t>
  </si>
  <si>
    <t>기관의 특수 사업 목표에 특화된 소규모 구매</t>
  </si>
  <si>
    <t>* 정답 (②): 수십 개 기관이 공통으로 필요로 하는 범용 사무용품의 대량 구매는 중앙조달기관이 통합 처리할 때 규모의 경제 효과가 극대화되는 전형적인 중앙 조달 적합 사례이다. 반면, 기관 고유 전문용역, 소액 긴급 구매, 특수 사업 특화 구매는 자체 조달에 적합한 상황이다.</t>
  </si>
  <si>
    <t>공공조달 운영 모델 중 중앙집중형의 특징으로 옳은 것은?</t>
  </si>
  <si>
    <t>단일 또는 소수의 전문기관이 국가 전체의 조달 수요를 통합 처리한다.</t>
  </si>
  <si>
    <t>모든 수요기관이 자체적으로 조달을 수행하므로 표준화가 어렵다.</t>
  </si>
  <si>
    <t>중앙집중형은 한국에서 채택하지 않는 모델이다.</t>
  </si>
  <si>
    <t>중앙집중형은 규모의 경제 효과를 발생시키지 못한다.</t>
  </si>
  <si>
    <t>* 정답 (①): 중앙집중형은 단일 또는 소수의 중앙조달기관이 통합 처리하는 방식으로, 규모의 경제·절차 표준화·전문성 집약의 장점이 있다. 한국은 조달청을 통한 의무구매 대행 등 중앙집중 요소를 갖춘 혼합형 모델이다.</t>
  </si>
  <si>
    <t>분산형 공공조달 모델의 장단점에 관한 설명으로 옳지 않은 것은?</t>
  </si>
  <si>
    <t>수요기관의 자율성이 높아 기관별 특수 수요에 유연하게 대응할 수 있다.</t>
  </si>
  <si>
    <t>모든 기관이 자체 조달 역량을 보유해야 하므로 인력·비용 부담이 발생한다.</t>
  </si>
  <si>
    <t>동일 품목을 다른 기관이 다른 가격으로 구매하여 효율성이 떨어질 수 있다.</t>
  </si>
  <si>
    <t>분산형은 절차 표준화와 규모의 경제 측면에서 중앙집중형보다 우수하다.</t>
  </si>
  <si>
    <t>* 정답 (④): 분산형은 자율성·유연성에 강점이 있으나, 절차 표준화와 규모의 경제 측면에서는 중앙집중형이 우수하다. 분산형의 단점을 보완하기 위해 한국과 다수 국가가 혼합형을 채택한다.</t>
  </si>
  <si>
    <t>한국의 공공조달 운영 모델에 관한 설명으로 옳은 것은?</t>
  </si>
  <si>
    <t>완전한 중앙집중형으로 모든 조달을 조달청이 독점적으로 처리한다.</t>
  </si>
  <si>
    <t>완전한 분산형으로 각 기관이 모든 조달을 자체 수행한다.</t>
  </si>
  <si>
    <t>중앙집중과 분산이 결합된 혼합형으로, 일정 금액 이상은 조달청 의무구매 대행, 소액·기관 고유 사업은 자체 조달이다.</t>
  </si>
  <si>
    <t>한국은 세계에서 유일하게 분산형 모델을 채택한 국가이다.</t>
  </si>
  <si>
    <t>* 정답 (③): 한국은 일정 금액 이상의 물품·공사·용역에 대해서는 조달청 의무구매 대행이 적용되고, 소액·기관 고유 사업·긴급 수요 등은 수요기관이 자체 조달하는 혼합형 모델이다.</t>
  </si>
  <si>
    <t>부문별 전문 조달기관과 운영 플랫폼의 연결로 옳지 않은 것은?</t>
  </si>
  <si>
    <t>방위사업청 — 국방장터(D2B)</t>
  </si>
  <si>
    <t>농수산식품유통공사 — 공공급식전자조달시스템(NeaT)</t>
  </si>
  <si>
    <t>한국교직원공제회 — 학교장터(S2B)</t>
  </si>
  <si>
    <t>한국전력공사 — 나라장터</t>
  </si>
  <si>
    <t>* 정답 (④): 한국전력공사는 자체 조달 시스템을 운영하지만, 부문별 전문 조달기관으로 분류되지 않는다. 부문별 전문 조달기관은 ① 방위사업청(국방), ② 농수산식품유통공사(공공급식), ③ 한국교직원공제회(교육) 등이며, 나라장터는 조달청이 운영하는 종합 전자조달시스템이다.</t>
  </si>
  <si>
    <t>의무구매 대행 제도에 관한 설명으로 옳지 않은 것은?</t>
  </si>
  <si>
    <t>일정 금액 이상의 물품·공사·용역에 대해 수요기관이 조달청에 구매를 요청해야 한다.</t>
  </si>
  <si>
    <t>대량 구매에 따른 규모의 경제와 절차 표준화 효과를 발생시킨다.</t>
  </si>
  <si>
    <t>의무구매 대행 대상이라도 긴급 수요나 기관 고유 사업은 자체 조달이 가능한 경우가 있다.</t>
  </si>
  <si>
    <t>의무구매 대행 제도는 모든 공공기관에 예외 없이 동일하게 적용된다.</t>
  </si>
  <si>
    <t>* 정답 (④): 의무구매 대행 적용 범위는 기관 유형(국가기관·지방자치단체·공공기관)과 구매 품목·금액에 따라 차등 적용된다. 또한 긴급성·기관 특수성 등에 따른 예외도 인정된다.</t>
  </si>
  <si>
    <t>다음 중 일반경쟁입찰에 대한 설명으로 가장 적절한 것은?</t>
  </si>
  <si>
    <t>조달기관이 특정 기업을 지명하여 참가하도록 하는 방식이다.</t>
  </si>
  <si>
    <t>참가자격 제한을 최소화하여 자격을 갖춘 모든 기업이 참여할 수 있는 원칙적 입찰방법이다.</t>
  </si>
  <si>
    <t>계약 이행의 전문성을 이유로 실적이 있는 기업에만 참가를 허용하는 방식이다.</t>
  </si>
  <si>
    <t>수의계약과 동일한 절차로 진행되며 견적서를 통해 공급업체를 선정한다.</t>
  </si>
  <si>
    <t>* 정답 (②): 일반경쟁입찰은 입찰참가 자격요건의 제한을 최소화하여 자격을 갖춘 모든 기업에 참여 기회를 부여하는 공공조달의 원칙적 방법이다. A는 지명경쟁, C는 제한경쟁에 해당한다.</t>
  </si>
  <si>
    <t>제한경쟁입찰에서 참가자격을 제한할 수 있는 기준으로 적절하지 않은 것은?</t>
  </si>
  <si>
    <t>유사 조달사업의 수행 실적</t>
  </si>
  <si>
    <t>해당 업종에 필요한 특수 기술 보유 여부</t>
  </si>
  <si>
    <t>대표이사의 학력 및 경력 사항</t>
  </si>
  <si>
    <t>법령에 따른 등록·면허·허가·자격 보유</t>
  </si>
  <si>
    <t>* 정답 (③): 제한경쟁의 제한 기준은 실적, 기술, 자본금·재무, 자격·면허, 지역의 5가지이다. 대표이사의 학력·경력은 법정 제한 기준에 해당하지 않는다.</t>
  </si>
  <si>
    <t>지명경쟁입찰에 대한 설명으로 옳은 것은?</t>
  </si>
  <si>
    <t>일반경쟁이 불가능한 경우 가장 먼저 고려하는 입찰 방법이다.</t>
  </si>
  <si>
    <t>최소 5개 이상의 기업을 지명해야 한다.</t>
  </si>
  <si>
    <t>조달기관이 특정 기업을 직접 지명하여 해당 기업들 간에만 경쟁하도록 하는 방식이다.</t>
  </si>
  <si>
    <t>입찰공고를 전면 공개하여 모든 기업에 참가 기회를 부여한다.</t>
  </si>
  <si>
    <t>* 정답 (③): 지명경쟁입찰은 조달기관이 적합한 기업을 사전에 지명(초대)하여 해당 기업들 간에만 경쟁하도록 하는 방식이다. 최소 3개 이상(5개가 아님) 기업 지명이 원칙이며, 공개 공고가 아닌 비공개 초대로 진행된다.</t>
  </si>
  <si>
    <t>일반경쟁입찰의 입찰공고 필수 요건에 해당하지 않는 것은?</t>
  </si>
  <si>
    <t>중립적이고 명확한 기술사양의 제시</t>
  </si>
  <si>
    <t>자격을 갖춘 모든 잠재적 입찰자에게 개방</t>
  </si>
  <si>
    <t>명확하고 객관적인 평가기준의 사전 공개</t>
  </si>
  <si>
    <t>낙찰 후 담당자 재량으로 결정되는 비공개 선정 방식 적용</t>
  </si>
  <si>
    <t>* 정답 (④): 일반경쟁입찰의 입찰공고 필수 5요건은 ① 중립적·명확한 기술사양, ② 모든 잠재적 입찰자에게 개방, ③ 객관적 자격기준 명시, ④ 적절한 범위 공고, ⑤ 명확·객관적 평가기준의 사전 공개이다. 평가 방식을 담당자 재량에 맡기는 비공개 방식은 투명성·공정성 원칙에 정면으로 위배된다.</t>
  </si>
  <si>
    <t>2단계 공개입찰 방식이 적합한 상황으로 옳은 것은?</t>
  </si>
  <si>
    <t>규격이 단순·명확한 소모품을 소량 구매하는 경우</t>
  </si>
  <si>
    <t>조달 대상물의 전문성·복잡성이 높아 기술 요구조건을 사전에 확정하기 어려운 경우</t>
  </si>
  <si>
    <t>긴급하게 소액 수의계약이 필요한 경우</t>
  </si>
  <si>
    <t>기존 납품 업체와의 계속 거래가 필요하여 경쟁을 생략하려는 경우</t>
  </si>
  <si>
    <t>* 정답 (②): 2단계 공개입찰은 기술적 요구조건을 사전에 명확하게 확정하기 어려운 복잡·전문성 높은 조달에 적합하다. 1단계에서 기술제안서를 평가하고 통과 기업에 한해 2단계에서 가격제안서를 제출하도록 하는 방식으로, 공개입찰의 기본 원칙은 유지된다.</t>
  </si>
  <si>
    <t>제한경쟁입찰에 관한 설명으로 옳지 않은 것은?</t>
  </si>
  <si>
    <t>기본적으로 일반경쟁입찰과 동일한 공개 절차를 따르되 참가자격만 제한한다.</t>
  </si>
  <si>
    <t>부적격 업체의 낙찰을 사전에 방지하여 이행 품질을 확보할 수 있다.</t>
  </si>
  <si>
    <t>제한 요건이 과도하면 충분한 자격을 갖춘 기업의 참가가 부당하게 배제될 수 있다.</t>
  </si>
  <si>
    <t>참가 기업 수가 제한되므로 가격 경쟁이 더 치열해져 낙찰가가 항상 낮아진다.</t>
  </si>
  <si>
    <t>* 정답 (④): 제한경쟁의 한계 중 하나는 참가 기업 수 감소로 경쟁 강도가 약화되어 가격 측면에서 오히려 불리한 결과가 발생할 가능성이 있다는 점이다. 제한경쟁은 이행 품질을 보장하기 위해 경쟁성 일부를 희생하는 구조이므로 가격이 항상 낮아진다는 설명은 옳지 않다.</t>
  </si>
  <si>
    <t>3가지 경쟁입찰 방법을 경쟁 강도가 높은 순서부터 올바르게 나열한 것은?</t>
  </si>
  <si>
    <t>지명경쟁 → 제한경쟁 → 일반경쟁</t>
  </si>
  <si>
    <t>일반경쟁 → 제한경쟁 → 지명경쟁</t>
  </si>
  <si>
    <t>제한경쟁 → 지명경쟁 → 일반경쟁</t>
  </si>
  <si>
    <t>일반경쟁 → 지명경쟁 → 제한경쟁</t>
  </si>
  <si>
    <t>* 정답 (②): 경쟁 강도는 참가 가능 기업의 범위에 따라 결정된다. 자격 갖춘 모든 기업에 개방되는 일반경쟁이 가장 높고, 자격 요건 충족 기업으로 제한하는 제한경쟁이 중간이며, 조달기관이 직접 지명한 소수 기업만 참여하는 지명경쟁이 가장 낮다.</t>
  </si>
  <si>
    <t>「국가계약법 시행령」 제23조에 따른 지명경쟁입찰의 허용 사유로 옳지 않은 것은?</t>
  </si>
  <si>
    <t>계약의 성질·목적상 특수한 설비·기술·자재·물품 또는 실적이 있는 자가 아니면 계약 목적 달성이 곤란한 경우</t>
  </si>
  <si>
    <t>추정가격이 일정 금액 이하인 경우로서 대상 업체가 소수인 경우</t>
  </si>
  <si>
    <t>조달 담당자가 친분 있는 업체와 편의상 신속하게 계약하려는 경우</t>
  </si>
  <si>
    <t>「건설산업기본법」에 따른 건설공사로서 추정가격이 일정 금액 이하인 경우</t>
  </si>
  <si>
    <t>* 정답 (③): 지명경쟁입찰은 법령에서 정한 예외적 사유(특수기술·실적 요건, 소액·소수 업체, 소규모 건설공사 등)에 해당하는 경우에만 허용된다. 담당자의 친분 관계나 편의를 이유로 한 지명은 조달의 공정성·차별금지 원칙에 위배되는 위법 행위에 해당한다.</t>
  </si>
  <si>
    <t>3가지 경쟁입찰 방법과 그 법적 근거가 올바르게 연결된 것은?</t>
  </si>
  <si>
    <t>일반경쟁 — 「국가계약법 시행령」 제21조</t>
  </si>
  <si>
    <t>제한경쟁 — 「국가계약법」 제7조</t>
  </si>
  <si>
    <t>지명경쟁 — 「국가계약법 시행령」 제23조</t>
  </si>
  <si>
    <t>지명경쟁 — 「국가계약법 시행령」 제21조</t>
  </si>
  <si>
    <t>* 정답 (③): 「국가계약법」 제7조는 일반경쟁을 원칙으로 규정하고, 「국가계약법 시행령」 제21조는 제한경쟁입찰의 요건과 제한기준을, 시행령 제23조는 지명경쟁입찰의 허용 사유를 각각 규정한다. 「지방계약법」도 동일한 체계로 해당 조문이 구성되어 있다.</t>
  </si>
  <si>
    <t>제한경쟁입찰과 지명경쟁입찰의 공통점으로 옳은 것은?</t>
  </si>
  <si>
    <t>자격을 갖춘 모든 기업에게 균등하게 참가 기회를 부여한다.</t>
  </si>
  <si>
    <t>일반경쟁입찰에 비해 예외적으로만 허용되는 방법이다.</t>
  </si>
  <si>
    <t>입찰 결과를 전면 공개 공고 방식으로 반드시 공시해야 한다.</t>
  </si>
  <si>
    <t>최소 5개 이상의 업체가 반드시 참여해야 한다.</t>
  </si>
  <si>
    <t>* 정답 (②): 제한경쟁과 지명경쟁은 모두 일반경쟁이 원칙인 공공조달에서 법령상 요건을 충족하는 경우에만 예외적으로 허용되는 방법이다. 일반경쟁은 「국가계약법」 제7조가 규정하는 원칙적 방법이며, 제한경쟁(시행령 제21조)과 지명경쟁(시행령 제23조)은 그 예외이다.</t>
  </si>
  <si>
    <t>일반경쟁입찰의 원칙과 성립 요건에 관한 설명으로 옳지 않은 것은?</t>
  </si>
  <si>
    <t>「국가계약법」 제7조는 일반경쟁을 원칙으로 규정하며, 계약의 목적·성질·규모를 고려하여 예외가 인정된다.</t>
  </si>
  <si>
    <t>경쟁입찰은 원칙적으로 2인 이상의 유효한 입찰로 성립한다.</t>
  </si>
  <si>
    <t>입찰자가 1인뿐인 경우 재공고입찰을 거치지 않고 즉시 수의계약으로 전환할 수 있다.</t>
  </si>
  <si>
    <t>입찰참가자는 다른 법령에서 요구하는 허가·인가·면허·등록 등 자격 요건을 갖추어야 한다.</t>
  </si>
  <si>
    <t>* 정답 (③): 입찰자가 1인뿐인 경우라도 즉시 수의계약으로 전환되는 것이 아니라, 재공고입찰을 실시한 후에도 자격을 갖춘 자가 1인밖에 없음이 명백하다고 인정되는 경우에 한해 수의계약이 가능하다.</t>
  </si>
  <si>
    <t>제한경쟁입찰에 관한 설명으로 옳은 것은?</t>
  </si>
  <si>
    <t>모든 공사계약은 추정가격과 무관하게 제한경쟁입찰로 진행해야 한다.</t>
  </si>
  <si>
    <t>「국가계약법 시행령」 제21조에 따라 시공능력·공사실적·기술 보유상황·소재지 등을 기준으로 참가자격을 제한할 수 있다.</t>
  </si>
  <si>
    <t>제한경쟁입찰은 입찰참가자를 발주기관이 직접 지명하는 방식이다.</t>
  </si>
  <si>
    <t>제한경쟁입찰의 경우 입찰공고에서 제한사항을 별도로 명시할 의무는 없다.</t>
  </si>
  <si>
    <t>* 정답 (②): 제한경쟁입찰은 「국가계약법 시행령」 제21조에 근거하여 참가자격을 합리적으로 제한하는 방식이다. ① 모든 공사가 아닌 일정 추정가격 이상의 공사 등에 적용, ③ 지명경쟁입찰의 설명, ④ 제한사항·제한기준은 입찰공고에 반드시 명시해야 한다.</t>
  </si>
  <si>
    <t>지명경쟁입찰이 허용되는 경우로 옳지 않은 것은?</t>
  </si>
  <si>
    <t>계약의 성질·목적상 특수한 설비·기술·자재·물품 또는 실적이 있는 자가 아니면 계약 목적 달성이 곤란한 경우로서 입찰대상자가 10인 이내인 경우</t>
  </si>
  <si>
    <t>「건설산업기본법」에 따른 건설공사로서 추정가격이 4억 원 이하인 공사</t>
  </si>
  <si>
    <t>추정가격 100억 원 이상의 대형 종합공사</t>
  </si>
  <si>
    <t>추정가격이 1억 원 이하인 물품을 제조할 경우</t>
  </si>
  <si>
    <t>* 정답 (③): 지명경쟁입찰은 「국가계약법 시행령」 제23조에 따라 ① 특수성·실적 요건과 입찰대상자 10인 이내인 경우, ② 일정 금액 이하 공사, ④ 일정 금액 이하 물품 제조 등 소액·특수 사안에 한정된다. 100억 원 이상 대형 공사는 일반경쟁이 원칙이다.</t>
  </si>
  <si>
    <t>수의계약의 허용 사유에 관한 설명으로 옳지 않은 것은?</t>
  </si>
  <si>
    <t>「국가계약법 시행령」 제26조는 긴급성·독점 공급·소액 거래 등 일정 조건에서 수의계약을 허용한다.</t>
  </si>
  <si>
    <t>재공고입찰을 실시하더라도 입찰 참가 자격을 갖춘 자가 1인밖에 없음이 명백한 경우 수의계약이 가능하다.</t>
  </si>
  <si>
    <t>수의계약은 경쟁입찰에 비해 절차 비용이 적게 들지만 공정성·경쟁성 확보가 약점이다.</t>
  </si>
  <si>
    <t>발주기관 담당자의 편의나 친분 관계가 인정되면 수의계약 사유가 된다.</t>
  </si>
  <si>
    <t>* 정답 (④): 수의계약 사유는 법령에 한정 열거되어 있으며 담당자 편의·친분은 사유가 아니다. 부적절한 수의계약은 부정당업자 제재·감사 대상이 되며, 시험 출제 시에도 자주 함정으로 활용된다.</t>
  </si>
  <si>
    <t>공공조달의 4가지 계약방법 비교로 옳지 않은 것은?</t>
  </si>
  <si>
    <t>일반경쟁 — 모든 자격 요건을 갖춘 자에게 입찰 참가 기회를 개방하는 원칙적 방법</t>
  </si>
  <si>
    <t>제한경쟁 — 시공능력·공사실적·소재지 등으로 참가자격을 합리적으로 제한</t>
  </si>
  <si>
    <t>지명경쟁 — 발주기관이 입찰참가자를 직접 지명하여 경쟁시키는 방법</t>
  </si>
  <si>
    <t>수의계약 — 가격 경쟁만 생략하고 자격 심사는 일반경쟁과 동일하게 적용</t>
  </si>
  <si>
    <t>* 정답 (④): 수의계약은 가격 경쟁뿐 아니라 입찰 절차 자체를 거치지 않고 특정 상대방을 선정하여 계약을 체결하는 방식이다. 자격 심사도 일반경쟁과 다른 방식(견적서 검토, 자격 확인 등)으로 진행된다.</t>
  </si>
  <si>
    <t>다음 중 수의계약에 대한 설명으로 가장 적절한 것은?</t>
  </si>
  <si>
    <t>모든 공공조달에서 우선적으로 적용해야 하는 기본 방법이다.</t>
  </si>
  <si>
    <t>경쟁적 입찰 절차를 거치지 않고 특정 공급업체를 직접 선택하여 계약을 체결하는 방식이다.</t>
  </si>
  <si>
    <t>반드시 3개 이상의 기업으로부터 견적을 받아야만 적용할 수 있다.</t>
  </si>
  <si>
    <t>소액구매와 동일한 절차로 진행되며 구매카드로만 결제해야 한다.</t>
  </si>
  <si>
    <t>* 정답 (②): 수의계약은 경쟁적 입찰 절차를 거치지 않고 특정 공급업체를 직접 선택하여 계약을 체결하는 비경쟁적 방법이다. 원칙적으로 2인 이상의 견적서를 비교하지만, 1인 견적 특례도 존재한다.</t>
  </si>
  <si>
    <t>단독공급원(Sole Source)과 단일공급(Single Source) 조달의 차이에 대한 설명으로 가장 적절한 것은?</t>
  </si>
  <si>
    <t>단독공급원은 다수 기업 중 1개를 선택하고, 단일공급은 유일한 기업과 계약하는 방식이다.</t>
  </si>
  <si>
    <t>단독공급원은 공급 가능 기업이 유일하여 공급자에 유리하고, 단일공급은 다수 기업 중 1개를 선택하여 조달기관에 유리하다.</t>
  </si>
  <si>
    <t>두 방식은 명칭만 다를 뿐 절차와 적용 조건이 동일하다.</t>
  </si>
  <si>
    <t>단독공급원은 소액구매에만, 단일공급은 대규모 계약에만 적용된다.</t>
  </si>
  <si>
    <t>* 정답 (②): 단독공급원은 공급 가능 기업이 유일하여 공급자의 독점적 지위로 인해 가격 조건이 공급자에 유리하고, 단일공급은 다수 기업 중 1개를 전략적으로 선택하므로 대체 선택지가 있어 조달기관의 협상력이 상대적으로 높다.</t>
  </si>
  <si>
    <t>소액구매에 대한 설명으로 적절하지 않은 것은?</t>
  </si>
  <si>
    <t>사전 설정된 금액 이하의 소규모 조달에 대해 절차를 간소화하여 신속하게 공급받는 방법이다.</t>
  </si>
  <si>
    <t>한국에서는 정부구매카드를 통해 소액 소모품 구매를 관리한다.</t>
  </si>
  <si>
    <t>소액구매 요건 충족을 위해 금액이나 수량을 분할하여 발주하는 것이 허용된다.</t>
  </si>
  <si>
    <t>미국(FAR)의 국내 소액구매 임곗값은 10,000달러이다.</t>
  </si>
  <si>
    <t>* 정답 (③): 소액구매 요건을 충족하기 위해 고의적으로 금액·수량을 분할하는 행위는 오남용에 해당하여 명시적으로 금지된다. 이는 소액구매 제도의 주요 한계이자 관리 통제 포인트이다.</t>
  </si>
  <si>
    <t>비경쟁적 조달 방법의 위험으로 옳지 않은 것은?</t>
  </si>
  <si>
    <t>경쟁을 통한 가격 검증이 없어 과도한 비용을 지불할 가능성이 있다.</t>
  </si>
  <si>
    <t>절차와 기준이 비공개되어 특정 기업 특혜 논란이 발생할 수 있다.</t>
  </si>
  <si>
    <t>반복 적용 시 특정 공급기업에 대한 과도한 의존이 발생하여 공급 안정성을 위협할 수 있다.</t>
  </si>
  <si>
    <t>다수 기업이 경쟁에 참여하므로 조달 완료까지 장기간이 소요된다.</t>
  </si>
  <si>
    <t>* 정답 (④): 비경쟁적 조달은 경쟁 절차를 생략하므로 오히려 신속한 조달이 가능한 것이 이점이다. 장기간 소요는 경쟁적 조달(일반경쟁입찰 등)의 한계에 해당한다. 비경쟁적 조달의 3대 위험은 ① 과도한 비용 지불 가능성, ② 공정성 의문·특혜 논란, ③ 특정 공급기업 과의존이다.</t>
  </si>
  <si>
    <t>「국가계약법 시행령」 제26조에 따른 수의계약의 허용 사유로 옳지 않은 것은?</t>
  </si>
  <si>
    <t>천재지변·비상사태 등에 의한 긴급한 조달이 필요한 경우</t>
  </si>
  <si>
    <t>특허권·실용신안권 등 배타적 권리로 인해 다른 기업으로부터 조달이 불가능한 경우</t>
  </si>
  <si>
    <t>경쟁입찰을 실시하였으나 2회 이상 유찰된 경우</t>
  </si>
  <si>
    <t>경쟁입찰에 비해 처리가 빠르고 조달 담당자에게 편리한 경우</t>
  </si>
  <si>
    <t>* 정답 (④): 수의계약은 법령에서 정한 엄격한 사유(긴급 상황, 단독공급원, 배타적 권리, 호환성, 소규모 금액, 2회 이상 유찰 등)에 해당하는 경우에만 허용된다. 담당자의 편의나 처리 신속성 자체는 수의계약 허용 사유가 되지 않는다. 오남용 방지를 위해 상위 관리자의 승인도 필요하다.</t>
  </si>
  <si>
    <t>수의계약 시 견적서에 관한 설명으로 옳은 것은?</t>
  </si>
  <si>
    <t>수의계약은 담당자 판단만으로 견적서 없이 계약 체결이 가능하다.</t>
  </si>
  <si>
    <t>수의계약 시에도 원칙적으로 2인 이상의 견적서를 받아 비교해야 한다.</t>
  </si>
  <si>
    <t>단독공급원(Sole Source)의 경우에도 반드시 3인 이상의 견적서를 받아야 한다.</t>
  </si>
  <si>
    <t>소액구매 한도 이하인 경우에는 항상 10인 이상의 견적서가 필요하다.</t>
  </si>
  <si>
    <t>* 정답 (②): 수의계약 시에도 2인 이상의 견적서를 받아 비교하는 것이 원칙이다(1인 견적 특례 제외). 단독공급원처럼 공급가능 기업이 유일한 경우에는 사실상 1인 견적으로 진행될 수 있으나, 이는 예외에 해당하며 그 정당성을 문서로 입증해야 한다.</t>
  </si>
  <si>
    <t>수의계약 적용의 정당성을 담보하기 위해 반드시 문서화해야 하는 사항이 아닌 것은?</t>
  </si>
  <si>
    <t>요청기관과 요구사항의 구체적 내용</t>
  </si>
  <si>
    <t>해당 기업만이 요구사항을 충족할 수 있는 사유</t>
  </si>
  <si>
    <t>조달 담당자의 개인적 선호도와 업체 친분 관계</t>
  </si>
  <si>
    <t>추가 공급 가능 기업 탐색을 위해 취한 조치와 소요 비용</t>
  </si>
  <si>
    <t>* 정답 (③): 수의계약 문서화 항목은 요청기관·요구사항, 해당 기업만이 충족할 수 있는 사유, 추가 공급기업 탐색 조치, 소요 비용, 향후 단독·단일공급 필요성 해소 계획 등 객관적 내용이어야 한다. 담당자의 개인적 선호나 친분 관계는 문서화 대상이 아닐 뿐만 아니라 수의계약 근거로도 인정되지 않는다.</t>
  </si>
  <si>
    <t>주요 기관·국가의 소액구매 최소구매기준(임곗값, MPT)에 관한 설명으로 옳은 것은?</t>
  </si>
  <si>
    <t>유엔(UN)의 기본 소액구매 임곗값은 10,000달러이며 사전 승인 시 추가 확대는 불가하다.</t>
  </si>
  <si>
    <t>미국(FAR)의 국외 소액구매 임곗값은 국내(10,000달러)보다 낮은 5,000달러이다.</t>
  </si>
  <si>
    <t>한국의 소액구매는 정부구매카드를 통해 500만 원 내외에서 운영된다.</t>
  </si>
  <si>
    <t>모든 국가와 국제기구는 동일한 소액구매 임곗값을 적용한다.</t>
  </si>
  <si>
    <t>* 정답 (③): 한국은 정부구매카드를 통해 소액 소모품 구매를 관리하며 임곗값은 기관별로 상이하나 500만 원 내외이다. 유엔의 기본 임곗값은 5,000달러(승인 시 10,000달러로 확대 가능)이며, 미국의 국내 임곗값은 10,000달러, 국외는 35,000달러로 국외가 더 높다. 각 기관·국가별 임곗값은 상이하게 운영된다.</t>
  </si>
  <si>
    <t>소액구매의 한계로 옳지 않은 것은?</t>
  </si>
  <si>
    <t>소액구매 요건을 충족하기 위해 금액·수량을 자의적으로 분할하는 오남용 가능성이 있다.</t>
  </si>
  <si>
    <t>특정 소수 기업에 의존하게 되어 공급 다양성과 안정성이 저하될 수 있다.</t>
  </si>
  <si>
    <t>정식 입찰 절차를 거치지 않으므로 부정 집행에 대한 감시가 상대적으로 약하다.</t>
  </si>
  <si>
    <t>다수 기업의 경쟁 참여를 유도하여 경쟁 강도가 지나치게 높아지는 부작용이 있다.</t>
  </si>
  <si>
    <t>* 정답 (④): 소액구매는 경쟁적 입찰 절차 없이 진행되는 간소화된 조달 방식이므로, 경쟁 강도 과열 문제는 소액구매의 한계가 아니다. 소액구매의 실제 한계는 ① 분할 발주 오남용, ② 특정 기업 의존(공급 편중), ③ 감시·통제 취약이다.</t>
  </si>
  <si>
    <t>수의계약과 소액구매를 비교한 설명으로 옳지 않은 것은?</t>
  </si>
  <si>
    <t>수의계약의 법적 근거는 「국가계약법 시행령」 제26조 등이며, 소액구매는 내부 규정 및 구매카드 운용지침이 적용된다.</t>
  </si>
  <si>
    <t>수의계약은 소규모부터 대규모까지 적용 가능하나, 소액구매는 최소구매기준(MPT) 이하로 한정된다.</t>
  </si>
  <si>
    <t>두 방법 모두 절차 수준과 문서화 요건이 완전히 동일하게 적용된다.</t>
  </si>
  <si>
    <t>수의계약의 주요 위험은 투명성 저하·특혜 시비이며, 소액구매의 주요 위험은 분할 발주와 공급 편중이다.</t>
  </si>
  <si>
    <t>* 정답 (③): 수의계약은 견적서 비교, 상위 관리자 승인, 정당성 문서화 등 엄격한 절차와 문서화가 요구되는 반면, 소액구매는 구매카드 결제 등 최소한의 절차로 진행된다. 두 방법은 모두 비경쟁적 조달이지만, 적용 금액 규모·법적 근거·절차 수준·문서화 요건이 서로 다르다.</t>
  </si>
  <si>
    <t>UNCITRAL 모델법에서 분류하는 10가지 조달 방법 중 비경쟁적 조달 방법에 해당하는 것은?</t>
  </si>
  <si>
    <t>일반경쟁입찰(Open Tendering)</t>
  </si>
  <si>
    <t>제한경쟁입찰(Restricted Tendering)</t>
  </si>
  <si>
    <t>단독공급원조달(Sole Source Procurement)</t>
  </si>
  <si>
    <t>협상에 의한 계약(Request for Proposals)</t>
  </si>
  <si>
    <t>* 정답 (③): UNCITRAL 모델법은 10가지 조달 방법 중 8가지를 경쟁적 조달, 2가지를 비경쟁적 조달로 구분한다. 비경쟁적 조달에 해당하는 것은 단독공급원조달(Sole Source)과 작은가치조달(Low-Value Procurement)이다. 협상에 의한 계약은 형식상 경쟁 요소를 포함하므로 경쟁적 조달로 분류된다.</t>
  </si>
  <si>
    <t>비경쟁적 조달의 통제 원리에 관한 설명으로 옳지 않은 것은?</t>
  </si>
  <si>
    <t>비경쟁적 조달은 경쟁 절차를 생략하므로 사유의 명확성과 내부 승인 절차의 충실성이 필수적이다.</t>
  </si>
  <si>
    <t>비경쟁적 방식의 적용은 법령에서 정한 사유에 한해 엄격히 통제되어야 한다.</t>
  </si>
  <si>
    <t>사후 감사·분쟁에 대비하여 선정 사유와 의사결정 과정의 기록 관리가 강화되어야 한다.</t>
  </si>
  <si>
    <t>비경쟁적 조달은 절차가 간소하므로 의사결정 과정의 기록이 생략되는 것이 원칙이다.</t>
  </si>
  <si>
    <t>* 정답 (④): 비경쟁적 조달은 경쟁 절차를 생략하는 만큼 ① 사유의 명확성, ② 내부 승인 절차, ③ 기록 관리의 충실성이 핵심 통제 장치이다. 기록 생략은 통제 원리에 정면으로 반하며 부정당업자 제재·감사 대상이 될 위험을 키운다.</t>
  </si>
  <si>
    <t>유사물품 복수경쟁입찰에 관한 설명으로 옳은 것은?</t>
  </si>
  <si>
    <t>단일 제조사의 제품만을 지정하여 가격을 협상하는 방식이다.</t>
  </si>
  <si>
    <t>일정 성능 기준을 충족하는 복수의 제품을 경쟁시켜 가장 유리한 가격을 확보하는 방식이다.</t>
  </si>
  <si>
    <t>입찰 참가 자격을 동일 업종의 기업으로만 제한하는 방식이다.</t>
  </si>
  <si>
    <t>수의계약 사유를 입찰 단계에서 사전 공개하는 절차이다.</t>
  </si>
  <si>
    <t>* 정답 (②): 유사물품 복수경쟁입찰은 「국가계약법 시행령」에 근거한 방식으로, 한 제조사 제품만 지정 시 발생할 수 있는 독점 구매·가격 상승 문제를 방지하기 위해 동등 이상의 성능 기준을 충족하는 복수 제품을 경쟁시켜 가격 경쟁성을 확보하는 절차이다.</t>
  </si>
  <si>
    <t>구매카드(Procurement Card)에 의한 조달 방식의 특징으로 옳지 않은 것은?</t>
  </si>
  <si>
    <t>사전 등록된 가맹점에서 카드 결제로 물품을 구매하는 간소화된 조달 방법이다.</t>
  </si>
  <si>
    <t>정식 계약·검수·청구 절차를 최소화하여 신속한 공급이 가능하다.</t>
  </si>
  <si>
    <t>일정 금액 한도 내에서 운영되며, 일반적으로 소액 일상 구매에 활용된다.</t>
  </si>
  <si>
    <t>모든 금액 구간의 조달에 적용 가능하며, 대형 공사·용역 계약에도 활용된다.</t>
  </si>
  <si>
    <t>* 정답 (④): 구매카드는 정식 입찰·계약 절차를 최소화하여 소액·일상 구매를 신속히 처리하기 위한 간소화 조달 수단이다. 금액 한도 내에서 운영되며, 대형 공사·용역 계약에는 적용되지 않는다.</t>
  </si>
  <si>
    <t>시범특례에 따른 계약 제도에 관한 설명으로 옳은 것은?</t>
  </si>
  <si>
    <t>2022년 9월 15일부터 시행 중이며, 신기술·신산업 분야의 혁신적 제품을 적시 조달하기 위한 제도이다.</t>
  </si>
  <si>
    <t>조달청장이 별도 심의 없이 단독으로 시범특례 적용 여부를 결정한다.</t>
  </si>
  <si>
    <t>시범특례는 영구적으로 적용되며 별도의 기간 제한이 없다.</t>
  </si>
  <si>
    <t>일반경쟁입찰 절차를 강화하는 추가적 통제 장치이다.</t>
  </si>
  <si>
    <t>* 정답 (①): 시범특례는 기존 계약 방법으로는 신기술·신산업 분야 혁신적 제품을 조달시장에 적시 투입하기 어려운 문제를 해결하기 위해 도입된 제도이다. 재정경제부 장관이 공공조달제도개선위원회의 심의를 거쳐 한시적(2년 범위, 연장 가능)으로 별도의 기준·절차를 적용할 수 있도록 허용한다.</t>
  </si>
  <si>
    <t>수의계약의 장점과 거리가 먼 것은?</t>
  </si>
  <si>
    <t>절차 간소화</t>
  </si>
  <si>
    <t>신속한 계약 체결</t>
  </si>
  <si>
    <t>공정성 및 투명성 확보</t>
  </si>
  <si>
    <t>조달기관에 적합한 조달 대상물을 확보할 가능성 향상</t>
  </si>
  <si>
    <t>* 정답 (③): 수의계약은 특정 업체와 임의로 계약을 체결하는 방식이므로 신속성과 절차 간소화 등의 장점이 있으나, 경쟁입찰에 비해 공정성과 투명성 확보에는 불리하다.</t>
  </si>
  <si>
    <t>공공조달관리사 수험자용 예제문제</t>
  </si>
  <si>
    <t>공공조달과 법제도 이해 - 3. 전자조달시스템</t>
  </si>
  <si>
    <t>[상황] 한 신입 직원이 '전자조달은 그냥 정부가 인터넷으로 물건 사는 거 아니냐'고 간단히 이해하고 있었다. 이 이해를 보완하는 정확한 설명으로 가장 적절한 것은?</t>
  </si>
  <si>
    <t>전자조달은 ICT를 기반으로 조달 계획 수립부터 대금지급까지 전 과정을 온라인으로 처리해 공정성·투명성을 실현하는 시스템·방식이다</t>
  </si>
  <si>
    <t>전자조달은 계약은 오프라인, 대금지급만 온라인으로 이뤄지는 방식이다</t>
  </si>
  <si>
    <t>전자조달은 개인이 쇼핑몰에서 물건을 사는 것과 동일한 개념이다</t>
  </si>
  <si>
    <t>전자조달은 기업 간 상거래 전반을 가리키는 일반적 용어이다</t>
  </si>
  <si>
    <t>* 정답 (①): 전자조달은 ICT 기반으로 조달의 전 과정을 온라인화해 공정성·투명성 등 공공가치를 실현하는 시스템·방식임.</t>
  </si>
  <si>
    <t>[상황] 한 수요기관이 경쟁입찰을 진행하면서 편의상 이메일로 입찰서를 접수받으려 했다. 이 방식이 전자조달법상 원칙에 부합하는지에 대한 평가로 가장 적절한 것은?</t>
  </si>
  <si>
    <t>부합한다. 방문·우편·이메일 중 담당자가 자유롭게 선택할 수 있다</t>
  </si>
  <si>
    <t>부합한다. 이메일도 전자적 수단이므로 문제없다</t>
  </si>
  <si>
    <t>이 사안은 전자조달법의 규율 대상이 아니다</t>
  </si>
  <si>
    <t>부합하지 않는다. 경쟁입찰은 지정된 전자조달시스템을 이용한 전자입찰을 원칙으로 한다</t>
  </si>
  <si>
    <t>* 정답 (④): 경쟁입찰은 이메일이 아니라 지정된 전자조달시스템을 이용한 전자입찰을 원칙으로 함.</t>
  </si>
  <si>
    <t>전자조달의 이용 및 촉진에 관한 법률 제9조</t>
  </si>
  <si>
    <t>국가전자조달시스템을 도입하여 조달 업무를 수행하는 가장 근본적이고 핵심적인 목적은 무엇인가?</t>
  </si>
  <si>
    <t>예산 절감을 위해 민간 쇼핑몰보다 무조건 최저가로 구매하기 위함</t>
  </si>
  <si>
    <t>조달 행정의 투명성, 공정성, 효율성을 시스템으로 구현하기 위함</t>
  </si>
  <si>
    <t>실무자의 수기 결재를 줄이고 전산 장비 활용 능력을 배양하기 위함</t>
  </si>
  <si>
    <t>입찰 참여 업체의 수를 시스템으로 제한하여 행정 과부하를 막기 위함</t>
  </si>
  <si>
    <t>* 정답 (②): 전자조달의 궁극적 목적은 단순히 저렴하게 사는 것을 넘어, 공공조달의 3대 핵심 가치(효율, 공정, 투명)를 시스템적으로 확보하는 데 있습니다.</t>
  </si>
  <si>
    <t>수요기관과 조달업체 간의 조달 업무 전 과정을 전자적으로 1회 등록하여 모든 공공기관 입찰에 참여할 수 있게 해주는 '국가종합전자조달시스템'의 공식 약칭은?</t>
  </si>
  <si>
    <t>DAPA (Defense Acquisition Program Administration)</t>
  </si>
  <si>
    <t>NIPA (National IT Industry Promotion Agency)</t>
  </si>
  <si>
    <t>KONEPS (Korea On-line E-Procurement System)</t>
  </si>
  <si>
    <t>KOMSCO (Korea Minting and Security Printing Corporation)</t>
  </si>
  <si>
    <t>* 정답 (③): 나라장터의 공식 영문 명칭은 Korea On-line E-Procurement System이며, 줄여서 KONEPS(코넵스)라고 부릅니다.</t>
  </si>
  <si>
    <t>[상황] 조달 시스템의 발전 단계를 오프라인 처리, 내부 전산화, 온라인 정보교환, 온라인 거래처리, 통합 플랫폼 구축의 순서로 구분하는 이론이 있다고 하자. 조달 전 과정을 하나의 시스템에서 단일 창구로 처리하는 나라장터는 이 구분에서 어느 단계에 가장 가까운가?</t>
  </si>
  <si>
    <t>중간 단계(내부 전산화)</t>
  </si>
  <si>
    <t>이 구분과는 무관하다</t>
  </si>
  <si>
    <t>가장 발전된 단계(통합 플랫폼)</t>
  </si>
  <si>
    <t>가장 초기 단계(오프라인 처리)</t>
  </si>
  <si>
    <t>* 정답 (③): 조달 전 과정을 하나의 시스템에서 단일 창구로 통합 처리하는 나라장터는 통합 플랫폼 구축이라는 가장 발전된 단계에 해당하는 것으로 설명됨(구체적 단계 구분·명칭은 참고 문헌에 따라 다를 수 있음).</t>
  </si>
  <si>
    <t>투찰 시 입찰 대리인의 불법 대리 투찰을 막고 정확한 신원확인을 위해 도입된 인증 수단 중, 단독으로는 신원확인 효력이 없는 것은?</t>
  </si>
  <si>
    <t>조달청이 제공하는 나라장터 스마트폰 전용 앱 인증</t>
  </si>
  <si>
    <t>블록체인 기술이 적용된 모바일 신분증 기반 본인 인증</t>
  </si>
  <si>
    <t>카카오, 네이버 등 민간 플랫폼 기반의 개인용 간편인증</t>
  </si>
  <si>
    <t>법인 및 개인사업자 명의로 발급된 기존 사업자용 공동인증서</t>
  </si>
  <si>
    <t>* 정답 (④): 사업자 범용 공동인증서(NPKI)는 기업 단위로 발급되어 파일 복사와 비밀번호 공유가 가능하므로, 단독으로는 투찰자를 특정할 수 없습니다. 과거 필수였던 지문인식 의무가 전면 폐지(2024.1.)됨에 따라, 현재는 모바일 간편인증이나 개인용 인증서 등을 필수적으로 병행해야 합니다.</t>
  </si>
  <si>
    <t>최근 개편된 차세대 나라장터 시스템의 통합로그인 체계에서, 사용자의 편의성과 보안을 위해 지원하는 인증 수단에 해당하지 않는 것은?</t>
  </si>
  <si>
    <t>스마트폰 카메라를 이용한 안면 및 홍채 인식 생체 인증</t>
  </si>
  <si>
    <t>카카오, 네이버, 토스 등을 활용한 민간 개인용 간편 인증</t>
  </si>
  <si>
    <t>스마트폰에 발급받아 사용하는 국가 공인 모바일 신분증</t>
  </si>
  <si>
    <t>기업 범용 공동인증서(NPKI) 및 금융결제원 금융인증서</t>
  </si>
  <si>
    <t>* 정답 (①): 차세대 나라장터는 편의를 위해 간편인증, 모바일 신분증 등을 폭넓게 도입했으나, 기기 종속성이 강하고 오인식 우려가 있는 단독 '홍채 인식'은 공식 인증 수단으로 제공하지 않습니다.</t>
  </si>
  <si>
    <t>[상황] 나라장터의 보안 체계를 소개하는 자료에서 '모든 입찰 과정이 예외 없이 블록체인으로만 처리된다'고 설명했다. 이 설명에 대한 평가로 가장 적절한 것은?</t>
  </si>
  <si>
    <t>부정확하다. 나라장터는 보안체계 자체를 갖추고 있지 않다</t>
  </si>
  <si>
    <t>정확하다. 블록체인이 유일한 보안수단이다</t>
  </si>
  <si>
    <t>부정확하다. 나라장터는 지문인증·암호화·전자서명 등을 함께 활용하며, 모든 과정이 블록체인 기반인 것은 아니다</t>
  </si>
  <si>
    <t>정확하다. 나라장터의 모든 절차는 블록체인 기반이다</t>
  </si>
  <si>
    <t>* 정답 (③): 나라장터는 지문인증·암호화·전자서명 등으로 보안을 유지하며, 모든 입찰과정이 블록체인 기반으로 운영되는 것은 아님.</t>
  </si>
  <si>
    <t>전자문서 시스템의 정보보안 4대 핵심 요소와 이를 구현하기 위한 대표적인 기술적 수단이 서로 잘못 연결된 것은?</t>
  </si>
  <si>
    <t>무결성 - 전자문서가 위변조되지 않았음을 증명하는 해시함수(Hash) 기술 적용</t>
  </si>
  <si>
    <t>기밀성 - 비인가자의 데이터 열람을 방지하기 위한 암호화 및 접근제어</t>
  </si>
  <si>
    <t>부인방지 - 비인가자의 문서 열람 및 정보 유출을 차단하는 데이터 암호화 기술</t>
  </si>
  <si>
    <t>가용성 - 정당한 사용자의 원활한 접근을 보장하는 시스템 이중화 및 백업 관리</t>
  </si>
  <si>
    <t>* 정답 (③): 비인가자의 데이터 열람 및 유출을 방지하는 '암호화 기술'은 부인방지가 아닌 '기밀성'을 확보하기 위한 수단이다. 송수신 사실을 사후에 부인하지 못하게 하는 '부인방지(Non-repudiation)'는 공인인증서 등 '전자서명' 기술을 통해 확보된다.</t>
  </si>
  <si>
    <t>[상황] A업체가 '나라장터에 등록만 하면 그 후로는 개별 기관마다 별도로 등록할 필요 없이 모든 입찰에 참여할 수 있다'는 말을 들었다. 이 특징을 가리키는 개념으로 가장 적절한 것은?</t>
  </si>
  <si>
    <t>다중 접속 제한 기능</t>
  </si>
  <si>
    <t>단일 창구(Single Window) 기능</t>
  </si>
  <si>
    <t>일일 공고 제한 기능</t>
  </si>
  <si>
    <t>실시간 입찰가 공개 기능</t>
  </si>
  <si>
    <t>* 정답 (②): 한 번의 등록으로 모든 수요기관의 입찰에 참여할 수 있게 하는 것이 나라장터의 단일 창구(Single Window) 기능임.</t>
  </si>
  <si>
    <t>국가종합전자조달시스템(나라장터)이 수행하는 가장 핵심적인 기능과 역할로 올바른 것은?</t>
  </si>
  <si>
    <t>공공기관 내부의 인사 및 재무 결재만을 전담 처리하는 폐쇄형 ERP 시스템</t>
  </si>
  <si>
    <t>민간 기업 간의 B2B 거래를 독려하기 위해 구축된 전용 영업 플랫폼</t>
  </si>
  <si>
    <t>물품 구매 시 오직 최저가 입찰만을 강제하기 위해 설계된 전자 카탈로그</t>
  </si>
  <si>
    <t>공고부터 투찰, 계약, 대금 지급까지 조달 전 과정을 전자적으로 처리하는 시스템</t>
  </si>
  <si>
    <t>* 정답 (④): 나라장터는 기관 내부 결재용이 아니라, 공공조달의 시작(공고)부터 끝(대금 지급)까지 전 과정을 원스톱으로 처리하는 통합 시스템입니다.</t>
  </si>
  <si>
    <t>공공조달에서 제공하는 '원스톱(One-Stop) 서비스'가 의미하는 실무적 개념으로 가장 적절한 것은?</t>
  </si>
  <si>
    <t>하위 실무자 기안부터 최상위 기관장 결재까지의 내부 보고를 일사천리로 처리하는 것</t>
  </si>
  <si>
    <t>입찰 공고부터 시작하여 계약 체결, 보증 이행, 대금 지급까지 하나의 흐름으로 연결하는 것</t>
  </si>
  <si>
    <t>모든 공공기관의 입찰 서류를 오프라인으로 1회만 제출하면 온라인으로 스캔해주는 것</t>
  </si>
  <si>
    <t>업체의 입찰 참가 자격 등록부터 내부 재무제표 승인까지 조달청이 직접 대행하는 것</t>
  </si>
  <si>
    <t>* 정답 (②): 조달에서 원스톱 서비스란, 낙찰 이후 별도의 오프라인 서류 제출 없이 계약, 이행, 대금 지급까지 나라장터 내에서 매끄럽게 연결되는 것을 뜻합니다.</t>
  </si>
  <si>
    <t>일정 규모 이상 입찰 및 계약 처리를 위해 행안부가 지정·고시한 장치는?</t>
  </si>
  <si>
    <t>국고보조금통합관리시스템</t>
  </si>
  <si>
    <t>국가종합전자조달시스템(나라장터)</t>
  </si>
  <si>
    <t>지방재정관리시스템</t>
  </si>
  <si>
    <t>중소기업공공구매종합정보망</t>
  </si>
  <si>
    <t>정답 (②) 조달 업무의 전자적 처리를 위해 국가 및 지자체 공통으로 '나라장터'를 지정정보처리장치로 활용함</t>
  </si>
  <si>
    <t>지방계약법 시행령</t>
  </si>
  <si>
    <t>[상황] 나라장터 도입 이후 조달업체들 사이에서 '여러 기관에 각각 서류를 낼 필요가 없어져서 행정 부담이 줄었다'는 반응이 나왔다. 이러한 변화와 가장 거리가 먼 평가는?</t>
  </si>
  <si>
    <t>전국 단위 경쟁 확대로 예산 절감 효과가 있었다는 평가</t>
  </si>
  <si>
    <t>업무 처리시간이 단축되었다는 평가</t>
  </si>
  <si>
    <t>조달업체의 행정비용이 오히려 증가했다는 평가</t>
  </si>
  <si>
    <t>조달 행정의 투명성이 강화되었다는 평가</t>
  </si>
  <si>
    <t>* 정답 (③): 나라장터는 한 번의 등록으로 여러 기관 입찰에 참여하고 업무를 온라인화해 조달업체의 행정비용을 오히려 절감시켰음.</t>
  </si>
  <si>
    <t>[상황] 한 기관이 차세대 나라장터 도입을 앞두고 '기존 방식대로 모든 거래 기록을 종이로 뽑아 별도 보관하는 절차도 그대로 유지하자'고 제안했다. 이 제안이 차세대 시스템의 지향 방향과 부합하는지에 대한 평가로 가장 적절한 것은?</t>
  </si>
  <si>
    <t>부합한다. 모든 전자시스템은 종이 기록을 병행해야 한다</t>
  </si>
  <si>
    <t>이 사안은 차세대 시스템의 방향성과 무관하다</t>
  </si>
  <si>
    <t>부합한다. 종이 이중보관이 차세대 시스템의 핵심이다</t>
  </si>
  <si>
    <t>부합하지 않는다. 차세대 시스템은 AI·빅데이터·클라우드 기반의 페이퍼리스 운영을 지향한다</t>
  </si>
  <si>
    <t>* 정답 (④): 차세대 나라장터는 AI·빅데이터·클라우드 기반의 페이퍼리스 업무환경을 지향하며 거래기록을 전자적으로 안전하게 보관함.</t>
  </si>
  <si>
    <t>[상황] 시민단체가 '예전에는 입찰이 어떻게 진행되는지 알기 어려웠는데, 요즘은 공고·평가기준·개찰결과까지 온라인에서 실시간으로 확인할 수 있다'고 평가했다. 이 변화가 보여주는 전자조달의 효과로 가장 적절한 것은?</t>
  </si>
  <si>
    <t>투명성 강화를 통한 정보 비대칭 해소 효과</t>
  </si>
  <si>
    <t>전국 참여 확대 효과</t>
  </si>
  <si>
    <t>업무 처리시간 단축 효과</t>
  </si>
  <si>
    <t>종이 문서 비용 절감 효과</t>
  </si>
  <si>
    <t>* 정답 (①): 조달 전 과정이 온라인에 실시간 공개되어 정보 비대칭이 해소되는 것은 투명성 강화의 핵심 효과임.</t>
  </si>
  <si>
    <t>[상황] 한 수요기관 담당자가 '종합쇼핑몰이 있으니 모든 물품은 반드시 여기서만 구매해야 한다'고 주장했다. 이 주장에 대한 평가로 가장 적절한 것은?</t>
  </si>
  <si>
    <t>옳다. 종합쇼핑몰 이용은 법적 의무이다</t>
  </si>
  <si>
    <t>옳지 않다. 종합쇼핑몰 이용은 의무가 아니며, 수요기관은 자체 판단에 따라 다른 방식으로도 구매할 수 있다</t>
  </si>
  <si>
    <t>이 주장은 MAS 제도와 무관한 이야기이다</t>
  </si>
  <si>
    <t>옳다. 종합쇼핑몰 외의 구매는 모두 불법이다</t>
  </si>
  <si>
    <t>* 정답 (②): 종합쇼핑몰 이용은 의무가 아니며, 수요기관은 자체 판단에 따라 일반 입찰 등 다른 방식으로도 물품을 구매할 수 있음.</t>
  </si>
  <si>
    <t>[상황] 수요기관이 종합쇼핑몰에서 일정 금액 이상의 물품을 구매하면서, 등록된 업체 2곳 이상에게 추가 제안을 받아 더 좋은 조건을 제시한 업체와 계약하려 한다. 이 절차의 명칭은?</t>
  </si>
  <si>
    <t>지명경쟁</t>
  </si>
  <si>
    <t>1단계 경쟁</t>
  </si>
  <si>
    <t>2단계 경쟁</t>
  </si>
  <si>
    <t>* 정답 (④): MAS 2단계 경쟁은 일정 금액 이상 구매 시 등록업체 중 2개 이상으로부터 추가 제안을 받아 계약상대자를 정하는 절차임.</t>
  </si>
  <si>
    <t>[상황] MAS 계약업체 B사가 '계약기간 중에는 등록된 가격을 절대 바꿀 수 없다'고 알고 있었다. 이 이해에 대한 평가로 가장 적절한 것은?</t>
  </si>
  <si>
    <t>정확하다. 가격 조정은 계약 종료 후에만 가능하다</t>
  </si>
  <si>
    <t>정확하다. MAS 등록가격은 계약기간 중 절대 불변이다</t>
  </si>
  <si>
    <t>이 사안은 MAS 제도와 무관하다</t>
  </si>
  <si>
    <t>부정확하다. 시장가격 변동이나 자발적 인하 제안 등에 따라 등록가격이 조정될 수 있다</t>
  </si>
  <si>
    <t>* 정답 (④): MAS 계약기간 중이라도 계약상대자의 가격 인하 제안이나 시장가격 변동에 따라 등록가격이 조정될 수 있음.</t>
  </si>
  <si>
    <t>MAS 2단계 경쟁 제도를 실시하는 근본적인 취지로 가장 적절한 것은?</t>
  </si>
  <si>
    <t>쇼핑몰 등록가격을 기준으로 추가 경쟁을 유도해 더 유리한 가격·품질 조건을 확보하기 위해</t>
  </si>
  <si>
    <t>특정 업체에게 우선권을 부여하기 위해</t>
  </si>
  <si>
    <t>절차를 늘려 계약담당자의 업무 부담을 가중시키기 위해</t>
  </si>
  <si>
    <t>구매 절차를 의도적으로 지연시키기 위해</t>
  </si>
  <si>
    <t>* 정답 (①): 2단계 경쟁은 등록가격보다 더 유리한 가격·품질 조건을 이끌어내기 위해 공급업체 간 추가 경쟁을 유도하는 제도임.</t>
  </si>
  <si>
    <t>[상황] 국가 R&amp;D로 개발된 신기술 제품이 초기 판로를 확보하지 못해 사장될 위기에 처했다. 이 제품의 공공조달 연계와 판로 지원을 위해 활용할 수 있는 전용 시스템은?</t>
  </si>
  <si>
    <t>디지털서비스몰</t>
  </si>
  <si>
    <t>종합쇼핑몰</t>
  </si>
  <si>
    <t>혁신장터</t>
  </si>
  <si>
    <t>이음장터</t>
  </si>
  <si>
    <t>* 정답 (③): 혁신장터는 혁신제품으로 지정된 제품의 초기 판로 지원을 위한 전용 시스템으로, 구매자 면책·수의계약 허용 등의 혜택이 제공됨.</t>
  </si>
  <si>
    <t>[상황] 수요기관 담당자가 '혁신제품을 구매하면 구매금액의 절반을 정부가 대신 지원해준다'고 알고 있었다. 이 이해에 대한 평가로 가장 적절한 것은?</t>
  </si>
  <si>
    <t>정확하다. 구매금액 50%를 정부가 보조한다</t>
  </si>
  <si>
    <t>부정확하다. 구매자 면책·수의계약 허용·구매목표제 실적 인정 등의 혜택은 있으나 구매금액을 직접 보조하는 제도는 없다</t>
  </si>
  <si>
    <t>이 사안은 혁신제품 제도와 무관하다</t>
  </si>
  <si>
    <t>정확하다. 다만 지원 비율은 기관마다 다르다</t>
  </si>
  <si>
    <t>* 정답 (②): 혁신제품 구매 시 구매자 면책·수의계약 허용·구매목표제 실적 인정 등의 혜택은 있으나, 구매금액을 정부가 직접 보조하는 제도는 없음.</t>
  </si>
  <si>
    <t>[상황] 창업 2년차 스타트업이 기술력은 있지만 실적이 부족해 일반 공공입찰 진입이 어렵다는 고충을 토로했다. 이 기업에게 안내할 수 있는 전용 판로 지원 시스템은?</t>
  </si>
  <si>
    <t>벤처나라</t>
  </si>
  <si>
    <t>* 정답 (③): 벤처나라는 벤처·창업기업의 초기 판로 지원을 위해 구축된 전용 쇼핑몰임.</t>
  </si>
  <si>
    <t>[상황] 한 담당자가 '벤처나라는 중견기업의 해외 진출을 돕는 시스템'이라고 설명했다. 이 설명에 대한 평가로 가장 적절한 것은?</t>
  </si>
  <si>
    <t>부정확하다. 벤처나라는 벤처·창업기업의 국내 공공조달시장 진입 및 초기 판로 지원을 위한 시스템이다</t>
  </si>
  <si>
    <t>정확하다. 벤처나라의 핵심 기능이 해외 수출 지원이다</t>
  </si>
  <si>
    <t>이 설명은 종합쇼핑몰에 대한 설명과 같다</t>
  </si>
  <si>
    <t>정확하다. 다만 중견기업 중 일부만 대상이다</t>
  </si>
  <si>
    <t>* 정답 (①): 벤처나라는 벤처·창업기업의 국내 공공조달시장 진입 및 초기 판로 지원을 위한 시스템이며, 중견기업의 해외 수출 지원과는 무관함.</t>
  </si>
  <si>
    <t>벤처나라 지정 신청 과정에서 조달청이 요구하는 공인 품질평가 증빙자료(시험성적서, KC인증 등)를 구비하지 못한 영세 기업이 이를 합법적으로 대체하기 위해 제출할 수 있는 문서는?</t>
  </si>
  <si>
    <t>공공기관 대상 납품 내역을 증빙하는 납품실적증명서</t>
  </si>
  <si>
    <t>해당 제품에 적용된 기술적 차별성을 보여주는 특허등록증</t>
  </si>
  <si>
    <t>업체 자체적인 공정 통제 및 검수 방안을 담은 품질관리계획서</t>
  </si>
  <si>
    <t>기업의 사업 영위 목적과 업태를 보여주는 사업자등록증</t>
  </si>
  <si>
    <t>* 정답 (③): 벤처 및 창업기업의 인증 취득 부담을 완화하기 위해, 공인 인증서가 없다 하더라도 자체적인 품질 보증 방안을 체계적으로 서술한 '품질관리계획서' 양식을 제출하면 심사를 받을 수 있습니다.</t>
  </si>
  <si>
    <t>벤처나라 등록 물품·서비스 지정 관리 규정 제21조 제6항</t>
  </si>
  <si>
    <t>조달업체가 조달청 벤처나라 지정 신청을 하기 위해 반드시 사전에 완료해 두어야 할 필수 준비 단계에 해당하지 않는 것은?</t>
  </si>
  <si>
    <t>신청하려는 제품에 대해 부여받은 고유 물품식별번호 발급 완료</t>
  </si>
  <si>
    <t>나라장터 입찰 시스템에 입찰참가자격 사전 등록 완료</t>
  </si>
  <si>
    <t>심사 가점을 받기 위한 산업부 등 관련 공공기관의 추천서 발급 완료</t>
  </si>
  <si>
    <t>국가종합전자조달시스템(나라장터) 신규 이용자 회원가입 및 인증서 등록</t>
  </si>
  <si>
    <t>* 정답 (③): 유관 공공기관의 추천을 받으면 지정 심사 과정에서 면제 혜택이나 가점을 받을 수 있어 유리하지만, 추천서가 없어도 업체가 직접 온라인으로 벤처나라 지정 신청을 하는 데는 아무 제약이 없습니다.</t>
  </si>
  <si>
    <t>벤처나라 지정 물품을 보유한 업체가 수요 기관의 요구에 맞춰 기존 제품에 '규격 추가'를 신청하려 할 때, 법적으로 규격 추가가 승인될 수 없는 명백한 거절 사유는?</t>
  </si>
  <si>
    <t>새 규격의 적용 기술과 품질 수준이 기존 지정 제품과 완전히 동등하다고 인정되는 경우</t>
  </si>
  <si>
    <t>새 규격 제품의 본질적인 세부품명 번호가 기존 지정 제품의 세부품명과 서로 다른 경우</t>
  </si>
  <si>
    <t>새 규격 제품의 세부품명 번호가 기존에 지정받았던 벤처나라 제품과 동일한 경우</t>
  </si>
  <si>
    <t>새 규격 제품의 외형 및 제원이 기존에 지정받았던 제품 규격과 매우 유사한 경우</t>
  </si>
  <si>
    <t>* 정답 (②): '규격 추가'는 말 그대로 기존 제품의 파생형 사이즈나 색상 등을 더하는 것입니다. 따라서 기존 제품과 아예 카테고리(세부품명)가 달라지면 규격 추가가 불가하며 신규 지정 신청을 처음부터 다시 해야 합니다.</t>
  </si>
  <si>
    <t>벤처나라에 상품을 등록한 업체가 관리 규정을 위반했을 때, 즉각적인 '이용정지'라는 중징계를 내리지 않고 혁신조달업무심의회를 거쳐 가벼운 '경고 조치'로 갈음할 수 있는 사유는?</t>
  </si>
  <si>
    <t>벤처나라 기본 이용약관이나 단순 공급확약서 상의 의무 조항을 일부 위반한 사실이 적발된 경우</t>
  </si>
  <si>
    <t>타 입찰 건에서 뇌물수수 등으로 부정당업자 입찰참가자격 제한 처분을 확정받은 경우</t>
  </si>
  <si>
    <t>자사 상품의 주요 성능 스펙과 인증 정보를 명백히 허위로 기재하여 수요기관을 기만한 경우</t>
  </si>
  <si>
    <t>업체 규모나 제조 공장 현황 등 핵심 기업 정보를 조작하여 벤처나라 심사를 통과한 경우</t>
  </si>
  <si>
    <t>* 정답 (①): 허위 정보 기재나 부정당업자 제재 확정은 즉시 등록 취소 및 이용 정지가 되는 중대 사유이지만, 단순 약관 위반 등은 심의를 통해 개선을 요구하는 '경고'로 1차 조치할 수 있습니다.</t>
  </si>
  <si>
    <t>초기 창업 기업의 공공판로 개척을 지원하는 조달청 벤처나라 제도의 규정에 따르면, 벤처나라 지정 제품의 효력이 유지되는 기본 유효기간은 최초 지정일로부터 최대 몇 년인가?</t>
  </si>
  <si>
    <t>최장 4년</t>
  </si>
  <si>
    <t>최장 6년</t>
  </si>
  <si>
    <t>최장 3년</t>
  </si>
  <si>
    <t>최장 5년</t>
  </si>
  <si>
    <t>* 정답 (②): 벤처나라 등록 물품·서비스 지정 관리규정 제15조에 명시된 바에 따라, 지정 취소 등 특별한 귀책사유가 없는 한 벤처나라 제품의 지정 유효기간은 지정일로부터 최장 '6년'으로 보장됩니다.</t>
  </si>
  <si>
    <t>[상황] 한 기관이 클라우드 기반 업무시스템 도입을 검토하며 관련 서비스를 전문적으로 취급하는 조달 플랫폼을 찾고 있다. 가장 적절한 시스템은?</t>
  </si>
  <si>
    <t>* 정답 (①): 디지털서비스몰은 클라우드·AI 등 디지털 기술 서비스를 전문적으로 취급하는 시스템임.</t>
  </si>
  <si>
    <t>[상황] 민간의 우수한 예약 플랫폼을 공공기관이 그대로 활용할 수 있도록 연계해주는 조달 시스템을 찾고 있다. 가장 적절한 것은?</t>
  </si>
  <si>
    <t>* 정답 (②): 이음장터는 민간의 혁신적인 플랫폼을 공공부문에 연계해 활용할 수 있도록 지원하는 시스템임.</t>
  </si>
  <si>
    <t>물품목록번호의 구성에 대한 설명으로 옳은 것은?</t>
  </si>
  <si>
    <t>8자리 물품식별번호와 8자리 물품분류번호로 구성된 16자리 숫자이며, 분류번호가 상위개념이다</t>
  </si>
  <si>
    <t>물품목록번호는 국가마다 다른 자리수로 구성된다</t>
  </si>
  <si>
    <t>물품목록번호는 업체등록번호와 동일한 개념이다</t>
  </si>
  <si>
    <t>물품목록번호는 4자리 숫자로만 구성된다</t>
  </si>
  <si>
    <t>* 정답 (①): 물품목록번호는 상위개념인 8자리 물품분류번호와, 개별 제품을 특정하는 8자리 물품식별번호로 구성된 16자리 숫자임.</t>
  </si>
  <si>
    <t>물품목록정보의 관리 및 이용에 관한 법률</t>
  </si>
  <si>
    <t>[상황] 「물품목록정보의 관리 및 이용에 관한 법률」의 취지를 묻는 질문에 담당자가 '특정 업체에게 독점적 지위를 보장해주는 법'이라고 잘못 답했다. 올바른 취지로 가장 적절한 것은?</t>
  </si>
  <si>
    <t>특정 기업에 대한 독점적 지위 보장</t>
  </si>
  <si>
    <t>공무원 개인의 업무 편의성 증대만을 위한 것</t>
  </si>
  <si>
    <t>조달업체의 이익 극대화</t>
  </si>
  <si>
    <t>물품 목록정보의 체계적 관리 및 효율적 이용을 통한 조달업무 효율화</t>
  </si>
  <si>
    <t>* 정답 (④): 이 법은 물품 목록정보를 체계적으로 관리·이용해 조달업무의 효율성을 높이는 것을 목적으로 함.</t>
  </si>
  <si>
    <t>물품목록정보의 관리 및 이용에 관한 법률 제1조</t>
  </si>
  <si>
    <t>[상황] 신제품을 생산한 C사가 이 제품을 나라장터에서 거래되도록 조달청장에게 등재를 요청하려 한다. 이 절차를 가리키는 용어는?</t>
  </si>
  <si>
    <t>목록화 요청</t>
  </si>
  <si>
    <t>품목 등록 취소</t>
  </si>
  <si>
    <t>식별번호 신청</t>
  </si>
  <si>
    <t>분류번호 문의</t>
  </si>
  <si>
    <t>* 정답 (①): 물품을 제조·수입·공급하는 자는 해당 물품의 목록화를 조달청장에게 요청할 수 있으며, 이를 목록화 요청이라 함.</t>
  </si>
  <si>
    <t>물품목록정보의 관리 및 이용에 관한 법률 제9조</t>
  </si>
  <si>
    <t>조달업체가 자사에서 취급하는 개별 품목에 대해 고유한 8자리 '물품식별번호' 발급을 신청하고자 할 때 접속해야 하는 시스템 플랫폼과 절차는?</t>
  </si>
  <si>
    <t>나라장터 → 입찰정보 → 물품등록</t>
  </si>
  <si>
    <t>정부24 → 민원신청 → 조달청민원</t>
  </si>
  <si>
    <t>목록정보시스템 → 목록화요청 → 품목등록</t>
  </si>
  <si>
    <t>벤처나라 → 온라인신청 → 상품등록</t>
  </si>
  <si>
    <t>* 정답 (③): 물품식별번호 발급은 나라장터 메인 화면이 아닌, 물품의 속성 관리를 전담하는 별도의 조달청 목록정보시스템(goods.g2b.go.kr)에 접속하여 '목록화요청 → 품목등록' 메뉴를 통해 직접 신청해야 합니다.</t>
  </si>
  <si>
    <t>대한민국 공공조달 전산망에서 개별 상품을 관리하기 위해 부여하는 총 16자리의 번호 체계 중, 제조사 및 모델·규격별로 고유하게 부여되는 뒤의 8자리 번호를 뜻하는 공식 명칭은?</t>
  </si>
  <si>
    <t>세부품명번호</t>
  </si>
  <si>
    <t>물품목록번호</t>
  </si>
  <si>
    <t>물품식별번호</t>
  </si>
  <si>
    <t>국가물품분류번호</t>
  </si>
  <si>
    <t>* 정답 (③): 공공조달 물품 번호(총 16자리)는 카테고리 성격의 '물품분류번호(앞 8자리)'와 개별 상품 단위를 특정하는 '물품식별번호(뒤 8자리)'로 구성되며, 이 전체 16자리를 합쳐서 '물품목록번호'라고 통칭합니다.</t>
  </si>
  <si>
    <t>조달청 국가종합전자조달시스템에서 공공기관이 물품을 취득하고 관리할 때 기준이 되는 번호로서, 8자리의 '물품분류번호'와 8자리의 '물품식별번호'가 결합된 총 16자리의 전체 고유 번호를 의미하는 공식 명칭은?</t>
  </si>
  <si>
    <t>물품분류번호</t>
  </si>
  <si>
    <t>* 정답 (③): 조달 물품의 고유 번호 체계는 용도별 카테고리인 '물품분류번호(앞 8자리)'와 개별 상품 단위인 '물품식별번호(뒤 8자리)'로 구성되며, 이 두 가지가 결합된 전체 16자리의 번호를 통칭하여 '물품목록번호'라고 규정합니다.</t>
  </si>
  <si>
    <t>[상황] 담당자가 목록화 원칙을 정리하며 '가격이 가장 낮은 제품을 우선적으로 목록에 등재한다'는 원칙을 추가하려 했다. 이 제안에 대한 평가로 가장 적절한 것은?</t>
  </si>
  <si>
    <t>타당하다. 저가 제품 우선 등재는 예산 절감에 직결된다</t>
  </si>
  <si>
    <t>타당하지 않다. 목록화는 1품목1번호·제조자규격우선·속성정보표준화 등을 원칙으로 하며, 가격은 목록화 단계의 고려요소가 아니다</t>
  </si>
  <si>
    <t>이 사안은 목록화 절차와 무관하다</t>
  </si>
  <si>
    <t>타당하다. 가격이 목록화의 핵심 원칙이다</t>
  </si>
  <si>
    <t>* 정답 (②): 목록화 원칙은 1품목1번호·제조자규격우선·속성정보표준화·국제표준분류체계준수 등이며, 가격은 고려요소가 아님.</t>
  </si>
  <si>
    <t>[상황] 동일한 노트북 모델이라도 색상·저장용량이 다르면 나라장터에서 서로 다른 물품식별번호를 부여받는다. 이 현상을 설명하는 원칙은?</t>
  </si>
  <si>
    <t>국제표준분류체계 준수 원칙</t>
  </si>
  <si>
    <t>속성정보 표준화 원칙</t>
  </si>
  <si>
    <t>1품목 1번호 원칙</t>
  </si>
  <si>
    <t>제조자 규격 우선 원칙</t>
  </si>
  <si>
    <t>* 정답 (③): 1품목 1번호 원칙은 속성(규격·모델 등)이 다르면 서로 다른 물품으로 보아 각각 고유 번호를 부여하는 원칙임.</t>
  </si>
  <si>
    <t>물품목록법령상 '품명 신설'과 '품목 등록'을 비교한 설명으로 옳은 것은?</t>
  </si>
  <si>
    <t>품목 등록은 새로운 물품분류번호 자체를 부여받는 절차이다</t>
  </si>
  <si>
    <t>품명 신설은 새로운 분류(세부품명)를 만드는 절차이고, 품목 등록은 기존 품명에 새로운 제품(물품식별번호)을 추가하는 절차이다</t>
  </si>
  <si>
    <t>품명 신설과 품목 등록은 완전히 동일한 절차이다</t>
  </si>
  <si>
    <t>신기술(NET/NEP) 인증 제품은 품명 신설 시 신속처리 대상에서 제외된다</t>
  </si>
  <si>
    <t>* 정답 (②): 품명 신설은 목록에 없던 새로운 품명(세부품명번호)을 만드는 절차이고, 품목 등록은 이미 있는 품명에 새로운 제품(물품식별번호)을 추가하는 절차로, 신기술 인증제품은 오히려 신속처리(Fast Track) 대상이 됨.</t>
  </si>
  <si>
    <t>[상황] 해외 조달기관과의 물품 정보 호환을 위해 국내 물품분류번호가 국제 표준 코드체계를 따르도록 설계되었다. 이 국제 표준체계로 가장 적절한 것은?</t>
  </si>
  <si>
    <t>ISBN(도서 식별용 표준)</t>
  </si>
  <si>
    <t>ISO 9001(품질경영 인증 표준)</t>
  </si>
  <si>
    <t>GTIN(유통상품 식별용 코드)</t>
  </si>
  <si>
    <t>UNSPSC(유엔 표준 상품 및 서비스 분류 코드)</t>
  </si>
  <si>
    <t>* 정답 (④): 물품분류번호는 국제적 호환성 확보를 위해 UNSPSC 등 국제표준 분류체계를 기반으로 부여됨.</t>
  </si>
  <si>
    <t>전자조달시스템 개요의 기본 개념으로 가장 적절한 것은?</t>
  </si>
  <si>
    <t>* 정답 (①): 전자조달시스템의 핵심은 사전에 확정된 기준과 절차를 투명하게 공개하고 동일하게 적용하는 것이며, 이를 통해 감사·분쟁 리스크를 줄이는 것이 근본 원칙이다.</t>
  </si>
  <si>
    <t>전자조달시스템 운영환경의 지출 분석 4사분면 중 '전략적(Strategic) 지출 유형'에 해당하는 것은?</t>
  </si>
  <si>
    <t>표준화된 소모품을 소량으로 반복 구매하는 환경</t>
  </si>
  <si>
    <t>기술적 진입장벽이 높아 소수 공급업체만 존재하지만 지출 규모는 작은 환경</t>
  </si>
  <si>
    <t>시장의 복잡성과 위험이 높으면서 동시에 대규모 예산이 투입되는 환경</t>
  </si>
  <si>
    <t>구매 사양이 단순하고 다수의 공급업체가 가격 경쟁을 벌이며 지출 규모가 큰 환경</t>
  </si>
  <si>
    <t>* 정답 (③): 전략적 지출 유형은 높은 시장 복잡성·위험성과 높은 지출 규모가 결합된 영역으로, 개별 사업에 맞춘 고객화(Customization) 절차가 요구되며, 전자입찰(e-Tendering)을 중심으로 시스템이 구현된다. A는 인수(Acquisition) 유형, B는 기술적(Technical) 유형, D는 레버리지(Leverage) 유형에 해당한다.</t>
  </si>
  <si>
    <t>전자조달시스템 도입 성과에 관한 설명으로 옳은 것은?</t>
  </si>
  <si>
    <t>전자조달시스템은 입찰 단계에만 한정되므로 공급업체 관리와는 무관하다.</t>
  </si>
  <si>
    <t>전자조달시스템의 데이터 생성 기능은 보고 목적에만 활용되며 의사결정 지원과는 관련이 없다.</t>
  </si>
  <si>
    <t>* 정답 (①): 전자조달시스템의 핵심 성과 중 하나는 조달 프로세 전 과정에서 생산되는 데이터와 문서를 체계적으로 기록·관리함으로써 투명성과 책임성을 확보하는 것이다. 각 단계별 판단 근거를 기록으로 남기는 것은 사후 감사·분쟁 대응의 기본 요건이다.</t>
  </si>
  <si>
    <t>e-Sourcing(전자적 소싱)의 주요 기능에 해당하지 않는 것은?</t>
  </si>
  <si>
    <t>공급업체 데이터베이스(DB) 관리 및 전자입찰(e-Tendering)</t>
  </si>
  <si>
    <t>온라인 평가(e-Evaluation) 및 전자협상(e-Negotiation)</t>
  </si>
  <si>
    <t>전자카탈로그를 통한 구매 주문 처리 및 전자지불(e-Payment)</t>
  </si>
  <si>
    <t>전자경매(e-Auction) 및 계약관리(Contract Management)</t>
  </si>
  <si>
    <t>* 정답 (③): e-Sourcing은 적격 공급업체의 탐색·평가·선정 과정을 디지털화하는 것이 핵심 목적으로, 공급업체 DB 관리·전자입찰·온라인 평가·전자협상이 주요 기능이다. 전자카탈로그를 통한 구매 주문 처리와 전자지불은 구매·대금 처리 효율화에 초점을 두는 e-Purchasing의 기능에 해당한다.</t>
  </si>
  <si>
    <t>UN(2006)이 제시한 전자조달시스템 발전 5단계 중 '인터넷 기반 도구와 통합 플랫폼으로 기존 종이 기반 절차를 전면 대체하는 단계'에 해당하는 것은?</t>
  </si>
  <si>
    <t>1단계: 종이 기반 업무처리</t>
  </si>
  <si>
    <t>2단계: 전자적 업무지원(EDI·ERP 활용)</t>
  </si>
  <si>
    <t>4단계: 인터넷 도구·플랫폼 보완</t>
  </si>
  <si>
    <t>5단계: 인터넷 도구·플랫폼 대체</t>
  </si>
  <si>
    <t>* 정답 (④): 발전 5단계는 ① 종이 기반 → ② EDI·ERP 등 전자시스템 보조 → ③ 인터넷 커뮤니케이션 도입 → ④ 인터넷 도구 보완(전자카탈로그·웹 EDI 병행) → ⑤ 통합 플랫폼으로 전면 대체 순이다. 한국의 나라장터(KONEPS)처럼 조달 전 과정을 하나의 디지털 플랫폼에서 처리하는 것이 5단계에 해당한다.</t>
  </si>
  <si>
    <t>한국의 나라장터(KONEPS)에 관한 설명으로 옳은 것은?</t>
  </si>
  <si>
    <t>1990년에 개통되어 세계 최초로 전자조달시스템을 도입한 사례이다.</t>
  </si>
  <si>
    <t>2002년에 개통되어 UN 전자정부 대상 등 국제적 인정을 받았다.</t>
  </si>
  <si>
    <t>재정경제부가 직접 구축하고 운영하는 전자조달 플랫폼이다.</t>
  </si>
  <si>
    <t>입찰공고와 낙찰자 결정 기능만 제공하며 계약 체결은 별도 오프라인으로 진행한다.</t>
  </si>
  <si>
    <t>* 정답 (②): 한국은 1997년부터 조달 전산화를 추진하여 2000년 전자입찰시스템을 가동하였고, 2002년 전자정부 사업의 일환으로 나라장터(KONEPS)를 출범시켜 공공조달 프로세스 전체를 하나의 온라인 플랫폼으로 통합하였다. 이후 UN 전자정부 대상 등 국제적 인정을 받은 바 있다. 나라장터는 조달청이 운영한다.</t>
  </si>
  <si>
    <t>지출 포트폴리오 4사분면 중 '레버리지(Leverage) 지출 유형'의 특성과 적합한 전자조달 전략으로 옳은 것은?</t>
  </si>
  <si>
    <t>기술적 진입장벽이 높아 공급자 수가 제한적이므로 계약관리·수요관리에 초점을 맞춘다.</t>
  </si>
  <si>
    <t>복잡성·위험이 높고 지출 규모도 커서 전자입찰(e-Tendering)을 중심으로 전 단계를 디지털화한다.</t>
  </si>
  <si>
    <t>표준화된 대상물의 반복 거래이므로 전자카탈로그·전자지불·업무흐름 자동화에 주력한다.</t>
  </si>
  <si>
    <t>사양이 단순하나 지출 규모가 크고 구매자 교섭력이 강하므로 전자경매(e-Auction)와 기본협약(FA)으로 가치를 극대화한다.</t>
  </si>
  <si>
    <t>* 정답 (④): 레버리지 유형은 낮은 시장 난이도(단순한 사양·다수 공급재)와 높은 지출 규모가 결합된 환경으로, 구매자 교섭력이 강하다. 전자경매(e-Auction)와 온라인 견적(e-Quoting), 기본협약(FA)을 활용하여 구매력 기반으로 비용 대비 가치를 극대화하는 것이 적합한 전략이다. '①'은 기술적, '②'는 전략적, '③'은 인수 유형이다.</t>
  </si>
  <si>
    <t>사전 자격을 갖춘 공급업체 풀을 운영하며 계약기간 중 언제든 새로운 공급업체가 합류 가능한 오픈 마켓 방식의 전자조달 도구는?</t>
  </si>
  <si>
    <t>기본협약(FA: Framework Agreement)</t>
  </si>
  <si>
    <t>전자역경매(e-Reverse Auction)</t>
  </si>
  <si>
    <t>동적구매시스템(DPS: Dynamic Purchasing System)</t>
  </si>
  <si>
    <t>전자카탈로그(e-Catalogue)</t>
  </si>
  <si>
    <t>* 정답 (③): 동적구매시스템(DPS)은 장기간에 걸쳐 물품·용역·공사를 전자적으로 반복 구매할 수 있도록 설계된 오픈 마켓 방식의 도구이다. 사전 자격을 갖춘 공급업체 풀을 운영하되 계약기간 중 언제든 새 공급업체가 합류 가능한 것이 특징이며, '자격선정(설문 충족) → 승인된 DPS 내 개별 계약 체결'의 2단계로 운영된다.</t>
  </si>
  <si>
    <t>조달 포털(Procurement Portal)과 조달 관리정보시스템(PMIS)에 관한 설명으로 옳지 않은 것은?</t>
  </si>
  <si>
    <t>조달 포털은 공급업체·구매자·일반 대중이 전자조달시스템에 접근하는 외부 관문(게이트웨이) 역할을 한다.</t>
  </si>
  <si>
    <t>PMIS는 조달기관 내부 관리자를 위한 조달 프로세스의 실행·관리·분석·보고를 지원하는 내부 시스템이다.</t>
  </si>
  <si>
    <t>조달 포털과 PMIS는 완전히 분리된 독립 시스템으로 상호 연계 없이 각각 운영되어야 한다.</t>
  </si>
  <si>
    <t>PMIS는 재무관리정보시스템(FMIS)과 연계하여 지급 일정·송장 제출·대금 관리 등 재무 처리를 지원한다.</t>
  </si>
  <si>
    <t>* 정답 (③): 조달 포털(외부 대문)과 PMIS(내부 관리)는 전자조달시스템의 두 상위 구성요소로서, 두 구성요소가 유기적으로 결합되어야 보안성과 기능성을 동시에 확보할 수 있다. 독립적으로 분리 운영하는 것이 아니라 서로 연계하여 종합적인 전자조달 플랫폼을 형성하는 것이 현대 전자조달시스템의 기본 설계 원칙이다.</t>
  </si>
  <si>
    <t>전자조달시스템 도입으로 향상된 '입찰 접근성'의 효과로 옳지 않은 것은?</t>
  </si>
  <si>
    <t>장소·시간 제약 없이 온라인 플랫폼을 통해 입찰 정보를 검색하고 참가할 수 있게 되었다.</t>
  </si>
  <si>
    <t>중소기업도 대기업과 동등한 정보 접근 기회를 확보하여 공정 경쟁 기반이 확충되었다.</t>
  </si>
  <si>
    <t>지리적·물리적 제약으로 입찰 기회 인지 자체가 어려웠던 문제가 해소되었다.</t>
  </si>
  <si>
    <t>전자조달 도입으로 모든 기업이 별도 자격 심사 없이 자동으로 낙찰 기회를 얻게 되었다.</t>
  </si>
  <si>
    <t>* 정답 (④): 전자조달시스템은 입찰 정보에 대한 접근성을 넓히고 참가 기회를 균등하게 제공하지만, 입찰 참가 자격 기준이나 낙찰자 결정 기준 자체가 완화되는 것은 아니다. 자격 심사 없이 자동 낙찰이 가능하다는 설명은 사실이 아니며, 오히려 전자조달시스템의 도입 성과는 공정한 경쟁 기반 확충에 있다.</t>
  </si>
  <si>
    <t>전자조달시스템의 발전 5단계 순서로 옳은 것은?</t>
  </si>
  <si>
    <t>종이 기반 → 전자시스템(EDI/ERP) → 인터넷 소통 → 인터넷 도구 보완 → 통합 전자조달 플랫폼</t>
  </si>
  <si>
    <t>인터넷 도구 보완 → 종이 기반 → 통합 플랫폼 → EDI/ERP → 인터넷 소통</t>
  </si>
  <si>
    <t>통합 플랫폼 → EDI/ERP → 인터넷 소통 → 종이 기반 → 인터넷 도구 보완</t>
  </si>
  <si>
    <t>EDI/ERP → 종이 기반 → 통합 플랫폼 → 인터넷 소통 → 인터넷 도구 보완</t>
  </si>
  <si>
    <t>* 정답 (①): 전자조달시스템은 ① 종이 기반 → ② 전자시스템(EDI/ERP) 도입 → ③ 인터넷을 통한 소통 → ④ 인터넷 도구로 기존 절차 보완 → ⑤ 통합 전자조달 플랫폼의 단계로 발전해왔다.</t>
  </si>
  <si>
    <t>공공조달 지출 포트폴리오 4사분면 분석에 관한 설명으로 옳지 않은 것은?</t>
  </si>
  <si>
    <t>4사분면은 지출 규모(Spend)와 시장 난이도(Difficulty)의 조합으로 구분된다.</t>
  </si>
  <si>
    <t>'레버리지(Leverage)' 영역은 지출 규모는 크고 시장 난이도는 낮은 품목군이다.</t>
  </si>
  <si>
    <t>'전략(Strategic)' 영역은 지출 규모와 시장 난이도가 모두 높은 핵심 관리 대상이다.</t>
  </si>
  <si>
    <t>'비핵심(Non-critical)' 영역은 지출 규모와 시장 난이도가 모두 높아 가장 집중 관리해야 한다.</t>
  </si>
  <si>
    <t>* 정답 (④): '비핵심' 영역은 지출 규모와 시장 난이도가 모두 낮은 품목군으로 간소화 조달이 적합하다. 지출 규모와 시장 난이도가 모두 높은 영역은 '전략(Strategic)' 영역이다.</t>
  </si>
  <si>
    <t>전자조달시스템 도입의 효과에 관한 설명으로 옳은 것은?</t>
  </si>
  <si>
    <t>절차 자동화로 처리 속도가 빨라지고 인력 비용이 절감된다.</t>
  </si>
  <si>
    <t>종이 문서 기반보다 정보 추적성이 떨어진다.</t>
  </si>
  <si>
    <t>입찰 정보 공개 범위가 축소되어 투명성이 낮아진다.</t>
  </si>
  <si>
    <t>데이터 축적·분석은 전자조달의 효과로 보기 어렵다.</t>
  </si>
  <si>
    <t>* 정답 (①): 전자조달은 ① 절차 자동화로 속도·비용 효과, ② 디지털 기록으로 추적성 강화, ③ 정보 공개 범위 확대로 투명성 제고, ④ 데이터 축적·분석을 통한 정책 활용 등의 종합적 효과를 발생시킨다.</t>
  </si>
  <si>
    <t>한국 나라장터(KONEPS)의 국제적 평가에 관한 설명으로 옳지 않은 것은?</t>
  </si>
  <si>
    <t>UN·OECD 등 국제기구로부터 모범 사례로 평가받고 있다.</t>
  </si>
  <si>
    <t>입찰·계약·대금지급의 전 과정이 단일 플랫폼에 통합되어 있다.</t>
  </si>
  <si>
    <t>다수 개발도상국에 기술 이전·시스템 수출 사례가 있다.</t>
  </si>
  <si>
    <t>나라장터는 한국 내부용 시스템으로 국제 표준과는 무관하다.</t>
  </si>
  <si>
    <t>* 정답 (④): 나라장터는 UN·OECD 등으로부터 모범 사례로 평가받으며, 베트남·코스타리카·튀니지 등 다수 국가에 시스템 수출·기술 이전이 이루어진 국제적 모델이다.</t>
  </si>
  <si>
    <t>전자조달시스템 도입의 장애 요인에 관한 설명으로 옳지 않은 것은?</t>
  </si>
  <si>
    <t>초기 시스템 구축·인프라 투자에 상당한 비용이 소요된다.</t>
  </si>
  <si>
    <t>사용자(공급자·수요기관)의 IT 역량 격차가 도입 진입 장벽이 될 수 있다.</t>
  </si>
  <si>
    <t>기존 종이 기반 절차와의 병행기에 행정 부담이 일시적으로 증가한다.</t>
  </si>
  <si>
    <t>전자조달 도입은 모든 단계에서 즉각적인 효과만 발생하며 장애 요인은 없다.</t>
  </si>
  <si>
    <t>* 정답 (④): 전자조달 도입에는 ① 초기 투자비용, ② IT 역량 격차, ③ 병행기 부담, ④ 사이버보안 위험, ⑤ 법·제도 정비 필요성 등의 장애 요인이 동반되며, 이를 단계적으로 해결하면서 도입을 추진해야 한다.</t>
  </si>
  <si>
    <t>국가종합전자조달시스템(나라장터) 연계 계약관리 지원시스템 개요의 기본 개념/원칙으로 가장 적절한 것은?</t>
  </si>
  <si>
    <t>국가종합전자조달시스템(나라장터) 연계 계약관리 지원시스템 개요 관련 실무통제(리스크 관리)로 가장 적절한 것은?</t>
  </si>
  <si>
    <t>* 정답 (②): 문서화+사전공유는 분쟁 예방, 성과관리, 책임소재 명확화에 가장 효과적이다.</t>
  </si>
  <si>
    <t>국가종합전자조달시스템(나라장터) 연계 계약관리 지원시스템 개요에 관한 설명으로 옳은 것은?</t>
  </si>
  <si>
    <t>* 정답 (①): 절차 준수와 기록(근거)은 공공조달에서 필수 요건이다.</t>
  </si>
  <si>
    <t>나라장터의 법적 근거로 옳은 것은?</t>
  </si>
  <si>
    <t>「국가계약법」 제1조</t>
  </si>
  <si>
    <t>「전자조달의 이용 및 촉진에 관한 법률」</t>
  </si>
  <si>
    <t>「조달사업법 시행규칙」</t>
  </si>
  <si>
    <t>「지방계약법」 제5조</t>
  </si>
  <si>
    <t>* 정답 (②): 나라장터는 「전자조달의 이용 및 촉진에 관한 법률(「전자조달법」)」에 근거하여 운영되는 국가종합전자조달시스템이다.</t>
  </si>
  <si>
    <t>나라장터에서 제공하지 않는 기능은?</t>
  </si>
  <si>
    <t>입찰공고 및 입찰서 제출</t>
  </si>
  <si>
    <t>계약 체결 및 대금지급</t>
  </si>
  <si>
    <t>공무원 인사발령</t>
  </si>
  <si>
    <t>업체 등록 및 실적 관리</t>
  </si>
  <si>
    <t>* 정답 (③): 공무원 인사발령은 나라장터와 무관한 인사행정 업무이다.</t>
  </si>
  <si>
    <t>전자입찰의 장점으로 옳은 것은?</t>
  </si>
  <si>
    <t>입찰 담합이 용이해진다.</t>
  </si>
  <si>
    <t>입찰 절차의 투명성 제고 및 비용 절감</t>
  </si>
  <si>
    <t>오직 대기업만 참여 가능</t>
  </si>
  <si>
    <t>입찰 결과를 비공개로 관리한다.</t>
  </si>
  <si>
    <t>* 정답 (②): 전자입찰은 온라인 표준화로 투명성을 높이고 참여 기업의 비용과 시간을 절감하는 효과가 있다.</t>
  </si>
  <si>
    <t>나라장터와 연계되는 대금지급 시스템으로 옳은 것은?</t>
  </si>
  <si>
    <t>한국은행 금융망</t>
  </si>
  <si>
    <t>대금e바로</t>
  </si>
  <si>
    <t>국가재정정보시스템(NAFIS)</t>
  </si>
  <si>
    <t>국세청 홈택스</t>
  </si>
  <si>
    <t>* 정답 (②): 대금e바로는 나라장터와 연계하여 납품 후 대금을 신속하게 지급하는 전자대금지급 시스템이다.</t>
  </si>
  <si>
    <t>MAS 쇼핑몰의 특징으로 옳은 것은?</t>
  </si>
  <si>
    <t>반드시 경쟁입찰을 거쳐야 한다.</t>
  </si>
  <si>
    <t>수요기관이 개별 입찰 없이 등록된 계약 물품을 직접 구매할 수 있다.</t>
  </si>
  <si>
    <t>낙찰자를 조달청이 지정한다.</t>
  </si>
  <si>
    <t>구매 후 추가 계약이 필요하다.</t>
  </si>
  <si>
    <t>* 정답 (②): MAS 쇼핑몰은 이미 계약된 물품·단가 목록에서 수요기관이 별도 입찰 없이 직접 구매하는 온라인 마켓 방식이다.</t>
  </si>
  <si>
    <t>나라장터 전자서명의 역할로 옳은 것은?</t>
  </si>
  <si>
    <t>서류를 팩스로 전송하는 수단</t>
  </si>
  <si>
    <t>전자문서의 진위 확인과 본인 인증에 활용된다.</t>
  </si>
  <si>
    <t>입찰가격을 암호화한다.</t>
  </si>
  <si>
    <t>계약 취소 수단으로 활용된다.</t>
  </si>
  <si>
    <t>* 정답 (②): 전자서명은 나라장터에서 전자문서(입찰서, 계약서 등)의 진위 확인과 본인 인증에 사용되며 법적 효력을 부여한다.</t>
  </si>
  <si>
    <t>나라장터에서 입찰 담합 방지를 위한 기술적 장치로 옳은 것은?</t>
  </si>
  <si>
    <t>입찰서를 종이로 출력하여 관리</t>
  </si>
  <si>
    <t>입찰서 암호화 및 동시 개봉 시스템</t>
  </si>
  <si>
    <t>담당자가 수동으로 입찰가 확인</t>
  </si>
  <si>
    <t>입찰 마감 전 타 업체 입찰가 공개</t>
  </si>
  <si>
    <t>* 정답 (②): 전자입찰에서는 입찰서를 암호화하여 보관하고 마감 후 동시 자동 개봉하는 시스템으로 담합을 방지한다.</t>
  </si>
  <si>
    <t>종합쇼핑몰의 다수공급자계약(MAS)에 관한 설명으로 옳지 않은 것은?</t>
  </si>
  <si>
    <t>「조달사업법」 제13조에 근거한 단가계약 방식이다.</t>
  </si>
  <si>
    <t>동일 물품을 복수의 공급자와 미리 계약하여 품질·가격 경쟁을 유도한다.</t>
  </si>
  <si>
    <t>일반제품 5천만 원 이상은 2단계경쟁이 의무 적용되며, 중소기업 제조 일반제품 5천만 ~ 1억 원 구간은 수요기관 재량으로 적용한다.</t>
  </si>
  <si>
    <t>모든 품목은 금액과 무관하게 일률적으로 2단계경쟁이 의무 적용된다.</t>
  </si>
  <si>
    <t>* 정답 (④): 2단계경쟁은 금액 구간과 제품 유형(일반/중소기업 제조)에 따라 의무·재량이 구분된다. 일률 적용이 아니다.</t>
  </si>
  <si>
    <t>혁신장터를 통한 혁신제품의 공공구매에 관한 설명으로 옳은 것은?</t>
  </si>
  <si>
    <t>모든 혁신제품은 조달청 중앙조달을 통해서만 구매할 수 있다.</t>
  </si>
  <si>
    <t>1억 원 이하 혁신제품은 수요기관이 혁신장터에서 직접 선택해 자체 수의계약으로 체결한다.</t>
  </si>
  <si>
    <t>혁신제품의 지정 권한은 수요기관의 장에게 있다.</t>
  </si>
  <si>
    <t>혁신제품은 일반경쟁입찰로만 구매할 수 있다.</t>
  </si>
  <si>
    <t>* 정답 (②): 1억 원 이하는 수요기관 자체 수의계약, 1억 원 초과는 조달청을 경유하는 중앙조달 방식이 적용된다. 법적 근거는 「국가계약법 시행령」 제26조 제1항 제6호와 「조달사업법」 제27조이다.</t>
  </si>
  <si>
    <t>벤처나라의 법적 근거 및 운영 특성으로 옳은 것은?</t>
  </si>
  <si>
    <t>「벤처기업육성에 관한 특별법」과 「조달사업법 시행령」 제18조에 법적 근거를 둔다.</t>
  </si>
  <si>
    <t>일반경쟁입찰 방식만 허용된다.</t>
  </si>
  <si>
    <t>모든 중소기업 제품이 거래 대상이다.</t>
  </si>
  <si>
    <t>지방자치단체는 벤처나라를 이용할 수 없다.</t>
  </si>
  <si>
    <t>* 정답 (①): 벤처나라는 벤처·이노비즈·G-PASS 기업 등 추천기관이 인정한 기업의 제품을 수의계약(벤처기업 특례)으로 구매하는 플랫폼이다. 모든 중소기업 제품이 아닌 추천·인정을 받은 기업 제품에 한정된다.</t>
  </si>
  <si>
    <t>5개 공공조달 플랫폼과 거래 대상의 연결로 옳지 않은 것은?</t>
  </si>
  <si>
    <t>종합쇼핑몰 - 다수공급자계약(MAS) 체결 물품</t>
  </si>
  <si>
    <t>혁신장터 - 혁신제품·시범구매 제품</t>
  </si>
  <si>
    <t>디지털서비스몰 - 클라우드 등 디지털 서비스 제품</t>
  </si>
  <si>
    <t>이음장터 - 외국 제조업체의 수입 물품</t>
  </si>
  <si>
    <t>* 정답 (④): 이음장터는 사회적기업·여성기업·장애인기업 등 사회적 가치 실현 기업의 제품 거래 플랫폼이다. 외국 제조업체 물품은 외자구매(국제입찰 등) 절차를 통해 조달된다.</t>
  </si>
  <si>
    <t>이음장터에서 적용되는 수의계약 금액 기준에 관한 설명으로 옳은 것은?</t>
  </si>
  <si>
    <t>일반 수의계약은 2,200만 원 이하, 사회적기업 등 확대 수의계약은 5,500만 원 이하가 적용된다.</t>
  </si>
  <si>
    <t>모든 거래에 5,000만 원 한도가 동일하게 적용된다.</t>
  </si>
  <si>
    <t>지방자치단체에도 「국가계약법 시행령」이 그대로 적용된다.</t>
  </si>
  <si>
    <t>5,500만 원 초과 거래도 수의계약 방식으로 가능하다.</t>
  </si>
  <si>
    <t>* 정답 (①): 이음장터는 일반 2,200만 원 이하, 사회적기업 등 확대 5,500만 원 이하의 단계 구조를 갖는다. 5,500만 원 초과 시 경쟁입찰이 원칙이며, 지방자치단체는 「지방계약법 시행령」의 별도 금액 기준이 적용된다.</t>
  </si>
  <si>
    <t>목록정보시스템 개요의 기본 개념/원칙으로 가장 적절한 것은?</t>
  </si>
  <si>
    <t>목록정보시스템 개요 관련 실무통제(리스크 관리)로 가장 적절한 것은?</t>
  </si>
  <si>
    <t>목록정보시스템 개요에 관한 설명으로 옳은 것은?</t>
  </si>
  <si>
    <t>물품목록번호의 구성에 관한 설명으로 옳지 않은 것은?</t>
  </si>
  <si>
    <t>물품분류번호는 UNSPSC 국제 표준에 기반한 8자리 번호이다.</t>
  </si>
  <si>
    <t>물품식별번호는 제조업체·모델별로 부여되는 8자리 고유번호이다.</t>
  </si>
  <si>
    <t>세부품명번호는 물품분류번호 8자리에 2자리를 추가한 10자리이다.</t>
  </si>
  <si>
    <t>물품식별번호는 UNSPSC 표준에 따라 국제적으로 통용되는 번호이다.</t>
  </si>
  <si>
    <t>* 정답 (④): 물품식별번호는 UNSPSC와 무관한 국내 고유 번호로, 기관별로 부여된다. 국제적으로 통용되는 것은 물품분류번호(UNSPSC 기반)이다.</t>
  </si>
  <si>
    <t>목록화의 4대 원칙에 해당하지 않는 것은?</t>
  </si>
  <si>
    <t>동일성 — 분류 대상과 목적이 같으면 분류체계를 단일화</t>
  </si>
  <si>
    <t>포괄성 — 기존·신규 품목을 모두 포괄하는 범위 설정</t>
  </si>
  <si>
    <t>경쟁성 — 복수의 분류체계를 경쟁적으로 운영하여 효율 확보</t>
  </si>
  <si>
    <t>상호배제성 — 하나의 품목이 둘 이상의 품명으로 분류될 수 없음.</t>
  </si>
  <si>
    <t>* 정답 (③): 목록화의 4대 원칙은 동일성·포괄성·상호배제성·단순성이다. '경쟁성'은 해당하지 않는다.</t>
  </si>
  <si>
    <t>물품목록코드(품명코드)의 구성 체계로 옳은 것은?</t>
  </si>
  <si>
    <t>물품코드는 6자리로 구성된다.</t>
  </si>
  <si>
    <t>나라장터 품명코드는 국제표준인 UNSPSC를 기반으로 운영된다.</t>
  </si>
  <si>
    <t>품명코드는 기관별로 독립적으로 관리된다.</t>
  </si>
  <si>
    <t>물품코드는 제조업체가 임의로 부여한다.</t>
  </si>
  <si>
    <t>* 정답 (②): 나라장터의 품명코드는 UN/SPSC(United Nations Standard Products and Services Code) 국제표준 분류 체계를 기반으로 운영된다.</t>
  </si>
  <si>
    <t>목록정보 시스템에서 '규격서'의 역할로 가장 적절한 것은?</t>
  </si>
  <si>
    <t>공급업체의 가격 정보 관리</t>
  </si>
  <si>
    <t>물품의 성능·기준·특성 등을 표준화하여 정의</t>
  </si>
  <si>
    <t>낙찰자 결정 기준 제시</t>
  </si>
  <si>
    <t>조달 계약 체결 여부 결정</t>
  </si>
  <si>
    <t>* 정답 (②): 규격서는 공공조달 물품의 성능, 재질, 규격, 기준 등을 표준화하여 동일한 기준으로 물품을 구매할 수 있도록 하는 역할을 한다.</t>
  </si>
  <si>
    <t>나라장터 물품목록 시스템에서 '납품실적 등록'의 주요 목적은?</t>
  </si>
  <si>
    <t>업체의 세금 납부 현황 파악</t>
  </si>
  <si>
    <t>적격심사 시 납품능력 평가를 위한 기초 자료 활용</t>
  </si>
  <si>
    <t>공사 입찰 참가 자격 부여</t>
  </si>
  <si>
    <t>MAS 계약 단가 결정</t>
  </si>
  <si>
    <t>* 정답 (②): 납품실적은 적격심사제도에서 해당 물품의 납품능력을 평가하는 핵심 자료로 활용되며, 이를 위해 나라장터에 실적 등록이 이루어진다.</t>
  </si>
  <si>
    <t>조달물자의 규격 표준화와 관련된 설명으로 옳지 않은 것은?</t>
  </si>
  <si>
    <t>표준화를 통해 경쟁입찰이 활성화된다.</t>
  </si>
  <si>
    <t>표준화된 규격은 수요기관이 임의로 변경할 수 있다.</t>
  </si>
  <si>
    <t>표준규격은 KS(한국산업표준) 등 국가 규격에 기초한다.</t>
  </si>
  <si>
    <t>규격 표준화는 품질 관리의 기초가 된다.</t>
  </si>
  <si>
    <t>* 정답 (②): 표준화된 규격은 법령과 기준에 따라 정해진 것으로, 수요기관이 임의로 변경하면 특정 업체를 유리하게 하는 문제가 발생할 수 있어 허용되지 않는다.</t>
  </si>
  <si>
    <t>물품목록 정보 관리의 핵심 원칙으로 가장 적절한 것은?</t>
  </si>
  <si>
    <t>기관별 독립 운영</t>
  </si>
  <si>
    <t>통합 관리를 통한 정보의 일관성·정확성 확보</t>
  </si>
  <si>
    <t>특정 업체의 물품만 등록</t>
  </si>
  <si>
    <t>연 1회 일괄 갱신</t>
  </si>
  <si>
    <t>* 정답 (②): 물품목록 정보는 조달 전 과정에서 일관성 있게 활용될 수 있도록 통합 관리가 원칙이다. 정보의 정확성과 일관성이 공정한 조달의 기반이 된다.</t>
  </si>
  <si>
    <t>공공조달에서 물품에 목록번호(코드)를 부여하는 가장 큰 이유는?</t>
  </si>
  <si>
    <t>물품의 가격 결정</t>
  </si>
  <si>
    <t>물품의 정확한 식별과 중복 구매 방지</t>
  </si>
  <si>
    <t>업체 등록 자격 관리</t>
  </si>
  <si>
    <t>예산 집행 승인</t>
  </si>
  <si>
    <t>* 정답 (②): 물품목록코드는 동일 물품을 고유하게 식별하고, 통합 관리를 통해 중복 구매·잉여 재고를 방지하여 조달의 효율성을 높이기 위해 부여한다.</t>
  </si>
  <si>
    <t>MAS(다수공급자계약) 계약에서 목록정보 시스템의 역할로 옳은 것은?</t>
  </si>
  <si>
    <t>낙찰자를 자동으로 결정한다.</t>
  </si>
  <si>
    <t>계약 물품의 규격·가격 정보를 공개하여 수요기관이 선택할 수 있게 한다.</t>
  </si>
  <si>
    <t>납품업체의 세금 납부를 관리한다.</t>
  </si>
  <si>
    <t>수요기관 간 물품 교환을 중개한다.</t>
  </si>
  <si>
    <t>* 정답 (②): MAS 계약에서 목록정보 시스템은 계약 물품의 규격, 가격, 공급업체 정보를 공개·관리하여 수요기관이 필요한 물품을 직접 선택·구매할 수 있는 기반을 제공한다.</t>
  </si>
  <si>
    <t>물품목록 정보의 품명 분류 단계(대분류 → 중분류 → 소분류 → 세분류)에 대한 설명으로 옳은 것은?</t>
  </si>
  <si>
    <t>모든 물품은 세분류까지 반드시 분류해야 한다.</t>
  </si>
  <si>
    <t>분류 단계가 세분화될수록 물품의 특징이 더 명확해진다.</t>
  </si>
  <si>
    <t>품명 분류는 조달청이 아닌 수요기관이 결정한다.</t>
  </si>
  <si>
    <t>품명 분류는 국내에서만 통용된다.</t>
  </si>
  <si>
    <t>* 정답 (②): 품명 분류는 대분류 → 중분류 → 소분류 → 세분류로 갈수록 물품의 종류가 더 구체적으로 특정된다. 세분화된 분류는 정확한 물품 검색과 비교를 가능하게 한다.</t>
  </si>
  <si>
    <t>목록정보 시스템에서 규격 정보가 부정확할 경우 발생할 수 있는 문제로 가장 적절한 것은?</t>
  </si>
  <si>
    <t>조달 속도 향상</t>
  </si>
  <si>
    <t>수요기관이 원하는 물품과 다른 물품이 납품되는 문제 발생</t>
  </si>
  <si>
    <t>조달 비용 절감</t>
  </si>
  <si>
    <t>공급업체 수 증가</t>
  </si>
  <si>
    <t>* 정답 (②): 규격 정보가 부정확하거나 불명확하면 발주 의도와 다른 물품이 납품될 수 있고, 이는 검수 거부, 분쟁, 재조달 비용 발생으로 이어진다.</t>
  </si>
  <si>
    <t>나라장터 물품목록 시스템과 연계되는 주요 시스템으로 옳지 않은 것은?</t>
  </si>
  <si>
    <t>e-나라도움(보조금 관리 시스템)</t>
  </si>
  <si>
    <t>적격심사 시스템</t>
  </si>
  <si>
    <t>MAS 쇼핑몰</t>
  </si>
  <si>
    <t>대금e바로(대금 지급 시스템)</t>
  </si>
  <si>
    <t>* 정답 (①): e-나라도움은 보조금 관리 시스템으로 나라장터 물품목록 시스템과 직접 연계되지 않는다. 적격심사, MAS 쇼핑몰, 대금e바로는 나라장터 플랫폼 내에서 물품목록과 연계 운영된다.</t>
  </si>
  <si>
    <t>물품분류번호 8자리와 물품식별번호 8자리, 총 16자리로 구성된다.</t>
  </si>
  <si>
    <t>물품분류번호는 UNSPSC 기반의 4계층(대·중·소·세분류) 구조이다.</t>
  </si>
  <si>
    <t>세부품명번호는 물품분류번호 8자리에 국내 2자리를 추가한 10자리이다.</t>
  </si>
  <si>
    <t>* 정답 (④): 물품식별번호는 UNSPSC와 무관한 국내 고유 번호로, 제조업체·모델별로 부여된다. 국제적으로 통용되는 것은 물품분류번호(UNSPSC 기반)이다.</t>
  </si>
  <si>
    <t>목록화 3유형 절차에 관한 설명으로 옳은 것은?</t>
  </si>
  <si>
    <t>품명등록 5단계, 품목등록 4단계, 품명신설 8단계(또는 간이 5단계)의 차등 절차가 적용된다.</t>
  </si>
  <si>
    <t>모든 목록화는 동일한 단계 수와 절차를 거친다.</t>
  </si>
  <si>
    <t>품명신설은 품목등록보다 절차가 간소하다.</t>
  </si>
  <si>
    <t>품명등록은 절차 자체가 존재하지 않는다.</t>
  </si>
  <si>
    <t>* 정답 (①): 목록화 3유형은 ① 품명등록 5단계, ② 품목등록 4단계, ③ 품명신설 8단계(간이 절차 적용 시 5단계)로 구분된다. 신규성·복잡성에 따라 단계 수가 다르다.</t>
  </si>
  <si>
    <t>품목 용도 구분 코드에 관한 설명으로 옳지 않은 것은?</t>
  </si>
  <si>
    <t>1(일반용), 3(계약용), 4(시설자재용), 5(입찰공고용), 6(물품관리용)으로 구분된다.</t>
  </si>
  <si>
    <t>계약용·시설자재용·입찰공고용으로 목록화 시 물품관리용으로 동시 사용할 수 없다.</t>
  </si>
  <si>
    <t>입찰공고용은 세부품명별로 한 가지씩만 목록화한다.</t>
  </si>
  <si>
    <t>물품관리용은 모든 기관이 자유롭게 부여할 수 있는 일반 코드이다.</t>
  </si>
  <si>
    <t>* 정답 (④): 물품관리용(코드 6)은 각 기관의 물품관리에 한정해 사용되며, 해당 기관의 요청에 따라 목록화되는 제한적 코드이다. 모든 기관 자유 부여는 일반용(코드 1)에 해당한다.</t>
  </si>
  <si>
    <t>상품목록심의회의 심의 대상이 아닌 것은?</t>
  </si>
  <si>
    <t>분류번호의 이동·변경에 관한 사항</t>
  </si>
  <si>
    <t>분류명·품명의 신설·변경·삭제에 관한 사항</t>
  </si>
  <si>
    <t>한글품명·영문품명의 적정성 검토</t>
  </si>
  <si>
    <t>개별 입찰 건의 낙찰자 결정에 관한 사항</t>
  </si>
  <si>
    <t>* 정답 (④): 상품목록심의회는 ① 분류번호 이동·변경, ② 품명 신설·변경·삭제, ③ 한글·영문품명 적정성, ④ 상품 해설·식별기준 적정성 등 목록화 업무 표준화를 심의한다. 개별 입찰 건의 낙찰자 결정은 심의 대상이 아니다.</t>
  </si>
  <si>
    <t>단일화 — 동일한 분류 대상은 하나의 분류 체계로 통일</t>
  </si>
  <si>
    <t>표준화 — 분류·식별 기준을 표준화하여 일관성 확보</t>
  </si>
  <si>
    <t>정확성 — 목록 정보의 정확성을 확보하고 검증 절차를 운영</t>
  </si>
  <si>
    <t>* 정답 (④): 목록화의 4대 원칙은 단일화·표준화·정확성·최신화이다. '경쟁성'은 분류체계 운영 원칙에 해당하지 않으며, 오히려 분류체계는 단일화·표준화가 핵심이다.</t>
  </si>
  <si>
    <t>공공조달과 법제도 이해 - 4. 전략적 공공조달</t>
  </si>
  <si>
    <t>[상황] 공무원 A가 중소기업자간 경쟁제도의 근거를 찾으며 국가계약법, 조달사업법, 판로지원법, 여성기업지원법 중 하나를 확인하려 한다. 직접적인 근거 법률로 옳은 것은?</t>
  </si>
  <si>
    <t>여성기업지원에 관한 법률</t>
  </si>
  <si>
    <t>국가를 당사자로 하는 계약에 관한 법률</t>
  </si>
  <si>
    <t>조달사업에 관한 법률</t>
  </si>
  <si>
    <t>중소기업제품 구매촉진 및 판로지원에 관한 법률</t>
  </si>
  <si>
    <t>* 정답 (④): 중소기업자간 경쟁제도는 판로지원법에 근거함.</t>
  </si>
  <si>
    <t>중소기업제품 구매촉진 및 판로지원에 관한 법률 제4조</t>
  </si>
  <si>
    <t>[상황] 제조업체가 아닌 순수 유통업체 A사가 중소기업자간 경쟁제품 입찰에 참가하려 한다. 이 경우 필요한 서류로 가장 적절한 것은?</t>
  </si>
  <si>
    <t>벤처기업 확인서만 있으면 된다</t>
  </si>
  <si>
    <t>아무 서류 없이 참가 가능하다</t>
  </si>
  <si>
    <t>우수조달물품 지정서만 있으면 된다</t>
  </si>
  <si>
    <t>해당 제품의 직접생산확인증명서가 필요하다</t>
  </si>
  <si>
    <t>* 정답 (④): 페이퍼컴퍼니 난립을 방지하기 위해 중소기업자간 경쟁입찰은 직접생산확인증명서를 보유한 업체만 참가할 수 있음.</t>
  </si>
  <si>
    <t>[상황] 중소벤처기업부가 특정 품목을 경쟁제품으로 지정한 지 2년이 다가온다. 다음 조치로 가장 적절한 것은?</t>
  </si>
  <si>
    <t>매년 새로 지정 여부를 재검토한다</t>
  </si>
  <si>
    <t>지정을 영구히 유지하고 재검토하지 않는다</t>
  </si>
  <si>
    <t>지정 주기에 맞춰 재지정 여부를 검토·공고한다</t>
  </si>
  <si>
    <t>3년 주기로만 재검토한다</t>
  </si>
  <si>
    <t>* 정답 (③): 중소벤처기업부장관은 경쟁제품을 지정하고 2년마다 이를 재검토·공고해야 함.</t>
  </si>
  <si>
    <t>[상황] B사가 발급받은 직접생산확인증명서의 진위를 확인하려 관련 기관에 조회하려 한다. 이 증명서를 발급한 기관으로 가장 적절한 것은?</t>
  </si>
  <si>
    <t>중소벤처기업부장관(또는 위임기관)</t>
  </si>
  <si>
    <t>환경부장관</t>
  </si>
  <si>
    <t>조달청장</t>
  </si>
  <si>
    <t>고용노동부장관</t>
  </si>
  <si>
    <t>* 정답 (①): 직접생산확인증명서는 중소벤처기업부장관(위임기관 포함)이 발급함.</t>
  </si>
  <si>
    <t>[상황] 발주기관이 공사에 필요한 철근·시멘트 등 주요 자재를 직접 구매해 시공업체에 공급하기로 했다. 이 방식이 하도급 부조리 방지와 중소기업 판로 지원에 기여하는 이유로 가장 적절한 것은?</t>
  </si>
  <si>
    <t>조달청이 모든 자재를 독점 판매하기 때문이다</t>
  </si>
  <si>
    <t>발주기관이 직접 구매함으로써 중소 자재업체가 원도급-하도급 관계를 거치지 않고 직접 공급기회를 얻을 수 있기 때문이다</t>
  </si>
  <si>
    <t>시공업체가 자재 선택권을 완전히 상실하기 때문이다</t>
  </si>
  <si>
    <t>이 제도는 중소기업 지원과 무관하기 때문이다</t>
  </si>
  <si>
    <t>* 정답 (②): 발주기관의 직접구매는 중소 자재업체가 하도급 단계를 거치지 않고 직접 공급기회를 얻게 해 판로를 지원하고 하도급 부조리를 방지함.</t>
  </si>
  <si>
    <t>[상황] 조달담당자가 NEP(신제품) 인증제품을 녹색제품으로 분류해 실적에 반영하려 했다. 이 분류가 정확한지에 대한 평가로 가장 적절한 것은?</t>
  </si>
  <si>
    <t>정확하지 않다. NEP는 기술개발제품에 해당하며, 녹색제품에는 환경표지·GR·환경성적표지 인증제품 등이 포함된다</t>
  </si>
  <si>
    <t>정확하다. 신제품은 모두 친환경 제품으로 간주된다</t>
  </si>
  <si>
    <t>이 사안은 분류와 무관하다</t>
  </si>
  <si>
    <t>정확하다. NEP는 대표적인 녹색제품이다</t>
  </si>
  <si>
    <t>* 정답 (①): NEP(신제품) 인증제품은 기술개발제품이며, 녹색제품에는 환경표지·GR·환경성적표지 인증제품 등이 해당함.</t>
  </si>
  <si>
    <t>녹색제품 구매촉진에 관한 법률</t>
  </si>
  <si>
    <t>[상황] 녹색제품 관련 민원을 어느 부처에 제기해야 하는지 문의가 들어왔다. 담당 주무 부처로 가장 적절한 것은?</t>
  </si>
  <si>
    <t>중소벤처기업부</t>
  </si>
  <si>
    <t>산업통상자원부</t>
  </si>
  <si>
    <t>재정경제부</t>
  </si>
  <si>
    <t>환경부</t>
  </si>
  <si>
    <t>* 정답 (④): 녹색제품 우선구매 제도는 녹색제품 구매촉진에 관한 법률에 근거하며, 환경부가 주무 부처임.</t>
  </si>
  <si>
    <t>[상황] 담당자가 LCC를 산정하며 '경쟁업체가 이 제품을 얼마에 파는지도 우리 제품의 LCC에 포함해야 한다'고 주장했다. 이 주장에 대한 평가로 가장 적절한 것은?</t>
  </si>
  <si>
    <t>이 사안은 LCC와 무관하다</t>
  </si>
  <si>
    <t>타당하지 않다. LCC는 구매·운영·폐기 등 해당 자산과 관련해 실제 발생하는 비용을 포함하며, 경쟁사 가격은 포함되지 않는다</t>
  </si>
  <si>
    <t>타당하다. 경쟁사 가격이 LCC의 핵심 요소이다</t>
  </si>
  <si>
    <t>타당하다. 비교를 위해서는 반드시 필요하다</t>
  </si>
  <si>
    <t>* 정답 (②): LCC는 구매·운영(유지보수 등)·폐기까지 해당 자산과 관련해 실제 발생하는 비용을 포함하며, 경쟁사 가격은 포함되지 않음.</t>
  </si>
  <si>
    <t>[상황] 두 제품 중 A는 초기가가 낮지만 유지보수 비용이 매우 크고, B는 초기가가 높지만 장기 운영비가 훨씬 적다. 이런 상황에서 LCC 평가를 도입하는 이유로 가장 적절한 것은?</t>
  </si>
  <si>
    <t>입찰 절차 자체를 생략하기 위해</t>
  </si>
  <si>
    <t>총소유비용 관점에서 장기적으로 더 경제적인 선택(이 경우 B일 수 있음)을 하도록 돕기 위해</t>
  </si>
  <si>
    <t>특정 기업의 시장 진입을 막기 위해</t>
  </si>
  <si>
    <t>항상 초기가가 낮은 A를 선택하도록 유도하기 위해</t>
  </si>
  <si>
    <t>* 정답 (②): LCC 평가는 초기비용뿐 아니라 유지보수·폐기 등 총소유비용을 종합 고려해 장기적으로 경제적인 선택을 하도록 돕기 위해 도입됨.</t>
  </si>
  <si>
    <t>[상황] 담당자가 환경표지 인증제품을 기술개발제품 실적에 포함시키려 했다. 이 처리에 대한 평가로 가장 적절한 것은?</t>
  </si>
  <si>
    <t>옳지 않다. 환경표지 인증제품은 녹색제품이며, 기술개발제품은 NEP·NET·성능인증제품 등이다</t>
  </si>
  <si>
    <t>이 사안은 실적 관리와 무관하다</t>
  </si>
  <si>
    <t>옳다. 모든 인증제품은 기술개발제품으로 통합 관리된다</t>
  </si>
  <si>
    <t>옳다. 환경표지 인증도 기술개발제품에 포함된다</t>
  </si>
  <si>
    <t>* 정답 (①): 환경표지 인증제품은 녹색제품에 해당하며, 기술개발제품에는 NEP·NET·성능인증제품·우수조달물품 등이 포함됨.</t>
  </si>
  <si>
    <t>[상황] 한 기관의 중소기업 물품 구매액이 100억원이었다. 기술개발제품 우선구매 목표를 충족하려면 최소 얼마 이상을 기술개발제품으로 구매해야 하는가?</t>
  </si>
  <si>
    <t>20억원</t>
  </si>
  <si>
    <t>5억원</t>
  </si>
  <si>
    <t>15억원</t>
  </si>
  <si>
    <t>10억원</t>
  </si>
  <si>
    <t>* 정답 (③): 공공기관은 중소기업 물품 구매액의 15% 이상을 기술개발제품으로 구매해야 하므로, 100억원의 15%인 15억원 이상이 목표가 됨.</t>
  </si>
  <si>
    <t>중소기업 기술 개발 촉진을 위해 수의계약 체결이 예외적으로 허용되는 '기술 인증 제품'의 종류가 아닌 것은?</t>
  </si>
  <si>
    <t>조달청장이 심사하여 기술력과 품질을 공식 지정하고 고시한 우수조달물품 인증 제품</t>
  </si>
  <si>
    <t>한국산업기술진흥협회가 국내 최초 신기술 적용을 공식 인증하여 부여하는 NEP 인증 제품</t>
  </si>
  <si>
    <t>공공서비스 개선 혁신성을 인정받아 기재부장관 등이 시범 구매용으로 지정한 혁신제품</t>
  </si>
  <si>
    <t>한국산업기술시험원이 공산품 품질을 임의로 평가하여 일정 기준을 보증하는 K마크 지정제품</t>
  </si>
  <si>
    <t>* 정답 (④): K마크는 공산품의 품질을 평가하는 임의 인증제도일 뿐, 우수조달물품이나 혁신제품처럼 법령상 수의계약 특례가 허용되는 대상 기술 인증에 포함되지 않습니다.</t>
  </si>
  <si>
    <t>[상황] 대기업 C사가 우수조달물품 지정을 신청하려 하자, 담당자가 '중소기업만 신청할 수 있다'며 거부했다. 이 처리에 대한 평가로 가장 적절한 것은?</t>
  </si>
  <si>
    <t>옳지 않다. 대기업도 신청할 수 있으며, 다만 중소기업 제품이 우대받는 경우가 많다</t>
  </si>
  <si>
    <t>옳다. 대기업은 어떤 조달 우대제도도 이용할 수 없다</t>
  </si>
  <si>
    <t>이 사안은 신청 자격과 무관하다</t>
  </si>
  <si>
    <t>옳다. 우수조달물품은 중소기업 전용 제도이다</t>
  </si>
  <si>
    <t>* 정답 (①): 우수조달물품은 중소기업뿐 아니라 대기업도 신청할 수 있으며, 다만 심사 과정에서 중소기업 제품이 우대받는 경우가 많음.</t>
  </si>
  <si>
    <t>[상황] 공무원 D가 혁신제품을 구매했으나 성과가 기대에 미치지 못했다. 이때 D가 고의로 부적합 제품임을 알고도 구매를 강행한 사실이 확인되었다면, 구매자 면책 적용 여부로 가장 적절한 것은?</t>
  </si>
  <si>
    <t>성과가 낮으면 무조건 면책된다</t>
  </si>
  <si>
    <t>고의·중대한 과실이 있는 경우 면책되지 않는다</t>
  </si>
  <si>
    <t>면책 여부는 구매금액에 따라 결정된다</t>
  </si>
  <si>
    <t>고의가 있어도 항상 면책된다</t>
  </si>
  <si>
    <t>* 정답 (②): 구매자 면책은 고의·중대한 과실이 없는 경우에만 적용되며, 고의가 있으면 면책되지 않음.</t>
  </si>
  <si>
    <t>[상황] 국가 R&amp;D로 개발한 신기술을 상용화하려는 스타트업이 초기 판로 확보와 조달 구매 기관의 감사 부담 경감을 동시에 요구하고 있다. 이 업체에게 안내할 가장 적합한 조달 제도는?</t>
  </si>
  <si>
    <t>「혁신제품 지정 제도」를 통해 혁신장터에 등록하고, 수의계약 체결 및 구매 공무원의 감사 면책 혜택을 활용하도록 안내한다.</t>
  </si>
  <si>
    <t>「우수조달물품 제도」를 통해 종합쇼핑몰에 우선 등록하고, 구매기관의 감사 면책은 별도의 심사위원회를 추가로 거치도록 안내한다.</t>
  </si>
  <si>
    <t>「벤처나라 등록 제도」를 통해 창업기업 전용몰로 판로를 개척하되, R&amp;D 제품 상용화에 따른 법정 구매면책은 적용되지 않음을 안내한다.</t>
  </si>
  <si>
    <t>「신제품(NEP) 인증 제도」를 통해 기술력을 공식 입증받고, 별도 면책 없이 일반경쟁입찰에서 기술 가점을 받아 경쟁하도록 안내한다.</t>
  </si>
  <si>
    <t>* 정답 (①): 「혁신제품 지정 제도」는 국가 R&amp;D 성과물 등 혁신 기술의 초기 판로를 지원하기 위해 도입되었다. 혁신장터를 통한 수의계약이 가능하며, 적극행정의 일환으로 구매 공무원에게 법정 구매면책 혜택을 부여하여 조달 도입 시의 감사 부담을 경감시켜 준다.</t>
  </si>
  <si>
    <t>[상황] 신입 직원이 '혁신제품 우선구매도 중소기업기본법에 근거한 제도 아니냐'고 물었다. 올바른 답변은?</t>
  </si>
  <si>
    <t>맞다. 여성기업지원에 관한 법률이 근거이다</t>
  </si>
  <si>
    <t>아니다. 혁신제품 우선구매는 조달사업에 관한 법률에 근거하며, 중소기업기본법은 중소기업의 정의·범위를 정하는 기본법일 뿐이다</t>
  </si>
  <si>
    <t>이 제도는 법적 근거가 필요 없다</t>
  </si>
  <si>
    <t>맞다. 중소기업기본법이 근거이다</t>
  </si>
  <si>
    <t>* 정답 (②): 혁신제품 우선구매는 조달사업에 관한 법률에 근거하며, 중소기업기본법은 근거법이 아님.</t>
  </si>
  <si>
    <t>아직 시장에 출시되지 않은 상용화 이전 단계의 우수 기술을 '혁신시제품(유형Ⅱ)'으로 지정받기 위해 조달청이 최소 조건으로 요구하는 '기술개발단계(TRL)' 기준은?</t>
  </si>
  <si>
    <t>기초 이론 정립 및 실험실 규모의 초기 검증이 진행 중인 TRL 1~3단계</t>
  </si>
  <si>
    <t>대량 생산 라인 구축 및 본격적인 시장 사업화가 궤도에 오른 TRL 10단계 이상</t>
  </si>
  <si>
    <t>핵심 요소 기술이 확보되고 성능 평가용 시작품을 막 제작한 TRL 4~6단계</t>
  </si>
  <si>
    <t>신뢰성 평가를 마치고 실제 현장 적용이 가능한 시제품이 완성된 TRL 7~9단계</t>
  </si>
  <si>
    <t>* 정답 (④): 혁신시제품은 아이디어 수준(1~6단계)을 넘어, 당장 공공 현장에 시범 적용하여 성능을 테스트할 수 있는 실체화된 시제품 상태여야 하므로 상용화 직전인 TRL 7~9단계 솔루션을 요구합니다.</t>
  </si>
  <si>
    <t>조달청의 엄격한 '혁신시제품 지정 절차' 5대 단계를 시간의 흐름과 논리적 순서에 맞게 가장 정확히 나열한 것은?</t>
  </si>
  <si>
    <t>사전 등록 → 추가서류 제출 → 온라인 신청 → 혁신성평가 → 지정 심의</t>
  </si>
  <si>
    <t>온라인 신청 → 사전 등록 → 혁신성평가 → 추가서류 제출 → 지정 심의</t>
  </si>
  <si>
    <t>사전 등록 → 온라인 신청 → 혁신성평가(통과 시) → 추가서류 제출 → 지정 심의</t>
  </si>
  <si>
    <t>사전 등록 → 온라인 신청 → 지정 심의 → 혁신성평가 → 추가서류 제출</t>
  </si>
  <si>
    <t>* 정답 (③): 시스템 [사전등록] 후 [온라인 신청]을 마치면, 1차로 공공성 평가를 하고 이를 통과한 업체에 한해 [혁신성 평가]를 진행하며, 이후 규격서 등 [추가서류]를 검토한 뒤 최종 [지정심의] 위원회를 엽니다.</t>
  </si>
  <si>
    <t>혁신시제품 지정 신청 시 핵심 요건인 '지식재산권 및 신기술 인증' 종류별로 요구되는 최초 등록(지정)일 기준 법정 유효 기한으로 올바른 것은?</t>
  </si>
  <si>
    <t>실용신안: 등록일로부터 5년 이내</t>
  </si>
  <si>
    <t>NET(신기술인증): 최초 지정일로부터 1년 이내</t>
  </si>
  <si>
    <t>특허: 등록일로부터 7년 이내</t>
  </si>
  <si>
    <t>NEP(신제품인증): 최초 지정일로부터 7년 이내</t>
  </si>
  <si>
    <t>* 정답 (③): 혁신시제품 신청 요건으로 적용된 핵심 기술의 특허는 등록일 기준 7년 이내, 실용신안은 3년 이내여야 유효하며, 신제품(NEP) 및 신기술(NET) 인증은 공통적으로 3년 이내여야 합니다.</t>
  </si>
  <si>
    <t>조달청 혁신제품 구매운영 규정에 따른 '혁신제품 심사 및 지정 제외(탈락) 대상'에 대한 설명 중 법적으로 틀린 것은?</t>
  </si>
  <si>
    <t>이전에 우수조달물품으로 지정되었던 낡은 핵심 기술이라도 다른 세부품명으로 바꾸기만 하면 얼마든지 신규 혁신제품 신청이 가능하다.</t>
  </si>
  <si>
    <t>동일한 세부품명과 특정 핵심기술을 바탕으로 평가에서 통산 4회 이상 탈락한 이력이 있으면 향후 심사 대상에서 영구 제외된다.</t>
  </si>
  <si>
    <t>시스템 지식재산권 중복 조회 결과, 동일 세부품명과 완전히 똑같은 특허번호가 이미 존재하면 규격 추가 외에 신규 절차는 진행할 수 없다.</t>
  </si>
  <si>
    <t>이미 혁신제품으로 지정된 제품과 신청 제품의 핵심 기술 및 세부품명이 100% 동일할 경우 신규 심사 대상에서 배제될 수 있다.</t>
  </si>
  <si>
    <t>* 정답 (①): 혁신제품 제도의 취지는 새로운 기술의 발굴이므로, 이미 '우수조달물품'으로 지정되어 시장에서 검증이 끝난 낡은 핵심 기술이라면 단순히 품명만 바꾼다고 해서 신규 혁신제품으로 심사받을 수 없습니다.</t>
  </si>
  <si>
    <t>[상황] 한 공공기관의 연간 총 구매액이 1,000억원이다. 장애인기업 우선구매 목표를 충족하려면 최소 얼마 이상을 장애인기업 제품으로 구매해야 하는가?</t>
  </si>
  <si>
    <t>50억원</t>
  </si>
  <si>
    <t>30억원</t>
  </si>
  <si>
    <t>100억원</t>
  </si>
  <si>
    <t>* 정답 (①): 장애인기업활동 촉진법에 따라 총 구매액의 1% 이상을 장애인기업 제품으로 구매해야 하므로, 1,000억원의 1%인 10억원 이상이 목표가 됨.</t>
  </si>
  <si>
    <t>장애인기업활동 촉진법</t>
  </si>
  <si>
    <t>[상황] 담당자가 '중증장애인생산품 우선구매와 장애인기업 우선구매는 같은 제도이니 하나만 관리하면 된다'고 말했다. 이 발언에 대한 평가로 가장 적절한 것은?</t>
  </si>
  <si>
    <t>옳다. 두 제도는 동일하다</t>
  </si>
  <si>
    <t>옳지 않다. 두 제도는 근거 법령과 목표 대상이 달라 별도로 관리해야 한다</t>
  </si>
  <si>
    <t>옳다. 두 제도 모두 5% 목표를 공유한다</t>
  </si>
  <si>
    <t>옳다. 장애인기업활동 촉진법 하나로 모두 규율된다</t>
  </si>
  <si>
    <t>* 정답 (②): 중증장애인생산품 우선구매(중증장애인생산품 우선구매 특별법, 1%)와 장애인기업 우선구매(장애인기업활동 촉진법, 1%)는 근거 법령과 대상이 다른 별도의 제도임.</t>
  </si>
  <si>
    <t>중증장애인생산품 우선구매 특별법</t>
  </si>
  <si>
    <t>[상황] 한 기관이 물품·용역 구매액 200억원, 공사 구매액 100억원을 집행할 예정이다. 여성기업 우선구매 목표에 따라 물품·용역과 공사 각각 최소 얼마를 여성기업 제품으로 구매해야 하는가?</t>
  </si>
  <si>
    <t>물품·용역 4억원, 공사 1억원</t>
  </si>
  <si>
    <t>물품·용역 2억원, 공사 10억원</t>
  </si>
  <si>
    <t>물품·용역 20억원, 공사 5억원</t>
  </si>
  <si>
    <t>물품·용역 10억원, 공사 3억원</t>
  </si>
  <si>
    <t>* 정답 (④): 여성기업 우선구매는 물품·용역 5% 이상, 공사 3% 이상이므로 200억원의 5%인 10억원, 100억원의 3%인 3억원이 최소 목표금액이 됨.</t>
  </si>
  <si>
    <t>여성기업지원에 관한 법률 제9조, 같은 법 시행령 제7조</t>
  </si>
  <si>
    <t>다음 [보기]의 (A), (B)에 들어갈 의무 구매목표 비율 숫자를 합한 값은? [보기] - 여성기업 우선구매(물품·용역): ( A )% - 장애인기업 우선구매: ( B )%</t>
  </si>
  <si>
    <t>* 정답 (③): 여성기업 우선구매(물품·용역)의 의무 구매목표 비율은 5%(A)이며, 장애인기업 우선구매 비율은 1%(B)임. 따라서 두 숫자의 합(5 + 1)은 6임.</t>
  </si>
  <si>
    <t>NUM</t>
  </si>
  <si>
    <t>[상황] 고용노동부 소관 법령을 근거로 판로를 지원받는 기업 유형을 묻는 질문에, 담당자가 '중소기업기본법이 근거'라고 잘못 답했다. 올바른 근거 법률은?</t>
  </si>
  <si>
    <t>협동조합기본법</t>
  </si>
  <si>
    <t>중소기업기본법</t>
  </si>
  <si>
    <t>사회적기업 육성법</t>
  </si>
  <si>
    <t>* 정답 (④): 사회적기업 제품 우선구매는 사회적기업 육성법에 근거하며, 주무부처는 고용노동부임.</t>
  </si>
  <si>
    <t>[상황] ESG 보고서를 작성하던 직원이 'S'를 'Safety(안전)'로 잘못 표기했다. 올바른 의미는?</t>
  </si>
  <si>
    <t>Sustainability(지속가능성)</t>
  </si>
  <si>
    <t>Standard(표준)</t>
  </si>
  <si>
    <t>Social(사회)</t>
  </si>
  <si>
    <t>Safety(안전)</t>
  </si>
  <si>
    <t>* 정답 (③): ESG는 환경(E)·사회(S)·지배구조(G)의 약자이며, S는 Social(사회)을 의미함.</t>
  </si>
  <si>
    <t>[상황] 한 기관장이 '우리 기관의 조달 정책 목표는 오직 예산 절감 하나뿐이어야 한다'고 지시했다. 이 지시가 전략적 공공조달의 취지에 부합하는지에 대한 평가로 가장 적절한 것은?</t>
  </si>
  <si>
    <t>부합한다. 다른 목표는 부차적이다</t>
  </si>
  <si>
    <t>부합한다. 비용 최소화가 유일한 목표여야 한다</t>
  </si>
  <si>
    <t>이 지시는 전략적 조달과 무관한 사안이다</t>
  </si>
  <si>
    <t>부합하지 않는다. 전략적 공공조달은 비용 절감뿐 아니라 중소기업 지원·환경보호·사회적 가치 실현 등을 함께 추구한다</t>
  </si>
  <si>
    <t>* 정답 (④): 전략적 공공조달은 비용 최소화만이 아니라 중소기업 지원·환경보호·사회적 가치 실현·기술혁신 등 다양한 목표를 동시에 추구함.</t>
  </si>
  <si>
    <t>[상황] 공공기관이 검토 중인 B제품은 장애인기업이 생산했고 우수재활용(GR) 인증도 받았지만, 기술개발제품 인증은 받지 못했다. 이 경우 적용 가능한 우선구매 제도를 모두 고르면? (ㄱ. 장애인기업 제품 우선구매 ㄴ. 녹색제품 우선구매 ㄷ. 기술개발제품 우선구매)</t>
  </si>
  <si>
    <t>ㄱ, ㄴ, ㄷ 모두 적용 가능하다</t>
  </si>
  <si>
    <t>ㄱ, ㄷ만 적용 가능하다</t>
  </si>
  <si>
    <t>ㄱ, ㄴ만 적용 가능하다</t>
  </si>
  <si>
    <t>ㄴ, ㄷ만 적용 가능하다</t>
  </si>
  <si>
    <t>* 정답 (③): B제품은 장애인기업 제품(ㄱ)이자 GR인증 녹색제품(ㄴ)에 해당하지만, 기술개발제품 인증을 받지 못했으므로 ㄷ은 적용되지 않음.</t>
  </si>
  <si>
    <t>[상황] 발표자가 '혁신 촉진 정책은 ESG 중 지배구조(G)와 직접 관련이 크다'고 설명했다. 이 설명에 대한 평가로 가장 적절한 것은?</t>
  </si>
  <si>
    <t>옳다. 지배구조만이 혁신의 유일한 동력이다</t>
  </si>
  <si>
    <t>옳다. 혁신 촉진은 ESG 요소와 전혀 무관하다</t>
  </si>
  <si>
    <t>옳지 않다. 혁신 촉진은 경제·사회적 가치와 관련되며, 지배구조(G)는 오히려 공정성·반부패 등과 관련이 크다</t>
  </si>
  <si>
    <t>옳다. 혁신은 지배구조 개선과 직결된다</t>
  </si>
  <si>
    <t>* 정답 (③): 혁신 촉진은 경제적·사회적 가치와 관련되며, 지배구조(G)는 투명성·공정성·반부패 등과 관련되어 혁신 촉진과 직접적 연관성은 낮음.</t>
  </si>
  <si>
    <t>[상황] 신입 직원이 다음 세 가지를 헷갈려 한다: 직접생산확인증명서 발급기관, 우수조달물품 지정기관, 혁신제품 구매자 면책의 적용범위. 이 중 옳게 정리된 것은?</t>
  </si>
  <si>
    <t>두 서류 모두 중소벤처기업부장관이 담당하며, 면책 제도는 존재하지 않는다</t>
  </si>
  <si>
    <t>직접생산확인증명서는 중소벤처기업부장관이, 우수조달물품은 조달청장이 지정하며, 면책은 고의·중과실이 없을 때만 적용된다</t>
  </si>
  <si>
    <t>두 서류 모두 조달청장이 발급·지정하며, 면책은 모든 경우에 적용된다</t>
  </si>
  <si>
    <t>직접생산확인증명서는 조달청장이, 우수조달물품은 중소벤처기업부장관이 담당하며, 면책은 고의가 있어도 적용된다</t>
  </si>
  <si>
    <t>* 정답 (②): 직접생산확인증명서는 중소벤처기업부장관, 우수조달물품은 조달청장이 각각 발급·지정하며, 혁신제품 구매자 면책은 고의·중과실이 없는 경우에만 적용됨.</t>
  </si>
  <si>
    <t>[상황] 한 정책연구원이 '전략적 공공조달의 궁극적 지향점은 결국 대기업의 시장 지배력 확대'라고 주장했다. 이 주장에 대한 평가로 가장 적절한 것은?</t>
  </si>
  <si>
    <t>옳지 않다. 전략적 공공조달은 경제·사회·환경적 가치를 동시에 실현하는 것을 궁극적 목표로 한다</t>
  </si>
  <si>
    <t>옳다. 조달 비용의 절대적 최소화가 유일한 목표이다</t>
  </si>
  <si>
    <t>옳다. 해외 기업 유치가 궁극적 목표이다</t>
  </si>
  <si>
    <t>옳다. 대기업 지배력 확대가 목표이다</t>
  </si>
  <si>
    <t>* 정답 (①): 전략적 공공조달은 단순 비용 절감을 넘어 중소기업 지원·사회적 가치·녹색성장·기술혁신 등 경제·사회·환경적 가치를 동시에 달성하는 것을 목표로 함.</t>
  </si>
  <si>
    <t>연간 수십조 원에 달하는 공공조달의 거대한 막강한 구매력을 전략적으로 활용하여 우리 사회의 지속 가능한 '사회적 가치(Social Value)'를 실현하는 대표적인 실무 사례로 가장 적절한 것은?</t>
  </si>
  <si>
    <t>특정 재난 상황에서 물품의 신속하고 정확한 납품을 유도하기 위해 계약서상에 명시된 납품 이행 기간을 기존 관례보다 대폭 단축하여 업체를 압박하는 행위</t>
  </si>
  <si>
    <t>유찰 발생 시 수반되는 불필요한 행정 비용을 줄이고 조달 업무를 빠르게 종결짓기 위해 의도적으로 법정 입찰 공고 횟수를 인위적으로 축소하는 행위</t>
  </si>
  <si>
    <t>중증 장애인 표준사업장, 사회적기업, 여성 기업 등이 생산한 제품이나 용역을 관련 법령에 근거하여 정부 기관의 목표액만큼 우선적으로 배정하여 구매하는 행위</t>
  </si>
  <si>
    <t>기업의 기술력이나 과거 납품 품질 실적 등에 상관없이 오로지 가장 낮은 투찰 가격을 제시한 영세 업체를 기계적으로 최종 낙찰자로 선정하여 예산을 아끼는 행위</t>
  </si>
  <si>
    <t>* 정답 (③): 사회적 가치 실현 조달(Social Public Procurement)이란 취약계층 일자리 창출 보장, 환경 보호, 지역 상생 등 경제적 효율성(최저가) 이외의 공익적 요소를 조달 과정에 적극 반영하여 사회적 기업 등을 우대하는 정책을 뜻합니다.</t>
  </si>
  <si>
    <t>전략적 공공조달의 기본 개념/원칙으로 가장 적절한 것은?</t>
  </si>
  <si>
    <t>* 정답 (②): 원칙(사전확정·공개·기록·동일적용)은 감사·분쟁 리스크를 줄이는 핵심이다.</t>
  </si>
  <si>
    <t>전략적 공공조달 관련 실무통제(리스크 관리)로 가장 적절한 것은?</t>
  </si>
  <si>
    <t>전략적 공공조달에 관한 설명으로 옳은 것은?</t>
  </si>
  <si>
    <t>* 정답 (②): 절차 준수와 기록(근거)은 공공조달에서 필수 요건이다.</t>
  </si>
  <si>
    <t>중소기업지원 조달의 기본 개념/원칙으로 가장 적절한 것은?</t>
  </si>
  <si>
    <t>중소기업자 간 경쟁제품으로 지정되기 위한 기본요건으로 옳은 것은?</t>
  </si>
  <si>
    <t>국내에서 직접 생산·납품하는 중소기업이 10개 이상이고, 공공기관의 연간 구매 수요가 10억 원 이상이어야 한다.</t>
  </si>
  <si>
    <t>국내에서 직접 생산·납품하는 중소기업이 20개 이상이고, 공공기관의 연간 구매 수요가 20억 원 이상이어야 한다.</t>
  </si>
  <si>
    <t>국내에서 직접 생산·납품하는 중소기업이 30개 이상이고, 공공기관의 연간 구매 수요가 30억 원 이상이어야 한다.</t>
  </si>
  <si>
    <t>국내에서 직접 생산·납품하는 중소기업이 50개 이상이고, 공공기관의 연간 구매 수요가 50억 원 이상이어야 한다.</t>
  </si>
  <si>
    <t>* 정답 (②): 「판로지원법 시행령」에 따라 경쟁제품 지정 기본요건은 직접 생산·납품 중소기업 20개 이상, 연간 구매 수요 20억 원 이상이다.</t>
  </si>
  <si>
    <t>직접생산확인증명서에 관한 설명으로 옳은 것은?</t>
  </si>
  <si>
    <t>조달청장이 발급하며 유효기간은 2년이다.</t>
  </si>
  <si>
    <t>중소벤처기업부 장관이 발급하며 유효기간은 1년이다.</t>
  </si>
  <si>
    <t>중소벤처기업부 장관이 발급하며 유효기간은 3년이다.</t>
  </si>
  <si>
    <t>재정경제부 장관이 발급하며 유효기간은 5년이다.</t>
  </si>
  <si>
    <t>* 정답 (③): 직접생산확인증명서는 중소벤처기업부 장관(중소기업유통센터에 위탁)이 발급하며, 유효기간은 3년(갱신 가능)이다.</t>
  </si>
  <si>
    <t>공사용 자재 직접구매제도의 종합공사 적용 기준으로 옳은 것은?</t>
  </si>
  <si>
    <t>추정가격 20억 원 이상의 종합공사에서 대상 품목의 추정가격이 2,000만 원 이상인 경우</t>
  </si>
  <si>
    <t>추정가격 30억 원 이상의 종합공사에서 대상 품목의 추정가격이 3,000만 원 이상인 경우</t>
  </si>
  <si>
    <t>추정가격 40억 원 이상의 종합공사에서 대상 품목의 추정가격이 4,000만 원 이상인 경우</t>
  </si>
  <si>
    <t>추정가격 50억 원 이상의 종합공사에서 대상 품목의 추정가격이 5,000만 원 이상인 경우</t>
  </si>
  <si>
    <t>* 정답 (③): 종합공사(「건설산업기본법」)의 경우 추정가격 40억 원 이상이며, 직접 구매 대상 품목의 추정가격이 4,000만 원 이상인 경우 직접구매제도가 적용된다.</t>
  </si>
  <si>
    <t>판로지원법 시행령 제11조</t>
  </si>
  <si>
    <t>기술개발제품 구매목표비율의 변천 과정으로 옳은 것은?</t>
  </si>
  <si>
    <t>2006년 5% → 2009년 5% → 2016년 10% → 2020년 15% 이상</t>
  </si>
  <si>
    <t>2006년 5% → 2009년 10% → 2016년 10% 이상 → 2020년 15% 이상</t>
  </si>
  <si>
    <t>2006년 10% → 2009년 10% → 2016년 15% → 2020년 20% 이상</t>
  </si>
  <si>
    <t>2006년 5% → 2009년 10% → 2016년 15% → 2020년 20% 이상</t>
  </si>
  <si>
    <t>* 정답 (②): 기술개발제품 구매목표비율은 2006년 5%(권장)에서 2009년 10%(권장)로 상향되었으며, 2016년부터 10% 이상 구매가 법정 의무사항으로 전환되었습니다. 이후 2020년 2월 법령 개정을 통해 의무 비율이 15% 이상으로 강화되었고, 해당 기준은 공공기관 구매계획 수립 일정에 따라 2021년부터 실제 의무 달성 비율로 적용 중입니다.</t>
  </si>
  <si>
    <t>공사용 자재 직접 구매 예외 사유로 옳지 않은 것은?</t>
  </si>
  <si>
    <t>「재난 및 안전관리기본법」 제3조에 따른 재난 관련 공사로 발주가 시급한 경우</t>
  </si>
  <si>
    <t>공사용 자재의 직접 구매로 국방·국가안보가 저해될 우려가 있다고 인정되는 공사</t>
  </si>
  <si>
    <t>공공기관의 장과 관할 지방중소벤처기업청장이 협의하여 직접 구매가 곤란하다고 인정한 경우</t>
  </si>
  <si>
    <t>발주기관의 예산 절감이 필요하다고 담당자가 판단하는 경우</t>
  </si>
  <si>
    <t>* 정답 (④): 직접 구매 예외 사유는 ① 재난 관련 시급 공사, ② 국방·국가안보 저해 우려, ③ 공공기관의 장과 지방중소벤처기업청장의 협의(도서·벽지 등)이다. 예산 절감을 이유로 한 임의 판단은 예외 사유에 해당하지 않는다.</t>
  </si>
  <si>
    <t>중소기업자 간 경쟁제품의 지정 유효기간 및 지정 주체로 옳은 것은?</t>
  </si>
  <si>
    <t>유효기간 1년, 조달청장이 지정·고시</t>
  </si>
  <si>
    <t>유효기간 3년, 중소벤처기업부 장관이 지정·고시</t>
  </si>
  <si>
    <t>유효기간 5년, 재정경제부 장관이 지정·고시</t>
  </si>
  <si>
    <t>유효기간 3년, 조달청장이 지정·고시</t>
  </si>
  <si>
    <t>* 정답 (②): 중소기업자 간 경쟁제품은 중소벤처기업부 장관이 지정·고시하며, 지정 유효기간은 3년이다. 매년 실태조사를 통해 신규 지정·추가·해제가 가능하다.</t>
  </si>
  <si>
    <t>「판로지원법」상 공공기관 구매목표비율 제도에 관한 설명으로 옳지 않은 것은?</t>
  </si>
  <si>
    <t>공공기관은 매년 구매 계획을 수립하고 구매 실적은 중소벤처기업부에 보고해야 한다.</t>
  </si>
  <si>
    <t>물품·용역의 전체 중소기업 구매비율은 50% 이상이다.</t>
  </si>
  <si>
    <t>중소기업자 간 경쟁제품의 구매비율은 해당 품목의 80% 이상이다.</t>
  </si>
  <si>
    <t>기술개발제품 구매목표비율은 물품 구매액의 5% 이상이다.</t>
  </si>
  <si>
    <t>* 정답 (④): 기술개발제품 구매목표비율은 2006년 5%에서 시작해 단계적으로 상향되어, 현재는 물품 구매액의 15% 이상 의무 달성으로 적용된다.</t>
  </si>
  <si>
    <t>공사용 자재 직접구매(분리발주) 제도에 관한 설명으로 옳은 것은?</t>
  </si>
  <si>
    <t>자재 조달 주체가 시공업체에서 발주기관으로 바뀌는 구조이다.</t>
  </si>
  <si>
    <t>시공업체가 자재업체와 직접 계약하는 일반 방식과 동일하다.</t>
  </si>
  <si>
    <t>모든 공사 규모에 일률적으로 적용된다.</t>
  </si>
  <si>
    <t>직접구매 대상 품목은 일반경쟁입찰로만 진행된다.</t>
  </si>
  <si>
    <t>* 정답 (①): 직접구매는 발주기관이 자재를 별도 계약으로 확보한 후 시공사에 인도하는 분리발주 방식이다. 시공업체의 하도급 자재업체에 대한 부당한 단가 인하·조건 강요를 구조적으로 차단한다. 직접구매 대상 품목은 중소기업 간 제한경쟁 또는 지명경쟁으로 입찰이 진행된다.</t>
  </si>
  <si>
    <t>중소기업자 간 경쟁제품 입찰 참가에 필요한 자격 요건으로 옳은 것은?</t>
  </si>
  <si>
    <t>직접생산확인증명서와 중소기업확인서를 모두 갖추어야 한다.</t>
  </si>
  <si>
    <t>중소기업확인서만 있으면 직접생산확인증명서는 면제된다.</t>
  </si>
  <si>
    <t>대기업도 일정 조건을 충족하면 입찰에 참가할 수 있다.</t>
  </si>
  <si>
    <t>자격 요건 없이 누구나 입찰에 참가할 수 있다.</t>
  </si>
  <si>
    <t>* 정답 (①): 중소기업자 간 경쟁제품에 입찰하려면 ① 직접생산확인증명서(실제 생산 능력 확인) + ② 중소기업확인서(중소기업 자격 확인)를 모두 보유해야 한다. 무자격 입찰을 방지하기 위한 이중 확인 장치이다.</t>
  </si>
  <si>
    <t>여성기업·장애인기업의 공공구매 지원에 관한 설명으로 옳지 않은 것은?</t>
  </si>
  <si>
    <t>여성기업 구매목표비율은 물품·용역 구매총액의 5% 이상이다.</t>
  </si>
  <si>
    <t>여성기업 공사 구매목표비율은 공사구매총액의 3% 이상이다.</t>
  </si>
  <si>
    <t>「판로지원법」 제5조에 근거한 의무 비율로 운영된다.</t>
  </si>
  <si>
    <t>장애인기업 구매목표비율은 별도로 설정되지 않는다.</t>
  </si>
  <si>
    <t>* 정답 (④): 장애인기업 구매목표비율은 구매총액의 1% 이상으로 별도로 설정되어 있다. 여성기업·장애인기업 모두 정책 대상 기업으로 별도 의무 비율이 적용된다.</t>
  </si>
  <si>
    <t>중소기업자 간 경쟁제품 입찰의 낙찰자 결정 방식에 관한 설명으로 옳은 것은?</t>
  </si>
  <si>
    <t>일반 낙찰 기준이 그대로 적용된다.</t>
  </si>
  <si>
    <t>계약이행능력심사기준을 별도 제정·적용한다.</t>
  </si>
  <si>
    <t>가격 입찰가만으로 낙찰자를 결정한다.</t>
  </si>
  <si>
    <t>낙찰자 결정 시 중소기업 자격은 고려하지 않는다.</t>
  </si>
  <si>
    <t>* 정답 (②): 중소기업자 간 경쟁제품 입찰은 일반 낙찰 기준이 아닌 '계약이행능력심사기준'을 별도 제정·적용하여 낙찰자를 결정한다. 이는 가격뿐만 아니라 계약 이행 능력(생산 능력, 경영 안정성 등)을 종합 평가하는 방식이다.</t>
  </si>
  <si>
    <t>녹색조달에 관한 설명으로 옳은 것은?</t>
  </si>
  <si>
    <t>「녹색제품 구매촉진에 관한 법률」상 녹색제품의 3가지 유형으로 올바르게 짝지어진 것은?</t>
  </si>
  <si>
    <t>환경표지제품, 저탄소제품, 에너지절약제품</t>
  </si>
  <si>
    <t>환경표지제품, 저탄소제품, 우수재활용제품</t>
  </si>
  <si>
    <t>친환경제품, 저탄소제품, 우수재활용제품</t>
  </si>
  <si>
    <t>환경표지제품, 탄소중립제품, 우수재활용제품</t>
  </si>
  <si>
    <t>* 정답 (②): 「녹색구매법」 제2조에 따라 녹색제품은 환경표지제품, 저탄소제품, 우수재활용제품의 3가지 유형으로 구성된다.</t>
  </si>
  <si>
    <t>조달청이 운영하는 종합낙찰제의 평가 비율로 옳은 것은?</t>
  </si>
  <si>
    <t>가격 60%, 품질 20%, 환경우월성(탄소배출량) 20%</t>
  </si>
  <si>
    <t>가격 40%, 품질 40%, 환경우월성(탄소배출량) 20%</t>
  </si>
  <si>
    <t>가격 40%, 품질 20%, 환경우월성(탄소배출량) 40%</t>
  </si>
  <si>
    <t>가격 50%, 품질 30%, 환경우월성(탄소배출량) 20%</t>
  </si>
  <si>
    <t>* 정답 (③): 종합낙찰제 평가공식은 G = 0.4×(입찰가격 점수) + 0.2×(품질 점수) + 0.4×(탄소배출량 점수)로, 가격 40%·품질 20%·환경우월성 40%이다.</t>
  </si>
  <si>
    <t>녹색공공조달(GPP)에 관한 설명으로 옳지 않은 것은?</t>
  </si>
  <si>
    <t>한국은 「녹색제품 구매촉진에 관한 법률」에 따라 공공기관의 녹색제품 의무구매제도를 운영하고 있다.</t>
  </si>
  <si>
    <t>EU는 전체 입찰의 50% 이상에 녹색 공공조달기준(GPP Criteria) 적용을 목표로 하고 있다.</t>
  </si>
  <si>
    <t>해당 품목에 녹색제품이 존재하더라도 가격 차이가 크면 일반 제품을 구매할 수 있다.</t>
  </si>
  <si>
    <t>OECD 국가를 중심으로 GDP의 12 ~ 15%에 달하는 공공조달의 구매력을 환경보호에 활용한다.</t>
  </si>
  <si>
    <t>* 정답 (③): 「녹색구매법」에 따라 해당 품목에 녹색제품이 존재하거나 대체 가능한 경우 반드시 녹색제품을 우선 구매해야 한다. 가격 차이를 이유로 일반 제품을 선택하는 것은 허용되지 않는다.</t>
  </si>
  <si>
    <t>「녹색제품 구매촉진에 관한 법률」상 녹색제품 의무구매 대상 기관으로 옳지 않은 것은?</t>
  </si>
  <si>
    <t>국가기관과 지방자치단체</t>
  </si>
  <si>
    <t>「공공기관의 운영에 관한 법률」에 따라 지정된 공공기관</t>
  </si>
  <si>
    <t>「초·중등교육법」 및 「고등교육법」에 따른 각급 학교</t>
  </si>
  <si>
    <t>민간 영리법인 및 개인사업자</t>
  </si>
  <si>
    <t>* 정답 (④): 녹색제품 의무구매 대상은 국가기관·지방자치단체, 공공기관, 각급 학교, 지방공사·공단 등이며, 민간 영리법인 및 개인사업자는 대상에 해당하지 않는다.</t>
  </si>
  <si>
    <t>종합낙찰제에 관한 설명으로 옳지 않은 것은?</t>
  </si>
  <si>
    <t>조달청이 2010년부터 도입·운영하고 있으며 국제적 기준과 부합성이 높다.</t>
  </si>
  <si>
    <t>에너지 사용 절감, 탄소배출 저감 등 환경적 우월성을 생애주기비용(LCC) 관점에서 평가한다.</t>
  </si>
  <si>
    <t>2020년 기준 물품 총액입찰 계약의 약 50%에 종합낙찰제가 적용되고 있다.</t>
  </si>
  <si>
    <t>적용 대상 제품이 10개 품명으로 제한되어 있어 실무 부담이 크고 활용도가 매우 낮다.</t>
  </si>
  <si>
    <t>* 정답 (③): 2020년 기준 약 36만 건의 물품 총액입찰 계약 중 종합낙찰제 적용 건은 94건(약 0.03%)에 불과하다. '약 50%'는 사실이 아니다.</t>
  </si>
  <si>
    <t>저탄소제품 인증에 관한 설명으로 옳은 것은?</t>
  </si>
  <si>
    <t>환경부에서 인증하며, 제품의 온실가스 배출량이 동종 제품의 평균보다 적고 탄소 감축 노력이 인정되는 제품이다.</t>
  </si>
  <si>
    <t>산업통상자원부에서 인증하며, 포장재 재활용 비율이 일정 수준 이상인 제품이다.</t>
  </si>
  <si>
    <t>조달청에서 인증하며, 나라장터에서만 구매 가능하다.</t>
  </si>
  <si>
    <t>중소벤처기업부에서 인증하며, 중소기업만 신청할 수 있다.</t>
  </si>
  <si>
    <t>* 정답 (①): 저탄소제품은 환경부에서 인증하며, 온실가스 배출량이 동종 제품 평균 대비 적고 탄소 감축 노력이 인정되는 제품이다. 녹색제품 3종(환경표지·저탄소·우수재활용) 중 하나이다.</t>
  </si>
  <si>
    <t>우수재활용제품(GR 마크)에 관한 설명으로 옳은 것은?</t>
  </si>
  <si>
    <t>「자원의 절약과 재활용촉진에 관한 법률」에 근거하며, 18개 분야 폐자원을 활용한 재활용 제품이다.</t>
  </si>
  <si>
    <t>「녹색구매법」에 근거하며, 165개군의 제품에 부여된다.</t>
  </si>
  <si>
    <t>산업통상자원부 산하 한국산업기술진흥원이 인증하는 제품이다.</t>
  </si>
  <si>
    <t>환경부가 인증하며 탄소배출량 감축을 주된 인증 기준으로 한다.</t>
  </si>
  <si>
    <t>* 정답 (①): 우수재활용제품(GR 마크)은 「자원의 절약과 재활용촉진에 관한 법률」에 근거하여, 18개 분야의 폐자원을 활용한 재활용 제품에 부여된다.</t>
  </si>
  <si>
    <t>공공기관의 녹색제품 구매 실적 보고 의무에 관한 설명으로 옳은 것은?</t>
  </si>
  <si>
    <t>공공기관은 분기별로 구매 실적을 조달청에 제출해야 한다.</t>
  </si>
  <si>
    <t>공공기관은 매년 구매 실적과 다음 해 구매 계획을 환경부 장관에게 제출해야 한다.</t>
  </si>
  <si>
    <t>공공기관은 구매 실적 제출 의무가 없으며 자율적으로 운영한다.</t>
  </si>
  <si>
    <t>공공기관은 5년마다 구매 실적을 재정경제부 장관에게 제출해야 한다.</t>
  </si>
  <si>
    <t>* 정답 (②): 공공기관은 매년 녹색제품 구매 실적과 다음 해 구매 계획을 환경부 장관에게 제출해야 하며, 환경부 장관은 우수 기관을 포상하고 미흡 기관에 개선을 권고할 수 있다.</t>
  </si>
  <si>
    <t>녹색제품 구매의 효과로 옳지 않은 것은?</t>
  </si>
  <si>
    <t>사용 단계에서 전기·물 사용량 절감을 통한 비용 회수 효과가 있다.</t>
  </si>
  <si>
    <t>기업의 친환경 기술 개발과 생산을 유도하여 수출경쟁력을 향상시킨다.</t>
  </si>
  <si>
    <t>안전성과 품질이 공인된 녹색제품의 보급 확대로 국민 건강 보호에 기여한다.</t>
  </si>
  <si>
    <t>공공기관의 구매 비용이 일반 제품보다 항상 낮아 예산 절감이 보장된다.</t>
  </si>
  <si>
    <t>* 정답 (④): 녹색제품은 초기 구매 비용이 일반 제품보다 높을 수 있으나, 사용 단계의 에너지 절감·폐기물 감소 등을 통해 장기적으로 비용을 회수한다. '항상 낮다'는 것은 사실이 아니다.</t>
  </si>
  <si>
    <t>「녹색구매법」상 녹색제품의 정의에 해당하지 않는 것은?</t>
  </si>
  <si>
    <t>환경표지 인증을 받은 환경표지제품</t>
  </si>
  <si>
    <t>저탄소 인증을 받은 저탄소제품</t>
  </si>
  <si>
    <t>우수재활용제품 인증을 받은 제품</t>
  </si>
  <si>
    <t>일반 시판 제품 중 가격이 가장 저렴한 제품</t>
  </si>
  <si>
    <t>* 정답 (④): 「녹색구매법」 제2조상 녹색제품은 ① 환경표지제품, ② 저탄소제품, ③ 우수재활용제품을 포괄하는 개념이다. 가격이 저렴하다는 이유만으로는 녹색제품에 해당하지 않는다.</t>
  </si>
  <si>
    <t>녹색제품 의무구매 대상 공공기관에 관한 설명으로 옳은 것은?</t>
  </si>
  <si>
    <t>「녹색구매법」 제4조부터 제6조에 규정된 공공기관이 의무구매 대상이다.</t>
  </si>
  <si>
    <t>의무구매는 권고 사항이므로 구매 실적 보고 의무는 없다.</t>
  </si>
  <si>
    <t>「지방공기업법」에 따른 지방공사·지방공단은 녹색제품 의무구매 대상에서 제외된다.</t>
  </si>
  <si>
    <t>의무구매 대상은 중앙행정기관에만 한정된다.</t>
  </si>
  <si>
    <t>* 정답 (①): 의무구매 대상은 「녹색구매법」 제4조 ~ 제6조에 규정된 중앙행정기관, 지방자치단체, 「지방공기업법」상 지방공사·지방공단, 「지방자치단체 출자·출연 기관」 등 광범위한 공공기관을 포함하며, 구매 실적 보고 의무가 부과된다.</t>
  </si>
  <si>
    <t>환경표지 인증 제도에 관한 설명으로 옳지 않은 것은?</t>
  </si>
  <si>
    <t>제품의 환경 영향을 종합적으로 평가하여 환경부장관이 인증한다.</t>
  </si>
  <si>
    <t>인증 기준은 제품 카테고리별로 별도로 설정된다.</t>
  </si>
  <si>
    <t>환경표지 인증을 받은 제품은 공공기관 우선구매 대상이 된다.</t>
  </si>
  <si>
    <t>환경표지 인증은 제품의 가격 경쟁력과 관계없이 모든 제품에 자동 부여된다.</t>
  </si>
  <si>
    <t>* 정답 (④): 환경표지 인증은 환경부장관이 제품 카테고리별 인증 기준을 충족하는 제품에 한해 부여하는 선택적 인증이다. 모든 제품에 자동 부여되지 않으며, 인증 절차·심사를 거쳐야 한다.</t>
  </si>
  <si>
    <t>녹색조달의 생애주기비용(LCC) 평가에 관한 설명으로 옳은 것은?</t>
  </si>
  <si>
    <t>제품의 구매 가격만을 기준으로 비교하는 방식이다.</t>
  </si>
  <si>
    <t>구매·운영·폐기 단계의 총 비용을 합산하여 비교하는 방식이다.</t>
  </si>
  <si>
    <t>환경 영향만 평가하고 비용은 고려하지 않는 방식이다.</t>
  </si>
  <si>
    <t>생애주기비용은 녹색조달과 관련이 없다.</t>
  </si>
  <si>
    <t>* 정답 (②): 생애주기비용(Life Cycle Cost)은 구매 → 운영(에너지·유지보수) → 폐기 단계까지의 총 비용을 합산하여 비교하는 방식이다. 초기 구매가가 비싸더라도 운영 단계 효율성이 높은 녹색제품의 경제성을 정확히 평가할 수 있다.</t>
  </si>
  <si>
    <t>녹색조달 제도가 추구하는 정책 목표로 옳지 않은 것은?</t>
  </si>
  <si>
    <t>환경 친화적 제품 시장 확대를 통한 산업구조 전환</t>
  </si>
  <si>
    <t>공공기관의 환경 책임 이행과 사회적 모범 역할 수행</t>
  </si>
  <si>
    <t>온실가스 감축 목표 달성에 대한 기여</t>
  </si>
  <si>
    <t>단기적 구매 가격 절감을 통한 예산 효율성 극대화</t>
  </si>
  <si>
    <t>* 정답 (④): 녹색조달은 환경적·사회적 가치 실현을 우선하며, 단기 가격 절감보다 생애주기비용·환경 영향 감소 등 장기적 가치를 추구한다. 단기 가격 절감 극대화는 녹색조달의 목표가 아니다.</t>
  </si>
  <si>
    <t>혁신·기술개발 촉진조달의 기본 개념/원칙으로 가장 적절한 것은?</t>
  </si>
  <si>
    <t>혁신을 위한 공공조달에 관한 설명으로 옳은 것은?</t>
  </si>
  <si>
    <t>우수조달물품 지정제도에 관한 설명으로 옳은 것은?</t>
  </si>
  <si>
    <t>우수조달물품 지정기간은 5년이며, 일반경쟁입찰 방식으로 계약을 체결한다.</t>
  </si>
  <si>
    <t>우수조달물품 지정기간은 3년이며, 제3자단가계약 방식으로 수요기관이 나라장터에서 납품을 요구한다.</t>
  </si>
  <si>
    <t>우수조달물품 지정기간은 2년이며, 지명경쟁입찰 방식으로 계약을 체결한다.</t>
  </si>
  <si>
    <t>우수조달물품 지정기간은 1년이며, 조달청이 직접 수요기관에 배분한다.</t>
  </si>
  <si>
    <t>* 정답 (②): 우수조달물품의 지정기간은 3년(갱신 가능)이며, 제3자 단가계약 방식으로 체결되어 수요기관이 나라장터에서 납품을 직접 요구한다.</t>
  </si>
  <si>
    <t>혁신제품 유형1과 유형2의 차이로 옳은 것은?</t>
  </si>
  <si>
    <t>유형1은 조달청이 주관하는 시제품이며, 유형2는 중앙행정기관 R&amp;D 결과물이다.</t>
  </si>
  <si>
    <t>유형1과 유형2 모두 중앙행정기관이 주관하며 동일한 절차로 진행된다.</t>
  </si>
  <si>
    <t>유형1은 중앙행정기관 R&amp;D 결과물로 혁신장터에서 수의계약이 가능하고, 유형2는 조달청 예산으로 시범구매를 진행한다.</t>
  </si>
  <si>
    <t>유형2의 혁신시제품 시범구매 절차는 5단계로 구성된다.</t>
  </si>
  <si>
    <t>* 정답 (③): 유형1(우수연구개발 혁신제품)은 중앙행정기관 R&amp;D 결과물로 혁신장터에서 수의계약이 가능하며, 유형2(혁신시제품)는 조달청이 주관하여 조달청 예산으로 시범구매 후 수요기관에 테스트 제공한다. 유형2 시범구매 절차는 9단계이다.</t>
  </si>
  <si>
    <t>우수조달물품 지정 신청 자격에 관한 설명으로 옳은 것은?</t>
  </si>
  <si>
    <t>대기업을 포함한 모든 규모의 기업이 신청할 수 있다.</t>
  </si>
  <si>
    <t>중소기업 또는 초기 중견기업(직전 3년 평균 매출액 기준)이 신청할 수 있다.</t>
  </si>
  <si>
    <t>중소기업만 신청 가능하며 중견기업은 전면 제외된다.</t>
  </si>
  <si>
    <t>국내 기업은 신청할 수 없고 해외 수출 기업만 신청 가능하다.</t>
  </si>
  <si>
    <t>* 정답 (②): 우수조달물품은 중소기업 또는 초기 중견기업(직전 3년 평균 매출액 기준)이 생산한 물품·소프트웨어를 대상으로 한다. 대기업은 신청 대상에서 제외된다.</t>
  </si>
  <si>
    <t>혁신시제품(유형2) 시범구매 9단계 절차 중 7단계에 해당하는 것은?</t>
  </si>
  <si>
    <t>수요조사 대상제품 선정 및 수요조사 공고·신청</t>
  </si>
  <si>
    <t>심의를 통한 매칭(조달청) → 조달정책심의회 심의</t>
  </si>
  <si>
    <t>조달청 예산으로 테스트 물품 구매 계약(조달청 → 지정기업)</t>
  </si>
  <si>
    <t>시범사용 완료 보고서 접수 및 결과 판정 공개</t>
  </si>
  <si>
    <t>* 정답 (③): 혁신시제품 시범구매 9단계에서 7단계는 '구매 계약(조달청 → 지정기업)'으로, 조달청 예산으로 테스트 물품을 구매한다. 2단계는 수요조사, 3단계는 심의·매칭, 9단계는 완료보고서 접수 및 결과 판정이다.</t>
  </si>
  <si>
    <t>기술개발제품 13개 유형 중 나라장터와 연계되지 않는 제품으로 옳은 것은?</t>
  </si>
  <si>
    <t>성능인증 제품</t>
  </si>
  <si>
    <t>GS인증 소프트웨어</t>
  </si>
  <si>
    <t>NEP(신제품인증) 제품</t>
  </si>
  <si>
    <t>산업융합품목</t>
  </si>
  <si>
    <t>* 정답 (③): 기술개발제품 13개 유형 중 나라장터 연계 여부(Y)는 성능인증·GS인증·NET 일부·산업융합품목·수요처지정형 일부 등이며, NEP(신제품인증)는 나라장터와 연계되지 않는다(N).</t>
  </si>
  <si>
    <t>우수조달물품 지정 규모에 관한 설명으로 옳은 것은?</t>
  </si>
  <si>
    <t>2022년 말 기준 약 500개 제품이 지정되어 연평균 약 1조 원 규모를 형성하고 있다.</t>
  </si>
  <si>
    <t>2023년 말 기준 누적 6,080개 제품이 지정되었으며, 공급실적은 최근 5년간 연평균 약 3.9조 원 규모이다.</t>
  </si>
  <si>
    <t>2023년 말 기준 누적 1만 개 이상의 제품이 지정되어 있다.</t>
  </si>
  <si>
    <t>우수조달물품 지정제도는 2023년에 처음 도입되었다.</t>
  </si>
  <si>
    <t>* 정답 (②): 2023년 말 기준 누적 6,080개 제품이 우수조달물품으로 지정되어 우선구매 지원을 받았으며, 최근 5년간 연평균 공급실적은 약 3.9조 원 규모이다.</t>
  </si>
  <si>
    <t>혁신제품 구매 시 담당자 면책에 관한 설명으로 옳은 것은?</t>
  </si>
  <si>
    <t>혁신제품 구매로 발생한 손해에 대해서는 담당자가 항상 책임을 진다.</t>
  </si>
  <si>
    <t>「조달사업에 관한 법률」 제27조에 따라 고의·중과실이 없으면 혁신제품 구매 담당자는 면책된다.</t>
  </si>
  <si>
    <t>면책 규정은 국가기관에만 적용되며 지방자치단체에는 적용되지 않는다.</t>
  </si>
  <si>
    <t>면책을 받으려면 재정경제부 장관의 사전 승인이 필요하다.</t>
  </si>
  <si>
    <t>* 정답 (②): 「조달사업에 관한 법률」 제27조에 따라 혁신제품 구매 시 고의·중과실이 없으면 담당자는 면책된다. 이 규정은 유형1·유형2 모두에 동일하게 적용된다.</t>
  </si>
  <si>
    <t>혁신시제품(유형2) 시범구매 절차에서 시범사용 기본계획서를 접수하는 단계와 접수 방법으로 옳은 것은?</t>
  </si>
  <si>
    <t>5단계 — 조달청 담당자에게 직접 방문하여 제출</t>
  </si>
  <si>
    <t>3단계 — 중소벤처기업부 포털에 온라인 신청</t>
  </si>
  <si>
    <t>1단계 — 혁신장터 로그인 후 직접 등록(상시 접수)</t>
  </si>
  <si>
    <t>2단계 — 나라장터에서 입찰 공고 후 제출</t>
  </si>
  <si>
    <t>* 정답 (③): 혁신시제품 시범구매 9단계 중 1단계는 '시범사용 기본계획서 접수'로, 혁신장터에 직접 로그인하여 등록하며 상시 접수 방식으로 운영된다.</t>
  </si>
  <si>
    <t>혁신제품 지정 절차에 관한 설명으로 옳은 것은?</t>
  </si>
  <si>
    <t>공급업체의 지정 신청 → 조달청 서류 심사 → 혁신제품심의위원회 심의 → 지정 확정 순으로 진행된다.</t>
  </si>
  <si>
    <t>혁신제품은 조달청장이 단독으로 지정한다.</t>
  </si>
  <si>
    <t>지정 신청 없이 자동으로 혁신제품이 결정된다.</t>
  </si>
  <si>
    <t>혁신제품 지정은 영구적이며 별도 갱신 절차가 없다.</t>
  </si>
  <si>
    <t>* 정답 (①) 공급업체 신청 후 지정 확정 절차를 거쳐 수의계약 가능 / ② 조달청 서류 심사 / ③ 혁신제품심의위원회의 기술혁신성·공공적합성·시장성 종합 평가 / ④ 지정은 영구적이지 않으며 별도 갱신 절차가 있음</t>
  </si>
  <si>
    <t>시범구매 제도에 관한 설명으로 옳지 않은 것은?</t>
  </si>
  <si>
    <t>혁신제품의 공공시장 진입을 지원하기 위한 제도이다.</t>
  </si>
  <si>
    <t>수요기관이 혁신제품을 시범적으로 구매·사용하여 성능을 검증한다.</t>
  </si>
  <si>
    <t>시범구매 결과는 후속 본구매·확산구매의 근거 자료로 활용된다.</t>
  </si>
  <si>
    <t>시범구매는 일반경쟁입찰 절차를 통해서만 진행된다.</t>
  </si>
  <si>
    <t>* 정답 (④): 시범구매는 혁신제품의 시장 진입 지원을 목적으로 수의계약 등 간소화된 방식으로 진행되며, 일반경쟁입찰 절차에 한정되지 않는다.</t>
  </si>
  <si>
    <t>우수조달물품 지정 제도에 관한 설명으로 옳은 것은?</t>
  </si>
  <si>
    <t>「조달사업법」 제26조에 따라 조달청장이 지정한다.</t>
  </si>
  <si>
    <t>지정된 물품은 조달청과 수의계약 방식으로 제품 조달계약을 체결할 수 있다.</t>
  </si>
  <si>
    <t>중소·벤처기업의 판로 지원을 목적으로 운영된다.</t>
  </si>
  <si>
    <t>①, ②, ③ 모두 옳다.</t>
  </si>
  <si>
    <t>* 정답 (④): 우수조달물품 제도는 「조달사업법」 제26조에 근거하며, 중소·벤처기업의 판로 지원을 위해 성능·기술·품질이 뛰어난 물품을 지정하고, 조달청과 수의계약을 통해 제품 조달계약을 체결할 수 있도록 한다.</t>
  </si>
  <si>
    <t>기술개발제품 구매목표비율의 변천에 관한 설명으로 옳지 않은 것은?</t>
  </si>
  <si>
    <t>2006년에 5%로 도입되었다.</t>
  </si>
  <si>
    <t>2009년에 10%로 상향되었다.</t>
  </si>
  <si>
    <t>2020년부터 15% 이상 의무 달성 비율로 적용되고 있다.</t>
  </si>
  <si>
    <t>기술개발제품 구매목표비율은 도입 이후 변동 없이 유지되어 왔다.</t>
  </si>
  <si>
    <t>* 정답 (④): 기술개발제품 구매목표비율은 2006년 5% → 2009년 10% → 2016년 10% 이상 → 2020년 15% 이상으로 단계적 상향되었다. 변동 없이 유지된 것이 아니라 정책 강화 흐름에 따라 비율이 높아져 왔다.</t>
  </si>
  <si>
    <t>혁신·기술개발 촉진조달의 정책적 의의로 옳지 않은 것은?</t>
  </si>
  <si>
    <t>공공조달을 통해 신산업·신기술 시장을 형성한다.</t>
  </si>
  <si>
    <t>혁신제품·기술개발제품의 공공 진입 장벽을 낮춰 기술 사업화를 지원한다.</t>
  </si>
  <si>
    <t>R&amp;D 투자 결과의 공공구매 연계로 연구개발 투자 회수율을 높인다.</t>
  </si>
  <si>
    <t>혁신·기술개발 촉진조달은 가격 절감만을 목표로 한다.</t>
  </si>
  <si>
    <t>* 정답 (④): 혁신·기술개발 촉진조달은 가격 절감이 아니라 신산업 시장 형성, 기술 사업화 지원, R&amp;D 투자 회수율 제고 등 산업·기술 정책적 목표를 추구한다. 단기 가격 절감과는 오히려 상충될 수 있다.</t>
  </si>
  <si>
    <t>사회적 책임조달 관련 실무통제(리스크 관리)로 가장 적절한 것은?</t>
  </si>
  <si>
    <t>* 정답 (④): 문서화+사전공유는 분쟁 예방, 성과관리, 책임소재 명확화에 가장 효과적이다.</t>
  </si>
  <si>
    <t>중증장애인생산품 우선구매에 관한 설명으로 옳은 것은?</t>
  </si>
  <si>
    <t>총구매액의 1% 이상 구매가 의무이며, 공식 브랜드명은 '나라장터'이다.</t>
  </si>
  <si>
    <t>총구매액의 1.1% 이상 구매가 의무이며, 공식 브랜드명은 '꿈드래'이다.</t>
  </si>
  <si>
    <t>총구매액의 2% 이상 구매가 의무이며, 공식 브랜드명은 '꿈드래'이다.</t>
  </si>
  <si>
    <t>총구매액의 0.5% 이상 구매가 의무이며, 공식 브랜드명은 '희망나래'이다.</t>
  </si>
  <si>
    <t>* 정답 (②): 「중증장애인생산품 우선구매특별법」에 따라 공공기관은 총구매액의 1.1% 이상을 중증장애인생산품으로 구매해야 하며, 공식 브랜드명은 '꿈드래'이다.</t>
  </si>
  <si>
    <t>여성기업 우선구매 의무목표비율로 옳은 것은?</t>
  </si>
  <si>
    <t>물품·용역 구매총액의 3% 이상, 공사구매총액의 5% 이상</t>
  </si>
  <si>
    <t>물품·용역 구매총액의 5% 이상, 공사구매총액의 3% 이상</t>
  </si>
  <si>
    <t>물품·용역 구매총액의 5% 이상, 공사구매총액의 5% 이상</t>
  </si>
  <si>
    <t>물품·용역 구매총액의 10% 이상, 공사구매총액의 3% 이상</t>
  </si>
  <si>
    <t>* 정답 (②): 「여성기업지원에 관한 법률」에 따라 여성기업 우선구매 목표비율은 물품·용역 구매총액의 5% 이상, 공사구매총액의 3% 이상이다.</t>
  </si>
  <si>
    <t>공공조달에서 ESG 각 요소의 구현 방식으로 가장 옳은 것은?</t>
  </si>
  <si>
    <t>E(환경)는 사회적기업 우선구매, S(사회)는 녹색조달, G(지배구조)는 기술개발제품 구매에 해당한다.</t>
  </si>
  <si>
    <t>E(환경)는 녹색 공공조달(GPP), S(사회)는 장애인·여성·사회적기업 우선구매, G(지배구조)는 공정하고 투명한 조달절차 운영에 해당한다.</t>
  </si>
  <si>
    <t>E(환경)는 혁신제품 구매, S(사회)는 녹색제품 구매, G(지배구조)는 중소기업 지원에 해당한다.</t>
  </si>
  <si>
    <t>ESG는 민간기업의 경영 지표로 공공조달 정책과는 무관하다.</t>
  </si>
  <si>
    <t>* 정답 (②): ESG에서 E(환경)는 녹색조달·GPP, S(사회)는 사회적책임조달(SRPP, 장애인·여성·사회적기업 우선구매), G(지배구조)는 기업책임경영(RBC)·투명한 조달절차로 구현된다.</t>
  </si>
  <si>
    <t>장애인기업 우선구매제도에 관한 설명으로 옳은 것은?</t>
  </si>
  <si>
    <t>공공기관 구매총액의 2% 이상을 장애인기업 제품으로 구매해야 한다.</t>
  </si>
  <si>
    <t>공공기관 구매총액의 1% 이상을 구매해야 하며, 추정가격 1억 원 이하의 물품·용역은 소액수의계약이 가능하다.</t>
  </si>
  <si>
    <t>공공기관 구매총액의 1% 이상을 구매해야 하지만 소액수의계약은 허용되지 않는다.</t>
  </si>
  <si>
    <t>장애인기업 우선구매는 법적 의무가 아닌 권장 사항이다.</t>
  </si>
  <si>
    <t>* 정답 (②): 「장애인기업활동촉진법」에 따라 공공기관은 구매총액의 1% 이상을 장애인기업 제품으로 구매해야 하며, 추정가격 1억 원 이하의 물품·용역에 대해 소액수의계약이 가능하다.</t>
  </si>
  <si>
    <t>사회적기업 제품 우선구매에 관한 설명으로 옳은 것은?</t>
  </si>
  <si>
    <t>「사회적기업 육성법」에 따라 공공기관 구매총액의 5% 이상을 의무적으로 구매해야 한다.</t>
  </si>
  <si>
    <t>「사회적기업 육성법」에 따른 법정 의무목표비율은 없으며, 경영평가 지표로 이행력을 제고하는 방식으로 운영된다.</t>
  </si>
  <si>
    <t>사회적기업 우선구매 의무비율은 중증장애인생산품(1.1%)과 동일하게 적용된다.</t>
  </si>
  <si>
    <t>사회적기업 제품은 수의계약을 통해서만 구매할 수 있다.</t>
  </si>
  <si>
    <t>* 정답 (②): 사회적기업 우선구매는 중증장애인생산품(1.1%)이나 여성기업(5%/3%)과 달리 법정 의무목표비율이 없으며, 경영평가 지표를 통해 이행력을 높이는 구조로 운영된다.</t>
  </si>
  <si>
    <t>공공기관의 사회적기업 제품 구매 실적 등록 방법으로 옳은 것은?</t>
  </si>
  <si>
    <t>매년 2월 말까지 전년도 실적과 당해 연도 구매 계획을 e-store 36.5에 입력·등록한다.</t>
  </si>
  <si>
    <t>매년 12월 말까지 구매 실적을 중소벤처기업부에 서면으로 제출한다.</t>
  </si>
  <si>
    <t>분기별로 조달청 나라장터에 실적을 입력한다.</t>
  </si>
  <si>
    <t>구매 실적 등록 의무는 없으며 경영평가 시 자체 보고서로 대체할 수 있다.</t>
  </si>
  <si>
    <t>* 정답 (①): 공공기관은 매년 2월 말까지 전년도 사회적기업 제품 구매 실적과 당해 연도 구매 계획을 사회적 경제 판로지원 통합플랫폼(e-store 36.5)에 입력·등록해야 한다.</t>
  </si>
  <si>
    <t>ESG의 국가별 공공조달 적용 중점 분야에 관한 설명으로 옳은 것은?</t>
  </si>
  <si>
    <t>미국은 S(사회) 측면에서 「사회적가치법」을 제정하여 사회적책임조달을 추진하고 있다.</t>
  </si>
  <si>
    <t>영국은 E(환경) 측면에서 Buy Green Products 정책을 시행하고 있다.</t>
  </si>
  <si>
    <t>EU는 E(환경) 측면에서 녹색공공조달(GPP)과 지속가능한 조달(SPP)에 중점을 두고 있다.</t>
  </si>
  <si>
    <t>미국·영국·EU 모두 G(지배구조) 측면에 동일한 비중을 두고 있다.</t>
  </si>
  <si>
    <t>* 정답 (③): 미국은 E(환경) 중점으로 Buy Green Products 정책을 시행하고, 영국은 S(사회) 측면에서 「사회적가치법」을 제정하여 사회적책임조달을 추진하며, EU는 E(환경) 측면의 GPP·SPP에 중점을 두고 있다.</t>
  </si>
  <si>
    <t>중증장애인생산품과 장애인기업 제품의 우선구매 의무비율 비교로 옳은 것은?</t>
  </si>
  <si>
    <t>중증장애인생산품 1%, 장애인기업 1.1%</t>
  </si>
  <si>
    <t>중증장애인생산품 1.1%, 장애인기업 1%</t>
  </si>
  <si>
    <t>중증장애인생산품 2%, 장애인기업 1%</t>
  </si>
  <si>
    <t>중증장애인생산품 1%, 장애인기업 2%</t>
  </si>
  <si>
    <t>* 정답 (②): 중증장애인생산품은 총구매액의 1.1% 이상(「중증장애인생산품 우선구매특별법」), 장애인기업 제품은 구매총액의 1% 이상(「장애인기업활동촉진법」) 구매가 의무이다.</t>
  </si>
  <si>
    <t>공공조달과 사회적 가치에 관한 설명으로 옳지 않은 것은?</t>
  </si>
  <si>
    <t>공공기관의 구매 선택은 사회 전반의 가치 기준 형성에 영향을 미칠 수 있다.</t>
  </si>
  <si>
    <t>사회적 경제 기업·협동조합·마을 기업 등의 참여 확대는 조달 시장의 다양성을 높이는 효과가 있다.</t>
  </si>
  <si>
    <t>사회적 가치 조달은 단기 가격 경쟁 중심 판단을 넘어 기업의 지속가능성·사회 기여도·환경 책임을 함께 고려한다.</t>
  </si>
  <si>
    <t>사회적 가치 지원 조달은 특정 기업 보호를 목적으로 하며 시장 경쟁을 배제하는 것이 주된 목표이다.</t>
  </si>
  <si>
    <t>* 정답 (④): 사회적 가치 지원 조달은 특정 기업 보호가 목적이 아니라, 시장 구조의 균형과 기회 확대를 통해 경제·사회·환경의 복합 가치를 실현하는 것이 목표이다.</t>
  </si>
  <si>
    <t>사회적기업 제품 우선구매 제도에 관한 설명으로 옳은 것은?</t>
  </si>
  <si>
    <t>「사회적기업 육성법」에 따라 공공기관은 사회적기업 제품을 우선 구매하도록 규정된다.</t>
  </si>
  <si>
    <t>사회적기업 제품 구매는 권고 사항으로 별도 보고 의무가 없다.</t>
  </si>
  <si>
    <t>사회적기업 제품은 일반경쟁입찰로만 구매할 수 있다.</t>
  </si>
  <si>
    <t>사회적기업 인증은 모든 비영리기관에 자동 부여된다.</t>
  </si>
  <si>
    <t>* 정답 (①): 사회적기업 제품 우선구매는 「사회적기업 육성법」에 따라 공공기관에 부여된 의무로, 매년 구매 실적 보고가 요구된다. 사회적기업 인증은 고용노동부장관이 일정 요건(사회적 목적 실현, 영업활동 등)을 심사하여 부여한다.</t>
  </si>
  <si>
    <t>중증장애인생산품 우선구매 제도에 관한 설명으로 옳지 않은 것은?</t>
  </si>
  <si>
    <t>「중증장애인생산품 우선구매 특별법」에 근거한다.</t>
  </si>
  <si>
    <t>공공기관은 중증장애인생산품을 일정 비율 이상 우선 구매해야 한다.</t>
  </si>
  <si>
    <t>중증장애인생산품 시설로 지정된 곳에서 생산한 제품이 대상이다.</t>
  </si>
  <si>
    <t>중증장애인생산품은 어떠한 경우에도 수의계약 방식으로 구매할 수 없다.</t>
  </si>
  <si>
    <t>* 정답 (④): 중증장애인생산품 우선구매 제도의 일환으로 수의계약 방식의 구매가 허용된다. 일반경쟁만 가능한 것이 아니며, 생산시설 지정·인증 등을 거친 제품에 대해 수의계약 등 간소화 절차가 적용된다.</t>
  </si>
  <si>
    <t>사회적 가치 평가 가점 제도에 관한 설명으로 옳은 것은?</t>
  </si>
  <si>
    <t>입찰평가 시 사회적 가치 실현 정도(고용창출, 환경, 지역사회 기여 등)에 가점을 부여한다.</t>
  </si>
  <si>
    <t>사회적 가치는 평가 요소에 포함되지 않는다.</t>
  </si>
  <si>
    <t>가점 제도는 가격 평가만을 보강하는 부수 요소이다.</t>
  </si>
  <si>
    <t>사회적 가치 평가는 모든 입찰에서 동일한 가점 비중으로 적용된다.</t>
  </si>
  <si>
    <t>* 정답 (①): 사회적 가치 평가 가점 제도는 입찰평가 시 고용창출·환경·지역사회 기여·노동·인권 등 사회적 가치 실현 정도를 평가 요소로 반영하여 가점을 부여하는 제도이다. 입찰 성격에 따라 가점 비중과 항목이 차등 적용된다.</t>
  </si>
  <si>
    <t>여성기업 지원 조달 제도에 관한 설명으로 옳지 않은 것은?</t>
  </si>
  <si>
    <t>「여성기업지원에 관한 법률」에 근거한다.</t>
  </si>
  <si>
    <t>공공기관은 물품·용역 구매총액의 5% 이상을 여성기업으로부터 구매해야 한다.</t>
  </si>
  <si>
    <t>공사 구매총액의 3% 이상을 여성기업 공사로 발주해야 한다.</t>
  </si>
  <si>
    <t>여성기업 인증은 자동 부여되며 별도 신청·심사 절차가 없다.</t>
  </si>
  <si>
    <t>* 정답 (④): 여성기업 인증은 한국여성경제인협회 등 지정 기관의 신청·심사 절차를 거쳐 부여되며, 자동 부여되지 않는다. 인증 후 일정 기간(통상 2년)마다 갱신 심사가 필요하다.</t>
  </si>
  <si>
    <t>이음장터의 운영 목적으로 가장 적절한 것은?</t>
  </si>
  <si>
    <t>사회적기업·여성기업·장애인기업 등 사회적 가치 실현 기업의 제품 거래 플랫폼 운영</t>
  </si>
  <si>
    <t>외국 기업의 한국 시장 진출 지원</t>
  </si>
  <si>
    <t>대기업 제품의 우선구매 지원</t>
  </si>
  <si>
    <t>군수물자 전용 거래 시스템</t>
  </si>
  <si>
    <t>* 정답 (①): 이음장터는 사회적기업·여성기업·장애인기업·중증장애인생산품 시설 등 사회적 가치 실현 기업의 제품을 공공기관이 수의계약 방식으로 손쉽게 구매할 수 있도록 지원하는 플랫폼이다.</t>
  </si>
  <si>
    <t>(출처)</t>
  </si>
  <si>
    <t>[상황] A 국가기관은 추정가격 1억 5천만 원의 일반 물품을 구매하기 위해 입찰을 준비 중이다. 판로지원법령에 따른 올바른 입찰참가자격 제한 방법은?</t>
  </si>
  <si>
    <t>2.3억 미만이므로 소기업·소상공인 대상 제한경쟁입찰 실시</t>
  </si>
  <si>
    <t>1억 이상이므로 중기업 포함 중소기업자 대상 제한경쟁입찰 실시</t>
  </si>
  <si>
    <t>지정 경쟁제품이 아니므로 기업 규모 무관 일반경쟁입찰 적용</t>
  </si>
  <si>
    <t>조달청 고시금액 미만이므로 실적 보유업체 대상 지명경쟁 적용</t>
  </si>
  <si>
    <t>* 정답 (②): 1억 원 미만은 '소기업·소상공인', 1억 원 이상~고시금액(약 2.3억) 미만은 '중소기업자(중기업 포함)' 간 제한경쟁을 실시하는 것이 원칙입니다. 일반 물품이라도 이 금액 구간에서는 적용됩니다.</t>
  </si>
  <si>
    <t>판로지원법 시행령 제2조의2</t>
  </si>
  <si>
    <t>260904</t>
  </si>
  <si>
    <t>공공조달시장에서 운영되는 '중소기업자간 경쟁제도'의 세부 운영 기준에 대한 설명으로 가장 옳지 않은 것은?</t>
  </si>
  <si>
    <t>직접생산 중소기업자만 대상으로 경쟁입찰을 실시해야 한다</t>
  </si>
  <si>
    <t>직접생산 미확인 유통업체는 참여가 엄격히 제한된다</t>
  </si>
  <si>
    <t>가격 출혈경쟁 방지 위해 별도 낙찰자결정기준을 따른다</t>
  </si>
  <si>
    <t>직접생산확인증명서는 낙찰자 결정 전까지 발급받아 제출하면 된다</t>
  </si>
  <si>
    <t>* 정답 (④): 직접생산 확인증명서는 원칙적으로 '입찰서 제출 마감일 전일'까지 발급된 것으로 유효기간 내에 있어야 입찰참가자격이 인정됩니다. 낙찰자 결정 전 사후 발급은 인정되지 않습니다.</t>
  </si>
  <si>
    <t>판로지원법 제9조, 동법 시행령 제10조, 국가계약법 시행령 제36조 제4의2</t>
  </si>
  <si>
    <t>[상황] C기관은 당해 연도 구매계획을 수립하며 중소기업제품 의무구매비율을 검토 중이다. 판로지원법령상 기준 및 제재 조치로 가장 옳은 것은?</t>
  </si>
  <si>
    <t>총구매액의 30% 이상을 중소기업제품으로 우선구매 목표를 설정한다</t>
  </si>
  <si>
    <t>중소기업 물품구매액의 15% 이상을 기술개발제품으로 구매 목표를 설정한다</t>
  </si>
  <si>
    <t>시설·건설공사 계약금액은 총구매액 산정 기준에서 제외된다</t>
  </si>
  <si>
    <t>비율 미달 기관장은 차년도 기본경비 예산이 10% 삭감된다</t>
  </si>
  <si>
    <t>* 정답 (②): 판로지원법령에 따라 공공기관은 총구매액의 50% 이상을 중소기업제품으로, 중소기업 물품 구매액의 15% 이상을 기술개발제품으로 구매해야 합니다. (공사 금액도 포함되며, 예산 삭감 규정은 없습니다)</t>
  </si>
  <si>
    <t>판로지원법 시행령 제3조, 제4조, 제12조</t>
  </si>
  <si>
    <t>『녹색제품 구매촉진에 관한 법률』에 따른 공공기관의 녹색제품 의무구매 예외 사유로 법령에 명시되지 않은 것은?</t>
  </si>
  <si>
    <t>예산 부족으로 타 의무비율 달성이 구조적으로 불가능한 경우</t>
  </si>
  <si>
    <t>재고 부족 등으로 기한 내 정상 납품이 불가능한 경우</t>
  </si>
  <si>
    <t>품질이 사업 목적 달성에 현저히 미달하는 경우</t>
  </si>
  <si>
    <t>긴급 구호·천재지변으로 조달할 시간 여유가 없는 경우</t>
  </si>
  <si>
    <t>* 정답 (①): 예산 부족이나 타 의무구매 비율 달성 곤란 등의 행정적 사유는 법정 의무구매 예외 사유에 명시되어 있지 않습니다. 예외가 되려면 현저한 품질 미달, 긴급 수요, 재고 부족 등 요건을 갖춰야 합니다.</t>
  </si>
  <si>
    <t>녹색제품 구매촉진에 관한 법률 제6조</t>
  </si>
  <si>
    <t>다음 중 관련 법령에 의해 공공기관이 의무적으로 우선 구매해야 하는 법정 '녹색제품'의 범주에 포함되지 않는 것은?</t>
  </si>
  <si>
    <t>기후에너지환경부장관의 환경표지(마크) 인증을 획득한 제품</t>
  </si>
  <si>
    <t>산업통상부장관의 우수재활용(GR) 인증을 획득한 제품</t>
  </si>
  <si>
    <t>기후에너지환경부 고시 저탄소 인증 기준을 통과한 제품</t>
  </si>
  <si>
    <t>중소벤처기업부의 기술개발제품 성능인증(EPC)을 획득한 제품</t>
  </si>
  <si>
    <t>* 정답 (④): 중소기업 기술개발제품(성능인증 등)은 판로지원 대상일 뿐, 그 자체로 『녹색제품 구매촉진에 관한 법률』에서 정의하는 '녹색제품(환경표지, GR마크, 저탄소인증)'에 자동 포함되는 것은 아닙니다.</t>
  </si>
  <si>
    <t>녹색제품 구매촉진에 관한 법률 제2조의2</t>
  </si>
  <si>
    <t>녹색조달을 도입함으로써 발생하는 '생애주기비용(LCC)' 관점의 경제적 효과에 대한 설명으로 가장 타당한 것은?</t>
  </si>
  <si>
    <t>내용연수 단축으로 감가상각비를 줄이는 회계 기법이다</t>
  </si>
  <si>
    <t>단가·유지보수비 상승으로 총비용이 일반 제품보다 높게 나타난다</t>
  </si>
  <si>
    <t>초기 단가는 높아도 장기적인 총소유비용(LCC)은 절감된다</t>
  </si>
  <si>
    <t>미래 운영·폐기 비용은 평가 지표에서 배제된다</t>
  </si>
  <si>
    <t>* 정답 (③): 녹색제품은 친환경 소재 및 고효율 기술 적용으로 초기 단가는 높을 수 있으나, 에너지 절감과 폐기 시 처리 비용 감소 등으로 전체 생애주기비용(LCC)은 낮아지는 것이 기대효과입니다.</t>
  </si>
  <si>
    <t>공공조달과 법제도 이해 - 5. 공공조달법률 이해</t>
  </si>
  <si>
    <t>[상황] 한 시민이 '공공계약은 국가가 우월한 지위에서 일방적으로 명령하는 행정처분 아니냐'고 물었다. 이 질문에 대한 올바른 답변은?</t>
  </si>
  <si>
    <t>맞다. 민법의 원리는 전혀 적용되지 않는다</t>
  </si>
  <si>
    <t>맞다. 공공계약은 행정처분의 일종이다</t>
  </si>
  <si>
    <t>아니다. 국가계약법이 민법보다 상위의 일반법이다</t>
  </si>
  <si>
    <t>아니다. 공공계약은 국가가 사경제 주체로서 상대방과 대등한 지위에서 체결하는 사법상 계약이다</t>
  </si>
  <si>
    <t>* 정답 (④): 판례에 따르면 공공계약은 국가가 사경제 주체로서 상대방과 대등한 지위에서 체결하는 사법상 계약이며, 국가계약법은 민법의 특별법적 지위를 가짐.</t>
  </si>
  <si>
    <t>[상황] 발주기관이 입찰공고를 낸 뒤 조달기업이 이에 응해 입찰서를 제출했다. 이 단계에서 발주기관의 낙찰자 결정이 '승낙'에 해당한다면, '청약'에 해당하는 행위는 무엇인가?</t>
  </si>
  <si>
    <t>조달기업의 입찰서 제출</t>
  </si>
  <si>
    <t>발주기관의 계약서 작성 요청</t>
  </si>
  <si>
    <t>발주기관의 입찰공고</t>
  </si>
  <si>
    <t>조달기업의 계약이행 착수</t>
  </si>
  <si>
    <t>* 정답 (①): 입찰공고는 청약의 유인이며, 이에 응해 조달기업이 제출하는 입찰서가 구체적인 청약에 해당함.</t>
  </si>
  <si>
    <t>[상황] 두 회사가 구두로 물품 공급에 합의했으나 아직 정식 계약서를 작성하지 않았다. 민법상 이 합의의 계약 성립 여부에 대한 설명으로 가장 적절한 것은?</t>
  </si>
  <si>
    <t>계약서 작성만이 유일한 계약 성립 요건이다</t>
  </si>
  <si>
    <t>청약과 승낙의 의사표시가 합치했다면 계약서 작성 여부와 무관하게 원칙적으로 계약이 성립한다</t>
  </si>
  <si>
    <t>계약서를 작성하지 않았으므로 어떠한 경우에도 계약이 성립하지 않는다</t>
  </si>
  <si>
    <t>구두 합의는 법적으로 아무 의미가 없다</t>
  </si>
  <si>
    <t>* 정답 (②): 민법상 계약은 청약과 승낙의 의사표시 합치만으로 성립하는 낙성계약이 원칙이며, 계약서 작성은 증거일 뿐 필수 성립요건은 아님(다만 개별 법령이 별도로 요구하는 경우는 예외).</t>
  </si>
  <si>
    <t>국가기관이 대등한 사경제 주체로서 맺는 '정부계약'에 적용되는 민법상 기본 원칙이 아닌 것은?</t>
  </si>
  <si>
    <t>자유롭게 합의하는 계약자유의 원칙</t>
  </si>
  <si>
    <t>상황 변화를 반영하는 사정변경의 원칙</t>
  </si>
  <si>
    <t>행정 절차를 규율하는 공정·투명의 원칙</t>
  </si>
  <si>
    <t>상호 신뢰를 바탕으로 한 신의성실의 원칙</t>
  </si>
  <si>
    <t>* 정답 (③): '공정·투명의 원칙'은 조달 행정 및 공법상의 원칙이며, 계약 당사자 관계를 규율하는 민법상(사법상) 원칙에 해당하지 않습니다.</t>
  </si>
  <si>
    <t>국가계약법령상 정부계약의 의의와 법적 성질에 대한 설명으로 가장 올바르지 않은 것은?</t>
  </si>
  <si>
    <t>행정 목적을 위한 사법상 계약이다.</t>
  </si>
  <si>
    <t>대가적 의미를 지니는 쌍무계약이다.</t>
  </si>
  <si>
    <t>우월적 지위에서 맺는 편무계약이다.</t>
  </si>
  <si>
    <t>예산 범위 내의 공법적 제약을 받는다.</t>
  </si>
  <si>
    <t>* 정답 (③): 정부계약은 당사자가 서로 대가적 의미를 지니는 의무를 부담하는 '쌍무계약'이며, 공권력을 통한 '편무계약'이 아닙니다.</t>
  </si>
  <si>
    <t>[상황] 계약 상대방을 착각해 잘못된 상대와 계약을 체결하거나, 상대방의 협박에 못 이겨 계약서에 서명한 경우가 있다. 이러한 사례들이 공통적으로 속하는 민법상 개념은?</t>
  </si>
  <si>
    <t>계약의 해제</t>
  </si>
  <si>
    <t>채무불이행</t>
  </si>
  <si>
    <t>의사표시의 하자</t>
  </si>
  <si>
    <t>부당이득</t>
  </si>
  <si>
    <t>* 정답 (③): 착오, 사기·강박에 의한 의사표시는 비진의 의사표시·통정허위표시와 함께 민법상 의사표시의 하자에 해당함.</t>
  </si>
  <si>
    <t>민법 제107조~제110조</t>
  </si>
  <si>
    <t>[상황] 임대차 계약을 중도에 끝내는 경우와, 매매계약을 처음부터 없었던 것으로 되돌리는 경우가 있다. 전자와 후자에 각각 해당하는 개념을 옳게 짝지은 것은?</t>
  </si>
  <si>
    <t>전자=해지, 후자=해제</t>
  </si>
  <si>
    <t>전자=해제, 후자=해지</t>
  </si>
  <si>
    <t>전자·후자 모두 해지</t>
  </si>
  <si>
    <t>전자·후자 모두 해제</t>
  </si>
  <si>
    <t>* 정답 (①): 임대차처럼 계속적 계약을 장래에 향해 끝내는 것은 해지, 매매처럼 계약을 소급해 처음부터 무효화하는 것은 해제임.</t>
  </si>
  <si>
    <t>민법 제543조~제550조</t>
  </si>
  <si>
    <t>[상황] 건설사가 건물 완공을 목표로 계약을 체결했고, 완공 후 하자가 발견되면 보수 책임을 진다는 조항이 있다. 이 계약의 유형으로 가장 적절한 것은?</t>
  </si>
  <si>
    <t>임치</t>
  </si>
  <si>
    <t>화해</t>
  </si>
  <si>
    <t>위임</t>
  </si>
  <si>
    <t>도급</t>
  </si>
  <si>
    <t>* 정답 (④): 일의 완성을 목적으로 하고 완성물의 하자에 대해 담보책임을 지는 계약은 도급이며, 사무처리 자체를 목적으로 하는 위임과 구분됨.</t>
  </si>
  <si>
    <t>민법 제664조·제667조</t>
  </si>
  <si>
    <t>[상황] 담당자가 개찰이 끝나기 전 낙찰 예정업체에게 '예정가격을 미리 알려달라'는 요청을 받았다. 이 요청에 응해도 되는지에 대한 설명으로 가장 적절한 것은?</t>
  </si>
  <si>
    <t>응해도 된다. 예정가격은 추정가격과 달리 사전 공개가 원칙이다</t>
  </si>
  <si>
    <t>예정가격은 부가가치세를 제외해 산정하므로 공개해도 무방하다</t>
  </si>
  <si>
    <t>응해도 된다. 예정가격은 낙찰자 결정과 무관한 참고자료일 뿐이다</t>
  </si>
  <si>
    <t>응하면 안 된다. 예정가격은 개찰 전까지 공개되지 않으며 낙찰자·계약금액 결정의 기준이 되므로 사전 유출은 부정행위이다</t>
  </si>
  <si>
    <t>* 정답 (④): 예정가격은 개찰 전까지 비공개이며 낙찰자·계약금액 결정의 기준이 되므로, 사전 유출 요청에 응하는 것은 부정행위에 해당함.</t>
  </si>
  <si>
    <t>국가계약법 시행령 제2조·제7조의2</t>
  </si>
  <si>
    <t>[상황] 한 담당자가 복수예비가격 제도의 목적을 '절차를 빠르게 끝내기 위한 것'이라고 설명했다. 이 설명에 대한 평가로 가장 적절한 것은?</t>
  </si>
  <si>
    <t>이 제도는 목적 자체가 정해져 있지 않다</t>
  </si>
  <si>
    <t>옳지 않다. 이 제도는 특정인이 사전에 예정가격을 알 수 없도록 해 입찰의 공정성을 확보하는 데 주된 목적이 있다</t>
  </si>
  <si>
    <t>옳다. 신속성과 공정성은 동일한 개념이다</t>
  </si>
  <si>
    <t>옳다. 신속성이 유일한 목적이다</t>
  </si>
  <si>
    <t>* 정답 (②): 복수예비가격 제도는 신속성보다 예정가격 사전 유출을 막아 공정성을 확보하는 데 주된 목적이 있음.</t>
  </si>
  <si>
    <t>국가계약법 시행령 제7조의2</t>
  </si>
  <si>
    <t>예정가격 결정 전, 예산에 계상된 금액 등을 기준으로 부가세 및 관급자재 대금을 제외하고 산정한 가격은?</t>
  </si>
  <si>
    <t>고시금액</t>
  </si>
  <si>
    <t>기초금액</t>
  </si>
  <si>
    <t>예정가격</t>
  </si>
  <si>
    <t>추정가격</t>
  </si>
  <si>
    <t>* 정답 (④): 부가세 등을 제외한 순수 사업 예산 기준액은 '추정가격'입니다. (기초금액, 예정가격 등과 엄격히 구별됨)</t>
  </si>
  <si>
    <t>국가계약법령상 입찰 및 계약방법을 결정하는 '추정가격' 기준에 대한 설명으로 올바르지 않은 것은?</t>
  </si>
  <si>
    <t>국제입찰 의무 대상은 추정가격이 고시금액 이상인 경우이다.</t>
  </si>
  <si>
    <t>지역제한경쟁입찰은 추정가격이 고시금액 미만일 때 적용된다.</t>
  </si>
  <si>
    <t>일반적인 물품 소액수의계약 한도는 추정가격 1억 원 이하이다.</t>
  </si>
  <si>
    <t>물품 제조·구매 지명경쟁입찰은 추정가격 1억 원 미만으로 제한된다.</t>
  </si>
  <si>
    <t>* 정답 (④): 특수물품 제조 및 구매에 대한 지명경쟁입찰은 추정가격 1억 원 미만이 아니라 '1억 원 이하'인 경우에 가능합니다.</t>
  </si>
  <si>
    <t>전자입찰의 전체 진행 절차 중, 기초금액을 바탕으로 생성된 '예정가격'이 실질적인 효력을 발휘하여 결정되는 단계는?</t>
  </si>
  <si>
    <t>개찰 단계</t>
  </si>
  <si>
    <t>공고 단계</t>
  </si>
  <si>
    <t>투찰 단계</t>
  </si>
  <si>
    <t>계약 단계</t>
  </si>
  <si>
    <t>* 정답 (①): 투찰 시점에는 업체와 발주기관 모두 최종 예정가격을 알 수 없으며, 투찰 마감 후 '개찰'을 진행할 때 난수 추첨 등을 통해 예정가격이 확정되어 낙찰 기준이 됩니다.</t>
  </si>
  <si>
    <t>예산을 확정하기 어렵거나 긴급한 사유로 1인 견적구매, 계산계약, 기술제안입찰, 일괄입찰 등을 진행할 때 예외적으로 적용하는 예정가격 결정 방식은?</t>
  </si>
  <si>
    <t>시스템 난수 추첨을 통해 결정하는 복수예가</t>
  </si>
  <si>
    <t>가장 낮은 견적서를 제출한 업체의 최저가격</t>
  </si>
  <si>
    <t>기초금액 자체를 예가로 확정 짓는 단일예가</t>
  </si>
  <si>
    <t>예정가격을 아예 작성하지 않고 진행하는 비예가</t>
  </si>
  <si>
    <t>* 정답 (④): 일괄입찰(턴키), 대안입찰, 협상에 의한 계약 등 업체가 가격과 기술을 자율적으로 제안해야 하는 특수한 형태의 계약에서는 예정가격을 생략하는 '비예가' 방식을 씁니다.</t>
  </si>
  <si>
    <t>입찰 참가 업체들이 투찰 금액을 결정하는 절대적 기준이 되는 '기초금액'의 법정 공개 시점으로 가장 원칙적이고 올바른 것은?</t>
  </si>
  <si>
    <t>업체의 철저한 비밀 유지를 위해 개찰이 완료되기 전까지는 시스템상 절대 공개하지 않는다.</t>
  </si>
  <si>
    <t>투찰의 기준이 되므로 입찰공고와 동시에, 또는 늦어도 입찰서 접수 개시일 5일 전까지는 공개해야 한다.</t>
  </si>
  <si>
    <t>입찰의 공정성을 확보하기 위해 개찰을 완료하고 낙찰예정자를 선정한 직후에 즉시 공개한다.</t>
  </si>
  <si>
    <t>개찰 후 적격심사 대상자로 선정된 1~3순위 업체가 심사 서류를 제출할 때에만 한정하여 공개한다.</t>
  </si>
  <si>
    <t>* 정답 (②): 기초금액은 업체들이 예가를 유추하고 투찰 금액을 산정하는 기준표이므로, 투찰 시작 전(접수 개시일 5일 전)에 미리 공개하여 분석할 시간을 주어야 합니다.</t>
  </si>
  <si>
    <t>조달청 내자구매업무 처리규정 제30조</t>
  </si>
  <si>
    <t>기초금액이 1억 원으로 산정된 일반용역 입찰에서, 해당 기관의 복수예비가격 산출 범위가 '98% ~ 102%'로 설정되었다면 복수예비가격이 생성되는 최소값과 최대값은?</t>
  </si>
  <si>
    <t>9,900만 원 / 1억 1백만 원</t>
  </si>
  <si>
    <t>1억 원 / 1억 2백만 원</t>
  </si>
  <si>
    <t>9,000만 원 / 1억 1천만 원</t>
  </si>
  <si>
    <t>9,800만 원 / 1억 2백만 원</t>
  </si>
  <si>
    <t>* 정답 (④): 1억 원의 98%는 9,800만 원, 102%는 1억 200만 원(1억 2백만 원)이므로 이 범위 내에서 15개의 복수예비가격이 무작위로 생성됩니다.</t>
  </si>
  <si>
    <t>국가계약법령상 공공조달 계약 업무에 적용되는 여러 금액 기준 중, '추정가격'에 대한 올바른 법적·실무적 정의는?</t>
  </si>
  <si>
    <t>낙찰자 및 계약금액 결정의 기준으로 삼기 위해 발주기관이 사전에 미리 산정하여 비치해 두는 금액</t>
  </si>
  <si>
    <t>복수예비가격을 산정하기 위한 기준이 되며 입찰서 접수 개시 전에 전자조달시스템에 공개하는 금액</t>
  </si>
  <si>
    <t>국제입찰 대상 여부 판단 등의 기준으로 삼기 위해 예정가격 결정 전에 산정하는 부가가치세 제외 금액</t>
  </si>
  <si>
    <t>계약 목적물 완성에 필요한 총 사업비로서 산정된 금액에 부가가치세와 관급자재대가를 모두 합산한 금액</t>
  </si>
  <si>
    <t>* 정답 (③): 「국가를 당사자로 하는 계약에 관한 법률 시행령」 제2조 제1호 및 제7조에 따라 '추정가격'은 국제입찰 대상 여부를 판단하는 기준 등으로 삼기 위해 산정된 가격을 말하며, 실무적으로 부가가치세와 관급자재대가를 제외한 순수 금액을 의미합니다. (①은 예정가격, ②는 기초금액, ④는 추정금액에 대한 설명입니다.)</t>
  </si>
  <si>
    <t>국가계약 및 지방계약 주요 용어 정의에 대한 설명으로 가장 옳은 것은?</t>
  </si>
  <si>
    <t>예정가격 결정 이후에 비로소 산정되는 기준 금액을 추정가격이라 칭한다.</t>
  </si>
  <si>
    <t>국제입찰 적용 대상 기준 금액은 조달청장이 단독으로 정하여 고시한다.</t>
  </si>
  <si>
    <t>지방계약법상 교육·과학·체육 사항은 행안부장관을 교육부장관으로 간주한다.</t>
  </si>
  <si>
    <t>계약체결 전 전체 예산 규모를 뜻하는 예산액은 예정가격과 항상 동일하다.</t>
  </si>
  <si>
    <t>정답 (③) 지방계약법 제3조에 따라 교육 등은 교육부장관 소관임 / ① 추정가격은 예가 결정 전 가격임 / ② 재경부·행안부장관 고시</t>
  </si>
  <si>
    <t>원가계산 시 일반관리비 산정 기준 금액에 대한 설명으로 가장 옳은 것은?</t>
  </si>
  <si>
    <t>일반관리비를 산정하기 위한 기준 합계 금액에는 이윤 비목도 포함된다.</t>
  </si>
  <si>
    <t>일반관리비는 재료비, 노무비, 경비 합계액을 기준으로 일정 비율을 곱한다.</t>
  </si>
  <si>
    <t>계약목적물 제조에 소요되는 직접 노무비는 일반관리비 기준에서 제외된다.</t>
  </si>
  <si>
    <t>계약목적물 제조에 소요되는 모든 제반 경비는 일반관리비 대상이 아니다.</t>
  </si>
  <si>
    <t>정답 (②) 일반관리비는 (재료비+노무비+경비) 합계에 요율을 곱함 / ① 이윤은 제외됨</t>
  </si>
  <si>
    <t>예정가격작성</t>
  </si>
  <si>
    <t>예정가격 결정을 위해 우선적으로 적용하는 가격 산정 기준 순서로 가장 옳은 것은?</t>
  </si>
  <si>
    <t>원가계산가격 - 거래실례가격 - 표준시장단가 - 견적가격 - 감정가격</t>
  </si>
  <si>
    <t>감정가격 - 유사 거래실례가격 - 견적가격 - 거래실례가격 - 원가계산</t>
  </si>
  <si>
    <t>거래실례가격 - 원가계산가격 - 감정가격 및 유사 거래실례가격 - 견적가격</t>
  </si>
  <si>
    <t>거래실례가격 - 감정가격 - 원가계산가격 - 유사 거래실례가격 - 견적가격</t>
  </si>
  <si>
    <t>정답 (③) 1. 거래실례, 2. 원가계산, 3. 감정가·유사거래·견적가 순임</t>
  </si>
  <si>
    <t>국가계약법 시행령 제9조</t>
  </si>
  <si>
    <t>공공계약 예정가격 결정 시 원칙적인 산출 기준 단위로 가장 적절한 것은?</t>
  </si>
  <si>
    <t>계약목적물 전체 단가 평균</t>
  </si>
  <si>
    <t>월별 단위 환산 납품 가액</t>
  </si>
  <si>
    <t>계약목적물 전체에 대한 총액</t>
  </si>
  <si>
    <t>시장 표준 기준 시중 실례 단가</t>
  </si>
  <si>
    <t>정답 (③) 원칙적으로 계약목적물 가격의 '총액'에 대하여 예정가격을 결정함</t>
  </si>
  <si>
    <t>국가계약법 시행령 제8조</t>
  </si>
  <si>
    <t>일정 기간 계속하여 제조·구매하는 계약의 경우, 예정가격 결정 시 예외적으로 적용할 수 있는 산출 기준은?</t>
  </si>
  <si>
    <t>총사업비의 합산 금액</t>
  </si>
  <si>
    <t>계약목적물의 단가</t>
  </si>
  <si>
    <t>분기별 산정 추정가격</t>
  </si>
  <si>
    <t>조달청장의 고시 금액</t>
  </si>
  <si>
    <t>정답 (②) 국가계약법 제8조 단서에 따라 일정 기간 계속되는 제조·공사·수리·가공·매매·공급·임차 등 계약은 예외적으로 '단가'에 대해 예정가격을 결정할 수 있음(단가계약)</t>
  </si>
  <si>
    <t>다음 중 국가계약법령상 예정가격의 작성을 생략할 수 있는 경우로 가장 옳지 않은 것은?</t>
  </si>
  <si>
    <t>국가기관이나 지방자치단체와 계약을 체결하는 경우</t>
  </si>
  <si>
    <t>협상에 의한 계약이나 경쟁적 대화에 의한 계약</t>
  </si>
  <si>
    <t>원가계산이 곤란하여 개산계약을 체결하는 경우</t>
  </si>
  <si>
    <t>전자조달시스템을 통해 견적서를 제출받는 수의계약</t>
  </si>
  <si>
    <t>정답 (④) 견적서를 제출하게 하는 수의계약은 예정가격 생략 대상에서 제외되므로 원칙대로 작성해야 함 / ①·②·③은 모두 예정가격 작성 생략 가능 사유임</t>
  </si>
  <si>
    <t>[상황] 지방자치단체가 지역경제 활성화를 위해 관내 업체에 입찰 참가 우대 조건을 부여했다. 이 조치가 가능한 근거로 가장 적절한 것은?</t>
  </si>
  <si>
    <t>지역업체 우대는 모든 공공기관에 동일하게 적용되는 국가계약법 조항이다</t>
  </si>
  <si>
    <t>국가계약법과 지방계약법은 완전히 동일해 이런 우대가 불가능하다</t>
  </si>
  <si>
    <t>지방자치단체는 어떠한 법령의 적용도 받지 않는다</t>
  </si>
  <si>
    <t>지방계약법은 국가계약법과 기본 골격은 유사하되, 지역제한입찰 등 지역업체 우대 규정을 별도로 두고 있다</t>
  </si>
  <si>
    <t>* 정답 (④): 지방계약법은 국가계약법과 기본 골격은 유사하지만, 지역경제 활성화를 위한 지역제한입찰 등 지역업체 우대 규정을 별도로 두고 있음.</t>
  </si>
  <si>
    <t>국가계약법, 지방계약법 비교</t>
  </si>
  <si>
    <t>[상황] 발주기관이 차세대 정보시스템 구축 용역을 발주하면서, 가격뿐 아니라 시스템 성능·안정성·개발사의 기술력 등을 종합 평가해 계약상대자를 정하려 한다. 가장 적합한 계약방법은?</t>
  </si>
  <si>
    <t>일반 물품 구매 방식의 지명경쟁</t>
  </si>
  <si>
    <t>단순 최저가 경쟁입찰</t>
  </si>
  <si>
    <t>단순 수의계약</t>
  </si>
  <si>
    <t>* 정답 (②): 협상에 의한 계약은 기술성·전문성 평가가 중요한 계약에 적용되며, 정보시스템 구축처럼 비가격적 요소가 중요한 사업에 적합함.</t>
  </si>
  <si>
    <t>정부계약의 실무적·학술적 분류 기준에 해당하지 않는 것은?</t>
  </si>
  <si>
    <t>재정의 수입 또는 지출 여부에 따른 분류</t>
  </si>
  <si>
    <t>조달 목적물이 무엇인가에 따른 세부 분류</t>
  </si>
  <si>
    <t>입찰 전 계약금액의 확정 여부에 따른 분류</t>
  </si>
  <si>
    <t>조달청 내부의 전자 결재 방식에 따른 분류</t>
  </si>
  <si>
    <t>* 정답 (④): 기관 내부의 전자 결재 방식이나 문서 양식 등은 정부계약을 구분하는 학술적·법적 분류 기준이 아닙니다.</t>
  </si>
  <si>
    <t>정부계약을 다양한 실무적 기준에 따라 분류할 때, 오직 '계약체결의 형태'에 속하는 항목으로만 올바르게 나열된 것은?</t>
  </si>
  <si>
    <t>사전에 금액을 고정하는 확정계약, 여러 업체가 참여하는 공동계약, 수년간 이행하는 장기계속계약</t>
  </si>
  <si>
    <t>미리 단가만 정해두는 단가계약, 전체 대가를 고정하는 총액계약, 무형의 기술을 제공받는 용역계약</t>
  </si>
  <si>
    <t>사후에 실비를 정산하는 개산계약, 단일 업체가 수행하는 단독계약, 참가 자격을 제한하는 제한경쟁</t>
  </si>
  <si>
    <t>국회 의결을 받아두는 계속비계약, 경쟁을 배제하고 맺는 수의계약, 건축물을 신축하는 시설공사계약</t>
  </si>
  <si>
    <t>* 정답 (①): 계약체결 형태에는 금액(확정/개산), 수량(총액/단가), 당사자 수(단독/공동), 이행 기간(장기계속/계속비) 기준이 모두 포함됩니다. 반면 용역계약과 시설공사는 '목적물', 제한경쟁과 수의계약은 '계약(입찰) 방법'에 해당하여 오답입니다.</t>
  </si>
  <si>
    <t>계약 대상이 되는 '목적물의 성질'에 따른 공공계약의 분류로 볼 수 없는 것은?</t>
  </si>
  <si>
    <t>무형의 가치를 제공받는 각종 용역계약</t>
  </si>
  <si>
    <t>유형의 재화를 획득하는 물품구매계약</t>
  </si>
  <si>
    <t>수년에 걸쳐 예산을 나누는 장기계속계약</t>
  </si>
  <si>
    <t>건축물이나 토목을 수행하는 시설공사계약</t>
  </si>
  <si>
    <t>* 정답 (③): 장기계속계약은 조달 목적물이 아니라 '계약체결 형태(기간 장단 및 예산 확보 방식)'에 따른 분류입니다.</t>
  </si>
  <si>
    <t>공공계약을 실무적으로 분류하는 정식 체계 중에서, 일반적으로 통용되지 않는 분류 기준은?</t>
  </si>
  <si>
    <t>최종 계약금액이 사전에 확정적으로 결정되어 있는지에 따른 금액 확정 여부 분류</t>
  </si>
  <si>
    <t>최종 납품 및 인도가 이루어지는 지리적 장소가 결정되었는지에 따른 장소 확정 여부 분류</t>
  </si>
  <si>
    <t>목적물의 납품 수량이 체결 시점에 미리 특정되어 있는지에 따른 물량 확정 여부 분류</t>
  </si>
  <si>
    <t>사업 이행에 필요한 시일이 회계 연도를 넘기는지에 따른 이행 기간 장단 여부 분류</t>
  </si>
  <si>
    <t>* 정답 (②): 계약의 금액, 수량, 이행기간 확정 여부는 공식적인 정부계약 분류 기준이나, '장소의 물리적 확정 여부'는 정식 분류 체계가 아닙니다.</t>
  </si>
  <si>
    <t>상용화되지 않은 개발시제품 제조나 긴급한 재난 복구 등 사전에 원가를 정확히 계산할 수 없을 때 적용하는 계약은?</t>
  </si>
  <si>
    <t>낙찰 금액을 사전에 고정하는 확정계약</t>
  </si>
  <si>
    <t>이행 후 실비를 사후 정산하는 개산계약</t>
  </si>
  <si>
    <t>단가만 합의하여 계속 수급하는 단가계약</t>
  </si>
  <si>
    <t>일부 비목별로만 사후 정산하는 조건부계약</t>
  </si>
  <si>
    <t>* 정답 (②): 긴급복구나 개발시제품 등 사전에 예정가격을 도저히 정할 수 없는 경우에는 정산조건부인 '개산계약' 방식으로 우선 추진합니다.</t>
  </si>
  <si>
    <t>'계약 목적물에 대한 수량의 확정 여부'를 기준으로 한 계약 분류 체계에 속하지 않는 제도는 무엇인가?</t>
  </si>
  <si>
    <t>품질이 유사한 다수 업체를 등록시켜 선택권을 부여하는 다수공급자계약</t>
  </si>
  <si>
    <t>연도별로 예산을 분할하여 차수계약 형식으로 맺는 장기계속계약</t>
  </si>
  <si>
    <t>공통 규격 품목을 대상으로 단가만 미리 정해두는 제3자를 위한 단가계약</t>
  </si>
  <si>
    <t>소모성 물품에 대해 수량을 고정하지 않고 개별 단가만 합의하는 단가계약</t>
  </si>
  <si>
    <t>* 정답 (②): 장기계속계약은 수량의 확정 여부가 아니라 '계약이행기간의 장단' 및 당해 연도 예산 반영 방식에 따른 분류입니다.</t>
  </si>
  <si>
    <t>수년에 걸쳐 이행되는 대규모 국가 사업에 적용되는 '장기계속계약'과 '계속비계약'의 차이점으로 가장 바른 것은?</t>
  </si>
  <si>
    <t>두 계약 모두 사업 완료 마지막 연도에 대금을 일괄 지급하는 공통점이 있다.</t>
  </si>
  <si>
    <t>계속비계약은 예산 한도 내에서만 차수별로 계약하는 매우 유연한 방식이다.</t>
  </si>
  <si>
    <t>장기계속계약은 당해 연도 예산으로 차수계약하고, 계속비는 총액으로 연속 이행한다.</t>
  </si>
  <si>
    <t>장기계속계약은 사업 총액과 연부액을 국회의 의결을 거쳐 미리 엄격히 확정한다.</t>
  </si>
  <si>
    <t>* 정답 (③): 장기계속계약은 당해 연도 확보 예산만으로 연도별 차수계약을 맺지만, 계속비계약은 국회 의결을 받아 연부액에 따라 끊김 없이 이행합니다.</t>
  </si>
  <si>
    <t>다수의 업체가 상호 협력하여 대형 조달 사업을 수행하는 '공동계약' 제도에 대한 설명 중 사실과 명백히 다른 것은?</t>
  </si>
  <si>
    <t>계약 목적물 성질상 부적절한 경우 외에는 중소기업 보호를 위해 원칙적으로 허용한다.</t>
  </si>
  <si>
    <t>분담이행방식은 각자의 출자비율에 따라 자본을 섞어 연대하여 이행하는 방식을 말한다.</t>
  </si>
  <si>
    <t>책임 소재를 명확히 하기 위해 공동이행방식의 공동수급체 구성원은 5인 이하로 제한된다.</t>
  </si>
  <si>
    <t>공동계약의 유형은 크게 자본을 섞는 공동이행방식과 과업(공종)을 분담하는 분담이행이 있다.</t>
  </si>
  <si>
    <t>* 정답 (②): 출자비율에 따라 '연대하여' 이행하는 방식은 '공동이행방식'입니다. '분담이행방식'은 면허나 공종에 따라 각자 과업을 분담하여 독립적으로 책임지는 방식입니다.</t>
  </si>
  <si>
    <t>대형 사업을 다수가 수행하는 공동계약 유형 중 '공동이행방식'과 '분담이행방식'의 차이를 명확히 구분한 것은?</t>
  </si>
  <si>
    <t>공동이행은 공사 구역을 엄격히 나누고, 분담이행은 지분율에 따라 손익을 연대 책임지는 방식이다.</t>
  </si>
  <si>
    <t>공동이행은 대표사가 모든 하도급 책임을 지고, 분담이행은 구성원 전원이 직접 시공하는 방식이다.</t>
  </si>
  <si>
    <t>공동이행은 대표사 1인만 무한 책임을 지고, 분담이행은 각 지분율로 발주처와 개별 계약하는 방식이다.</t>
  </si>
  <si>
    <t>공동이행은 자본을 섞어 출자비율로 연대 이행하며, 분담이행은 분담 내용을 각자 독립 이행하는 방식이다.</t>
  </si>
  <si>
    <t>* 정답 (④): 공동이행은 구성원 전원이 출자비율에 따라 '연대책임'을 지는 방식이며, 분담이행은 각자가 맡은 공종만 독립적으로 책임지고 이행하여 연대책임이 없는 방식입니다.</t>
  </si>
  <si>
    <t>공공계약을 실무적으로 세분화할 때, '계약금액의 사전 확정 여부'를 기준으로 분류하는 방식에 해당하지 않는 것은?</t>
  </si>
  <si>
    <t>원가 계산을 통해 예정가격 내에서 낙찰 금액을 확정 지어 체결하는 가장 통상적인 확정계약</t>
  </si>
  <si>
    <t>정확한 원가 산정이 불가능하여 대략 체결 후 이행 완료 시점에 실비로 사후 정산하는 개산계약</t>
  </si>
  <si>
    <t>기술 능력과 가격을 종합 심층 평가하여 가장 유리한 조건을 제시한 자와 맺는 협상에 의한 계약</t>
  </si>
  <si>
    <t>일부 비목별 금액을 결정할 수 없어 일단 체결 후 이행 뒤 해당 비목만 정산하는 조건부계약</t>
  </si>
  <si>
    <t>* 정답 (③): 확정, 개산, 조건부계약은 '금액의 확정 여부'에 따른 분류이나, '협상에 의한 계약'은 계약 체결 형태가 아닌 '낙찰자를 선정하는 방식(결정 기준)'의 종류입니다.</t>
  </si>
  <si>
    <t>정부계약의 유형 및 회계연도 예산 집행 특성에 대한 설명으로 가장 올바른 것은?</t>
  </si>
  <si>
    <t>장기계속계약은 사업 총액으로 입찰하는 것이 불가능하므로, 각 회계연도 예산 범위 내에서 매년 별도의 새로운 단가 입찰을 실시해야 한다.</t>
  </si>
  <si>
    <t>단일공사로서 설계서 등에 의해 전체 사업내용이 확정된 공사는 지역 업체 참여 확대를 위해 가급적 잘게 분할하여 계약하는 것이 원칙이다.</t>
  </si>
  <si>
    <t>성질상 중단할 수 없는 상시 용역 계약이라도 예산 배정 문제로 반드시 해당 회계연도가 공식 시작된 이후에만 계약을 체결해야 한다.</t>
  </si>
  <si>
    <t>'개산계약(槪算契約)'은 계약 체결 시점에 목적물의 금액을 확정할 수 없을 때 맺는 방식이며, 이행 완료 후 반드시 사후정산 절차를 거쳐야 한다.</t>
  </si>
  <si>
    <t>* 정답 (④): 개발 시제품 제작 등 사전에 원가를 확정할 수 없는 경우 개산계약을 체결하며, 이는 사후 원가 검토를 통한 정산이 필수적입니다. (오답 노트: ① 장기계속계약은 총액으로 입찰 집행, ② 단일공사 분할계약 금지 원칙(시행령 제68조), ③ 임차·운송 등 성질상 중단할 수 없는 계약은 회계연도 개시 전이라도 미리 체결 가능(법 제20조))</t>
  </si>
  <si>
    <t>「국가계약법」 제23조 및 동법 시행령 제70조</t>
  </si>
  <si>
    <t>공동수급체를 구성하여 입찰에 참여하는 공동계약 제도에 대한 설명으로 가장 올바른 것은?</t>
  </si>
  <si>
    <t>공동수급체의 구성원은 계약 이행에 필요한 면허, 등록 등의 자격요건을 대표사 1인만 갖추고 있으면 나머지 구성원은 자격이 없어도 무방하다.</t>
  </si>
  <si>
    <t>건설업 등의 균형발전을 위해 공동계약을 체결할 때, 담합 방지를 위해 반드시 공사현장 관할 구역 외의 업체를 대표사로 지정해야 한다.</t>
  </si>
  <si>
    <t>국가계약법령상 공동계약은 강제 규정이 아니며, 발주기관이 목적과 성질을 고려하여 필요하다고 인정할 때 재량으로 채택할 수 있다.</t>
  </si>
  <si>
    <t>광역시·도는 관할구역 내 기관의 공통 필요 물자에 대해 타 지자체와의 형평성을 이유로 제3자를 위한 단가계약을 체결할 권한이 없다.</t>
  </si>
  <si>
    <t>* 정답 (③): 법령상 "공동계약에 의할 수 있다"라고 규정되어 있어, 목적과 성질상 부적합한 경우 단독 계약으로 진행할 수 있는 발주기관의 재량 사항입니다. (① 구성원 각자가 요건 충족 필요)</t>
  </si>
  <si>
    <t>「국가계약법」 제25조</t>
  </si>
  <si>
    <t>정부는 계속적인 제조, 수리, 공급 등을 요하는 물품에 대하여 일정 기간 동안 단가만을 정하여 계약을 맺고, 납품 요구 시마다 수량에 따라 대금을 지급하는 형태의 계약을 체결할 수 있습니다. 이 계약 방식의 명칭으로 올바른 것은?</t>
  </si>
  <si>
    <t>개산계약</t>
  </si>
  <si>
    <t>희망수량경쟁계약</t>
  </si>
  <si>
    <t>단가계약</t>
  </si>
  <si>
    <t>사후정산조건부계약</t>
  </si>
  <si>
    <t>* 정답 (③): 일정 기간 계속하여 제조나 공급이 필요한 경우 총 수량을 확정하지 않고 '단가(Unit Price)'에 대해서만 경쟁하여 체결하는 방식을 단가계약이라 합니다. 다수공급자계약(MAS)의 기본 형태입니다.</t>
  </si>
  <si>
    <t>「국가계약법」 제22조</t>
  </si>
  <si>
    <t>입찰 전에 예정가격을 구성하는 일부 비목별 금액을 명확히 결정할 수 없는 경우 예외적으로 채택하는 ( ㉮ )계약 방식과, 계약 이행 완료 후 실제 투입된 비용을 검토하여 최종 금액을 ( ㉯ )하는 후속 절차를 바르게 짝지은 것은?</t>
  </si>
  <si>
    <t>㉮ 총액계약 - ㉯ 감액</t>
  </si>
  <si>
    <t>㉮ 사후원가검토조건부계약(개산계약) - ㉯ 정산</t>
  </si>
  <si>
    <t>㉮ 단가계약 - ㉯ 설계변경</t>
  </si>
  <si>
    <t>㉮ 희망수량계약 - ㉯ 확정</t>
  </si>
  <si>
    <t>* 정답 (②): 신제품 개발 등 사전에 원가 산정이 곤란한 경우 일부 비목을 사후에 원가검토 조건으로 맺는 '개산계약(사후원가검토조건부계약)'을 체결하며, 완료 후 원가계산기관의 검토를 거쳐 대금을 '정산'해야 합니다.</t>
  </si>
  <si>
    <t>「국가계약법 시행령」 제9조 및 제73조</t>
  </si>
  <si>
    <t>[상황] A기관이 B기업을 낙찰자로 통지했으나, B기업이 사정을 이유로 계약체결을 거부했다. B기업이 주장할 수 없는 것으로 가장 적절한 것은?</t>
  </si>
  <si>
    <t>낙찰자 결정은 본계약의 예약 성립으로 볼 수 있다는 이해</t>
  </si>
  <si>
    <t>정당한 이유 없이 거부했으므로 입찰보증금이 귀속될 수 있다는 점에 대한 이의</t>
  </si>
  <si>
    <t>아직 본계약이 성립하지 않았으므로 이행을 강제당하지 않는다는 주장</t>
  </si>
  <si>
    <t>예약상 채무불이행에 대한 책임을 질 수 있다는 점</t>
  </si>
  <si>
    <t>* 정답 (②): B기업 입장에서는 오히려 입찰보증금 귀속에 이의를 제기하기 어려우며, 정당한 이유 없는 계약체결 거부는 예약상 채무불이행이 되어 입찰보증금이 귀속될 수 있음.</t>
  </si>
  <si>
    <t>[상황] 신입 직원이 '적격심사낙찰제는 기술제안서를 평가해 순위를 매기는 방식이 핵심'이라고 잘못 이해하고 있었다. 올바른 설명은?</t>
  </si>
  <si>
    <t>입찰가격 점수만으로 결정하는 방식이다</t>
  </si>
  <si>
    <t>최저가 입찰자부터 순서대로 계약이행능력을 심사해 종합평점이 기준 이상인 최초 통과자를 낙찰자로 정하는 방식이다</t>
  </si>
  <si>
    <t>기술제안서 평가가 핵심이다</t>
  </si>
  <si>
    <t>모든 공공계약에 예외 없이 적용되는 유일한 방식이다</t>
  </si>
  <si>
    <t>* 정답 (②): 적격심사낙찰제는 최저가 입찰자부터 순차적으로 계약이행능력(시공경험·재무상태 등)을 심사해 기준 이상인 최초 통과자를 낙찰자로 정하는 방식임.</t>
  </si>
  <si>
    <t>[상황] 신입 직원이 경쟁입찰 흐름을 '낙찰자결정 → 입찰공고 → 예정가격결정 → 입찰서제출' 순서로 잘못 외우고 있었다. 올바른 순서는?</t>
  </si>
  <si>
    <t>입찰공고 → 입찰서제출 → 예정가격결정 → 낙찰자결정</t>
  </si>
  <si>
    <t>입찰서제출 → 입찰공고 → 예정가격결정 → 낙찰자결정</t>
  </si>
  <si>
    <t>낙찰자결정 → 예정가격결정 → 입찰공고 → 입찰서제출</t>
  </si>
  <si>
    <t>예정가격결정 → 입찰공고 → 입찰서제출 → 낙찰자결정</t>
  </si>
  <si>
    <t>* 정답 (①): 일반적인 경쟁입찰은 입찰공고 → 입찰서 제출 → 예정가격 결정 → 낙찰자 결정 순으로 진행됨.</t>
  </si>
  <si>
    <t>[상황] 계약담당공무원과 계약상대자가 계약서 초안까지 주고받았지만 아직 서로 기명·날인하지 않았다. 국가계약법상 이 시점에서 계약이 성립했다고 볼 수 있는가?</t>
  </si>
  <si>
    <t>성립했다. 낙찰자 결정 통지 시점에 이미 확정되었다</t>
  </si>
  <si>
    <t>성립 여부는 계약보증금 납부 시점에 좌우된다</t>
  </si>
  <si>
    <t>성립하지 않았다. 계약은 계약서에 양 당사자가 기명·날인함으로써 확정된다</t>
  </si>
  <si>
    <t>성립했다. 초안 송부만으로 계약이 확정된다</t>
  </si>
  <si>
    <t>* 정답 (③): 국가계약법은 계약담당공무원과 계약상대자가 계약서를 작성하고 기명·날인함으로써 계약이 확정된다고 규정함.</t>
  </si>
  <si>
    <t>국가계약법 제11조</t>
  </si>
  <si>
    <t>[상황] 계약상대자가 '계약보증금은 입찰 참가를 위해 내는 돈 아니냐'고 물었다. 올바른 설명은?</t>
  </si>
  <si>
    <t>아니다. 그것은 입찰보증금이며, 계약보증금은 계약금액의 10% 이상을 계약체결 시 납부해 이행을 담보하는 것으로 정상 이행 시 반환된다</t>
  </si>
  <si>
    <t>맞다. 계약을 이행해도 반환되지 않는다</t>
  </si>
  <si>
    <t>아니다. 계약보증금은 5% 이상만 내면 된다</t>
  </si>
  <si>
    <t>맞다. 입찰 참가 시 납부하는 것이다</t>
  </si>
  <si>
    <t>* 정답 (①): 계약보증금은 계약체결 시 계약이행을 담보하기 위해 납부하는 것(계약금액 10% 이상)으로, 입찰 참가를 위한 입찰보증금과 구분되며 정상 이행 시 반환됨.</t>
  </si>
  <si>
    <t>국가계약법 시행령 제50조·제51조</t>
  </si>
  <si>
    <t>[상황] 계약체결 후 65일이 지난 시점에 원자재 가격이 4% 상승해, 계약상대자가 물가변동에 따른 계약금액 조정을 신청했다. 이 신청의 인정 여부로 가장 적절한 것은?</t>
  </si>
  <si>
    <t>물가변동 조정 신청은 애초에 법령상 허용되지 않는다</t>
  </si>
  <si>
    <t>등락률 요건은 충족했으나 기간 요건(90일 이상)을 충족하지 못해 조정 대상이 아니다</t>
  </si>
  <si>
    <t>기간과 무관하게 등락률만 넘으면 항상 인정된다</t>
  </si>
  <si>
    <t>기간과 등락률 요건을 모두 충족했으므로 인정된다</t>
  </si>
  <si>
    <t>* 정답 (②): 물가변동으로 인한 계약금액 조정은 계약체결 후 90일 이상 경과와 등락률(품목조정률·지수조정률) 3% 이상을 모두 충족해야 하므로, 65일 경과만으로는 요건 미충족임.</t>
  </si>
  <si>
    <t>국가계약법 시행령 제64조</t>
  </si>
  <si>
    <t>[상황] 담당자가 건축물 주요구조체(기둥·보·내력벽 등)의 하자담보책임기간을 5년으로 잘못 기재했다. 올바른 기간은?</t>
  </si>
  <si>
    <t>10년</t>
  </si>
  <si>
    <t>3년</t>
  </si>
  <si>
    <t>* 정답 (①): 건축물 주요구조체의 하자담보책임기간은 5년이 아니라 10년임(부위별로 1~10년 범위에서 차등 적용).</t>
  </si>
  <si>
    <t>건설산업기본법 시행령 [별표4]</t>
  </si>
  <si>
    <t>[상황] 담당자가 지체상금 산정 원리를 '천재지변으로 지연되었어도 예외 없이 부과해야 한다'고 잘못 설명했다. 옳게 고친 설명은?</t>
  </si>
  <si>
    <t>천재지변 등 불가항력적 사유로 인한 지체에는 지체상금을 부과하지 않는다</t>
  </si>
  <si>
    <t>지체상금은 손해배상과 전혀 무관한 별개의 벌금이다</t>
  </si>
  <si>
    <t>지체상금은 지체일수와 관계없이 정액으로 부과된다</t>
  </si>
  <si>
    <t>천재지변 여부와 무관하게 항상 지체상금을 부과한다</t>
  </si>
  <si>
    <t>* 정답 (①): 천재지변 등 불가항력적 사유로 인한 이행지체는 정당한 사유로 인정되어 지체상금이 부과되지 않음.</t>
  </si>
  <si>
    <t>국가계약법 시행령 제74조</t>
  </si>
  <si>
    <t>정부계약의 체결 과정 및 계약보증금 제도에 대한 설명으로 가장 올바른 것은?</t>
  </si>
  <si>
    <t>장기계속공사 등은 당해 연도의 1차 계약금액이 아닌 사업 전체 규모인 총공사금액을 기준으로 계약보증금을 산정해야 한다.</t>
  </si>
  <si>
    <t>지방자치단체는 시스템 장애 대비를 위해 수기 문서로 계약서를 작성하는 것을 원칙으로 한다.</t>
  </si>
  <si>
    <t>계약보증금 납부를 예외적으로 면제할 때에는 별도 서류 없이 구두 지급각서로 갈음할 수 있다.</t>
  </si>
  <si>
    <t>계약담당자와 계약상대자가 구두로 최종 합의한 시점에 즉각적으로 계약이 확정된다.</t>
  </si>
  <si>
    <t>* 정답 (①): 장기계속계약은 전체 사업 규모에 대한 책임을 담보하기 위해, 1차 계약 체결 시 해당 연도 계약액이 아닌 '총공사(계약)금액'의 10% 이상을 보증금으로 납부해야 합니다. (오답 노트: ④ 서명/날인 필수, ② 전자문서 원칙, ③ 서면 지급각서 필수)</t>
  </si>
  <si>
    <t>「국가계약법 시행령」 제50조</t>
  </si>
  <si>
    <t>정부 공사계약에 있어서 계약상대자의 이행보증 방법에 대한 설명으로 가장 올바른 것은?</t>
  </si>
  <si>
    <t>공사계약의 이행보증 방법은 현금 등을 납부하는 계약보증금 납부 방식 한 가지로만 엄격히 제한된다.</t>
  </si>
  <si>
    <t>발주기관은 계약상대자가 계약이행보증방법의 변경을 요청하는 경우, 관련 법령에 따라 1회에 한하여 이를 변경하게 할 수 있다.</t>
  </si>
  <si>
    <t>발주기관은 공사계약의 특성과 무관하게 항상 계약상대자가 두 가지 이행보증 방법 중 하나를 자유롭게 선택하도록 보장해야 한다.</t>
  </si>
  <si>
    <t>계약이행 보증 후 계약상대자가 계약이행보증방법의 변경을 요청하는 경우, 발주기관은 정당한 사유만 있다면 횟수 제한 없이 여러 번 변경하게 할 수 있다.</t>
  </si>
  <si>
    <t>* 정답 (②): 「국가계약법 시행령」 제52조 제2항에 따라, 계약이행보증방법의 변경 요청이 있는 경우 발주기관은 '1회에 한하여' 변경하게 할 수 있습니다. (오답 노트: ① 보증금 납부와 이행보증서 제출 두 가지가 있음, ③ 동조 제1항 단서에 따라 공사 특성상 필요한 경우 보증서 제출 방식으로 한정할 수 있으므로 항상 자유로운 것은 아님, ④ 1회 제한 규정 존재)</t>
  </si>
  <si>
    <t>「국가계약법 시행령」 제52조</t>
  </si>
  <si>
    <t>[상황] 계약상대자가 '분쟁조정위원회의 조정안은 그 자체로 법원 판결과 동일하다'고 알고 있었다. 이 이해에 대한 평가로 가장 적절한 것은?</t>
  </si>
  <si>
    <t>정확하다. 조정안 자체가 확정판결과 동일한 효력을 갖는다</t>
  </si>
  <si>
    <t>정확하다. 조정 신청만으로 곧바로 확정된다</t>
  </si>
  <si>
    <t>이 위원회의 조정안은 어떤 경우에도 법적 효력이 없다</t>
  </si>
  <si>
    <t>부정확하다. 조정안은 권고적 효력을 가지며, 당사자가 수락하거나 일정 기간 이의를 제기하지 않을 때 비로소 재판상 화해와 같은 효력이 발생한다</t>
  </si>
  <si>
    <t>* 정답 (④): 조정안 자체는 권고적 효력을 가질 뿐이며, 당사자 수락 또는 일정 기간 이의 미제기 시 재판상 화해와 동일한 효력이 발생함.</t>
  </si>
  <si>
    <t>[상황] A업체는 국가기관에 납품을 완료하여 2021년 3월 1일에 1억 원의 대금청구권이 발생하였다. 발주기관은 예산 부족을 이유로 지급을 미루다가, 3년이 지난 2024년 3월 1일에 대금의 일부인 2천만 원을 우선 지급하였다. 나머지 8천만 원에 대한 A업체의 대금청구권 소멸시효는 언제 최종 완성되는가? (단, 국가재정법상 시효를 적용하며, 이후 추가적인 시효 중단 사유는 없다고 가정한다.)</t>
  </si>
  <si>
    <t>2026년 3월 1일 (최초 발생일로부터 5년)</t>
  </si>
  <si>
    <t>2027년 3월 1일 (일부 지급일로부터 3년)</t>
  </si>
  <si>
    <t>2029년 3월 1일 (일부 지급일로부터 5년 새로 기산)</t>
  </si>
  <si>
    <t>2031년 3월 1일 (최초 발생일로부터 10년)</t>
  </si>
  <si>
    <t>* 정답 (③): 「국가재정법」 제96조에 따라 국가에 대한 금전채권은 5년의 소멸시효가 적용된다. 그러나 채무자인 국가가 대금의 일부를 지급한 것은 「민법」상 '채무의 승인'에 해당하여 진행 중이던 소멸시효가 중단된다(국가재정법 제97조 및 민법 제168조). 시효가 중단된 경우, 해당 시점(일부 지급일인 2024년 3월 1일)부터 5년의 소멸시효가 새롭게 기산되므로 최종 시효 완성일은 2029년 3월 1일이 된다.</t>
  </si>
  <si>
    <t>국가재정법 제96조</t>
  </si>
  <si>
    <t>[상황] 계약상대자가 '선금은 최대한 많이 받을수록 좋으니 계약금액 전액을 요청해도 된다'고 생각했다. 이 이해에 대한 평가로 가장 적절한 것은?</t>
  </si>
  <si>
    <t>옳다. 선금은 계약금액 100%까지 지급 가능하다</t>
  </si>
  <si>
    <t>옳다. 선금은 기성대가와 무관하게 별도로 지급된다</t>
  </si>
  <si>
    <t>옳지 않다. 선금은 계약금액의 일정 상한(통상 100분의 70 이내) 범위에서 지급되며, 기성대가 지급 시 정산된다</t>
  </si>
  <si>
    <t>옳지 않다. 선금 제도 자체가 존재하지 않는다</t>
  </si>
  <si>
    <t>* 정답 (③): 선금은 계약금액 전액이 아니라 일정 상한(계약예규상 100분의 70 이내) 범위에서 지급되며, 기성대가 지급 시마다 정산됨.</t>
  </si>
  <si>
    <t>계약예규(정부 입찰·계약 집행기준)</t>
  </si>
  <si>
    <t>조달청이 사업을 대행하며 수요기관으로부터 징수하는 '구매수수료'에 대한 법적 설명으로 가장 옳지 않은 것은?</t>
  </si>
  <si>
    <t>징수되는 수수료 및 감면 비율은 납품 대금 총액의 100분의 20을 초과할 수 없다.</t>
  </si>
  <si>
    <t>수수료의 감면 및 세부 요율은 조달청장이 단독으로 임의 결정하여 즉시 고시한다.</t>
  </si>
  <si>
    <t>미리 대금을 지급받은 등 특정 요건 충족 시 조달청 내부 기준에 따라 감면할 수 있다.</t>
  </si>
  <si>
    <t>조달수수료는 조달특별회계의 세입으로 편입되며 재정경제부 장관과 협의하여 고시한다.</t>
  </si>
  <si>
    <t>* 정답 (②): 조달수수료율 및 감면 사항은 조달청장이 단독으로 결정하는 것이 아니라, 반드시 재정경제부 장관과 사전 협의를 거쳐야 합니다. (2026년 조직 개편에 따른 소관 부처 변경 반영)</t>
  </si>
  <si>
    <t>조달청 총액계약 및 단가계약의 금액 구간별 '조달수수료율 산정 방식'으로 올바르게 연결된 것은?</t>
  </si>
  <si>
    <t>5천만 원 초과 1억 원 이하 총액계약: 일괄적으로 75만 원의 정액 수수료 고정 부과</t>
  </si>
  <si>
    <t>1억 원을 초과하는 대형 총액계약: 납품 금액이 클수록 수수료율이 높아지는 할증제 적용</t>
  </si>
  <si>
    <t>5천만 원 이하의 소액 총액계약: 계약 금액의 1.07%를 일괄 적용하는 세밀한 정률제 방식</t>
  </si>
  <si>
    <t>10억 원 이하의 단가계약: 0.54%의 정률제 적용 후 금액이 커질수록 초과분 체감 방식 적용</t>
  </si>
  <si>
    <t>* 정답 (④): 단가계약은 10억 원까지 0.54%의 정률제를 적용하며, 그 이상은 '초과분 체감방식(예: 10억 초과~100억까지 0.47%)'을 적용합니다. [오답노트] ① 5천만 원 초과 1억 원 이하 총액계약은 정액제가 아닌 '1.07% 정률제'를 적용합니다. ② 1억 원을 초과하는 총액계약은 할증제가 아니라, 반대로 납품 금액이 클수록 적용 요율이 낮아지는 '초과분 체감방식'을 적용합니다. ③ 5천만 원 이하 총액계약은 정률제가 아닌 '구간별 정액제'를 적용합니다(2천만 원 이하 21만 원, 2천만~5천만 원 53만 원).</t>
  </si>
  <si>
    <t>조달수수료 고시</t>
  </si>
  <si>
    <t>조달사업법령상 수요기관에 부과하는 '조달수수료'를 예외적으로 면제(감면)할 수 있는 법정 사유에 해당하지 않는 것은?</t>
  </si>
  <si>
    <t>국가 정책적 보호를 목적으로 전통공예품, 전통주 및 전통식품 등을 조달청을 통해 구매하여 조달사업을 확대하는 경우</t>
  </si>
  <si>
    <t>조달청이 직접 계약을 체결하고 관리하는 공사 건에 대하여 추후 총사업비 물가변동 검토만을 조달청에 별도 요청하는 경우</t>
  </si>
  <si>
    <t>행정 지연 탓에 표준행정소요일수를 명백히 초과하여 단가계약을 지연 체결함으로써 수요기관 조달 일정에 차질이 생긴 경우</t>
  </si>
  <si>
    <t>수요기관이 납품 대금을 직접 지불하는 조달 건 중에서 산정된 조달수수료 총액이 천 원 미만의 소액 건으로 최종 확인된 경우</t>
  </si>
  <si>
    <t>* 정답 (③): 조달사업법 제16조에 따라 조달청 귀책으로 표준행정소요일수를 초과하여 계약을 체결할 경우 수수료가 면제되나, 단서 조항에 따라 **'단가계약' 및 '장기계속계약의 1차 계약'은 지연되더라도 면제 대상에서 엄격히 제외(부과 대상)**됩니다.</t>
  </si>
  <si>
    <t>조달사업법 제16조 및 조달사업법 시행령 제20조</t>
  </si>
  <si>
    <t>[상황] 조달업체 담당자가 '전자조달법은 조달업체의 이윤을 정부가 보장해주기 위한 법'이라고 오해하고 있었다. 이 오해를 바로잡는 설명으로 가장 적절한 것은?</t>
  </si>
  <si>
    <t>옳지 않다. 전자조달법은 조달업무의 투명성·공정성·효율성을 높여 국민경제 발전에 이바지하는 것을 목적으로 하며, 업체 수익 보장은 직접적 목적이 아니다</t>
  </si>
  <si>
    <t>이 법은 조달업체와 무관한 내부 행정 규정일 뿐이다</t>
  </si>
  <si>
    <t>옳다. 다만 대기업에만 해당된다</t>
  </si>
  <si>
    <t>옳다. 조달업체의 수익 보장이 핵심 목적이다</t>
  </si>
  <si>
    <t>* 정답 (①): 전자조달법은 투명성·공정성·효율성 제고와 국민경제 발전을 목적으로 하며, 조달업체의 수익성 보장은 직접적 목적이 아님.</t>
  </si>
  <si>
    <t>전자조달의 이용 및 촉진에 관한 법률 제1조</t>
  </si>
  <si>
    <t>[상황] 한 기관이 전자조달 원칙을 소개하며 '신속한 처리를 위해 가급적 서면으로 처리하는 것을 원칙으로 한다'고 안내했다. 이 안내에 대한 평가로 가장 적절한 것은?</t>
  </si>
  <si>
    <t>옳다. 서면과 전자처리는 동등하게 원칙으로 취급된다</t>
  </si>
  <si>
    <t>옳다. 서면 처리가 전자조달의 기본원칙이다</t>
  </si>
  <si>
    <t>이 사안은 전자조달 원칙과 무관하다</t>
  </si>
  <si>
    <t>옳지 않다. 전자조달의 기본원칙은 공개·공정경쟁, 전자적 처리, 문서형식 최소화, 정보보호·보안이며, 서면 처리는 오히려 취지에 반한다</t>
  </si>
  <si>
    <t>* 정답 (④): 전자조달의 기본원칙은 공개·공정경쟁, 전자적 처리, 문서형식 최소화, 정보보호·보안이며, '서면 처리'는 전자조달의 취지에 반하는 개념임.</t>
  </si>
  <si>
    <t>전자조달의 이용 및 촉진에 관한 법률 제4조</t>
  </si>
  <si>
    <t>관련 법령에 따라 모든 공공기관이 나라장터를 의무적으로 이용해야 하는 핵심 업무에 해당하는 것은?</t>
  </si>
  <si>
    <t>민간 쇼핑몰을 통한 사무용품 자체 구매</t>
  </si>
  <si>
    <t>기관 내부의 수기 결재 문서 전자화 작업</t>
  </si>
  <si>
    <t>조달청 발주 외의 자체 입찰공고 및 집행</t>
  </si>
  <si>
    <t>임직원 직무 역량 강화를 위한 교육 수강</t>
  </si>
  <si>
    <t>* 정답 (③): 법령상 모든 공공기관은 예외적인 사유가 없는 한 국가종합전자조달시스템(나라장터)을 이용하여 입찰을 공고하고 집행할 의무가 있습니다.</t>
  </si>
  <si>
    <t>조달청 전자입찰에서 업체의 충분한 입찰서 작성 시간을 보장하기 위해 '입찰서 접수 개시부터 마감까지' 필수적으로 부여해야 하는 최소 시간은?</t>
  </si>
  <si>
    <t>최소 24시간 이상 보장</t>
  </si>
  <si>
    <t>최소 48시간 이상 보장</t>
  </si>
  <si>
    <t>최소 60시간 이상 보장</t>
  </si>
  <si>
    <t>최소 72시간 이상 보장</t>
  </si>
  <si>
    <t>* 정답 (②): 전자조달법 시행규칙 제2조에 따라, 전자입찰서 제출 마감일은 접수 개시일로부터 최소 '48시간' 이상이 지나도록 설정해야만 유효한 공고가 됩니다.</t>
  </si>
  <si>
    <t>전자조달법 시행규칙 제2조</t>
  </si>
  <si>
    <t>전자입찰을 집행할 때 입찰서를 개봉하는 '개찰 일시'는 법적 기준에 따라 전자입찰서 제출 마감 일시로부터 최소 얼마의 물리적 시간이 지난 후로 설정해야 하는가?</t>
  </si>
  <si>
    <t>마감 후 최소 24시간 이후</t>
  </si>
  <si>
    <t>마감 후 최소 6시간 이후</t>
  </si>
  <si>
    <t>마감 후 최소 1시간 이후</t>
  </si>
  <si>
    <t>마감 후 즉시 (0시간)</t>
  </si>
  <si>
    <t>* 정답 (③): 입찰서 마감 직후 트래픽 과부하나 전산망 오류 등을 점검하고 안정적으로 암호를 해독하기 위해 마감 시점으로부터 최소 '1시간' 이후에 개찰하도록 법으로 규정하고 있습니다.</t>
  </si>
  <si>
    <t>[상황] 한 업체가 마감시간 5분 전에 발송 버튼을 눌렀으나, 실제로 전자조달시스템에 데이터가 입력된 시점은 마감시간을 1분 넘긴 뒤였다. 이 입찰서의 제출 시점 판단으로 가장 적절한 것은?</t>
  </si>
  <si>
    <t>발신자와 수신자가 협의해 임의로 시점을 정할 수 있다</t>
  </si>
  <si>
    <t>발송 버튼을 누른 시점을 기준으로 마감 전 제출로 인정된다</t>
  </si>
  <si>
    <t>전자조달시스템에 실제 입력된 시점을 기준으로 판단하므로 마감시간을 넘긴 것으로 처리될 수 있다</t>
  </si>
  <si>
    <t>수신자가 이를 열어본 시점을 기준으로 판단한다</t>
  </si>
  <si>
    <t>* 정답 (③): 전자문서는 전자조달시스템에 입력된 때 송신된 것으로 보므로, 발송 버튼을 누른 시점이 아니라 실제 시스템 입력 시점이 기준이 됨.</t>
  </si>
  <si>
    <t>전자조달의 이용 및 촉진에 관한 법률 제11조</t>
  </si>
  <si>
    <t>전자입찰 시스템에서 입찰서 제출 시 공개키와 개인키를 활용한 '암호화' 기술을 필수적으로 적용하는 주된 이유는?</t>
  </si>
  <si>
    <t>계약담당자가 사전에 투찰액을 열람하여 예가를 조정할 수 있도록 권한을 부여하기 위해</t>
  </si>
  <si>
    <t>마감 시간 이전에 입찰서가 열람되어 입찰의 공정성이 훼손되는 것을 원천 차단하기 위해</t>
  </si>
  <si>
    <t>입찰서의 용량을 압축하여 나라장터 서버의 데이터 처리 속도를 획기적으로 높이기 위해</t>
  </si>
  <si>
    <t>투찰 가격이 예정가격을 초과할 경우 시스템이 자동으로 가격을 하향 조정하도록 하기 위해</t>
  </si>
  <si>
    <t>* 정답 (②): 입찰서는 개찰 일시 이전(마감 전)에 누군가 미리 열람하게 되면 심각한 부정행위가 발생하므로, 이를 막기 위해 암호화하여 전송 및 보관합니다.</t>
  </si>
  <si>
    <t>국가종합전자조달시스템(나라장터)의 입찰 공정성 확보를 위해 도입된 '전자입찰 암호화 키 관리 원칙'에 대한 설명으로 가장 올바르지 않은 것은?</t>
  </si>
  <si>
    <t>입찰 데이터의 독립적인 보안성을 철저히 보장하기 위하여, 기존 키를 재사용하지 않고 개별 입찰 공고 건마다 완전히 새로운 암호화 키 쌍을 생성한다.</t>
  </si>
  <si>
    <t>관리적 보안 통제를 극대화하고 책임 소재를 명확히 규명하기 위하여, 암복호화에 사용되는 모든 핵심 키를 조달청 내부망 메인 데이터베이스에 중앙집중식으로 저장한다.</t>
  </si>
  <si>
    <t>사전 유출 및 결탁 비리를 원천 차단하기 위하여, 개찰 전까지 암호를 해독할 수 있는 권한인 '개인키'는 조달청 내부가 아닌 제3의 클라우드 서버에 분할 보관한다.</t>
  </si>
  <si>
    <t>입찰 참가 업체가 시스템을 통해 입찰서(투찰 금액 등)를 제출할 때는, 해당 입찰 건에 매칭된 '공개키'를 활용하여 데이터를 안전하게 암호화한 후 서버로 전송한다.</t>
  </si>
  <si>
    <t>* 정답 (②): 내부자 결탁이나 해킹에 의한 사전 개찰(정보 유출)을 완벽히 차단하기 위해, 암호를 푸는 '개인키'는 조달청 내부 DB에 중앙집중식으로 저장하지 않고 완전히 분리된 '제3자 클라우드 시스템'에 분산 보관하는 것이 핵심 원칙입니다.</t>
  </si>
  <si>
    <t>[상황] 조달청 직원 C가 직무상 알게 된 입찰 관련 비밀정보를 지인에게 누설해 부당하게 활용하도록 했다. 이 행위에 적용될 수 있는 벌칙으로 가장 적절한 것은?</t>
  </si>
  <si>
    <t>3년 이하의 징역 또는 3천만원 이하의 벌금</t>
  </si>
  <si>
    <t>벌칙 규정이 없어 처벌할 수 없다</t>
  </si>
  <si>
    <t>2년 이하의 징역 또는 2천만원 이하의 벌금</t>
  </si>
  <si>
    <t>1년 이하의 징역 또는 1천만원 이하의 벌금</t>
  </si>
  <si>
    <t>* 정답 (③): 전자조달법은 직무상 알게 된 정보의 누설·부정사용에 대해 2년 이하의 징역 또는 2천만원 이하의 벌금에 처하도록 규정함.</t>
  </si>
  <si>
    <t>전자조달의 이용 및 촉진에 관한 법률(벌칙 규정)</t>
  </si>
  <si>
    <t>WTO 정부조달협정(GPA)에 따라 2025~2026년도 기준, 중앙행정기관이 발주하는 물품 및 용역 분야의 국제입찰 대상 고시금액(추정가격) 기준은?</t>
  </si>
  <si>
    <t>2억 3천만 원 이상 (2.3억 원)</t>
  </si>
  <si>
    <t>3억 5천만 원 이상 (3.5억 원)</t>
  </si>
  <si>
    <t>5억 2천만 원 이상 (5.2억 원)</t>
  </si>
  <si>
    <t>7억 4천만 원 이상 (7.4억 원)</t>
  </si>
  <si>
    <t>* 정답 (①): 재정경제부 고시에 따라 25~26년도 국가기관 물품/용역 국제입찰 하한선은 13만 SDR에 해당하는 '2억 3천만 원(2.3억)'으로 적용됩니다. (환율에 따라 2년마다 갱신됨)</t>
  </si>
  <si>
    <t>정부조달협정(GPA)에 따른 국제입찰 대상 여부에 대한 설명으로 가장 옳은 것은?</t>
  </si>
  <si>
    <t>농·수·축산물 구매나 재판매용 조달은 모두 예외 없이 국제입찰 대상이다.</t>
  </si>
  <si>
    <t>정부조달협정 기준 요건에 부합하지 않는 계약도 원칙은 국제입찰을 한다.</t>
  </si>
  <si>
    <t>국제입찰 범위에 해당하지 않는 공공계약의 경우 원칙적으로 국내입찰을 실시한다.</t>
  </si>
  <si>
    <t>중소기업제품 구매촉진 관련 법령에 따른 조달도 반드시 국제입찰을 거친다.</t>
  </si>
  <si>
    <t>정답 (③) 국제입찰 대상 기준금액 미만이거나 예외 조항(농산물, 재판매, 중소기업 등)에 해당하면 국내입찰로 진행함</t>
  </si>
  <si>
    <t>특정조달 특례</t>
  </si>
  <si>
    <t>「공공기관의 운영에 관한 법률」을 적용받는 공기업 및 준정부기관의 계약 특례에 대한 설명으로 가장 올바른 것은?</t>
  </si>
  <si>
    <t>「공기업·준정부기관 계약사무규칙」에서 명시적으로 규정하지 않은 계약 운영 사항은 상위 법령인 「국가를 당사자로 하는 계약에 관한 법령」을 준용하여 처리한다.</t>
  </si>
  <si>
    <t>공기업·준정부기관은 퇴직자가 임원으로 취업한 법인과 수의계약을 맺을 때 유착 방지를 위한 별도의 기간 제한 없이 자유롭게 계약을 체결할 수 있다.</t>
  </si>
  <si>
    <t>공기업 및 준정부기관은 정부조달협정에 따른 국제입찰 공표 사항을 별도의 공식 출판물 없이 자사 홈페이지에만 단순 게시하면 족하다.</t>
  </si>
  <si>
    <t>소속 단위부서 임직원이 계약 사무와 관련하여 뇌물수수 등 범죄 혐의로 기소되더라도 해당 부서의 계약 사무를 조달청장에게 강제 위탁할 법적 근거는 없다.</t>
  </si>
  <si>
    <t>정답 (①) 동 규칙 제2조에 따라 규정되지 않은 사항은 국가계약법령을 준용함 / ② 퇴직자 임원 취업 법인과는 퇴직일로부터 2년간 수의계약 체결 금지 / ③ 정부조달협정 등에서 정한 공식 출판물 등에 공고 필요 / ④ 뇌물 기소·중징계 시 조달청장 위탁 의무 규정(원스트라이크 아웃제) 존재</t>
  </si>
  <si>
    <t>「공기업·준정부기관 계약사무규칙」 제2조 및 제7조</t>
  </si>
  <si>
    <t>공공조달 절차에서 입찰공고, 입찰(투찰), 낙찰 결정, 계약서 작성에 대한 「민법」상 성격으로 옳은 것은?</t>
  </si>
  <si>
    <t>입찰공고는 '청약'이므로 발주기관에 계약 체결 의무가 발생한다.</t>
  </si>
  <si>
    <t>낙찰 결정으로 본계약이 성립하며 별도의 계약서 작성은 불필요하다.</t>
  </si>
  <si>
    <t>입찰(투찰)은 '청약'에 해당하며 「민법」 제527조에 따라 철회할 수 없다.</t>
  </si>
  <si>
    <t>승낙기간이 경과해 연착된 승낙은 어떠한 경우에도 효력이 없다.</t>
  </si>
  <si>
    <t>* 정답 (③): 입찰공고는 '청약의 유인'(구속력 없음), 낙찰은 '계약의 예약'(본계약 아님)이다. 연착된 승낙은 「민법」 제530조에 따라 새 청약으로 볼 수 있다. 입찰서 제출은 구속력 있는 청약으로서 제527조에 의해 철회가 불가하다.</t>
  </si>
  <si>
    <t>쌍무계약의 효력에 관한 설명으로 옳은 것은?</t>
  </si>
  <si>
    <t>편무계약에서도 동시이행 항변권이 동일하게 발생한다.</t>
  </si>
  <si>
    <t>채무자위험부담주의에 따라 쌍방 무과실 이행불능 시에도 채무자는 반대급부를 청구할 수 있다.</t>
  </si>
  <si>
    <t>쌍무계약의 당사자 일방은 상대방이 채무이행을 제공할 때까지 자기의 채무이행을 거절할 수 있다.</t>
  </si>
  <si>
    <t>제3자를 위한 계약에서 제3자는 채무자에게 직접 이행을 청구할 수 없다.</t>
  </si>
  <si>
    <t>* 정답 (③): 「민법」 제536조(동시이행 항변권)는 쌍무계약에서만 발생한다. 제537조에 따르면 쌍방 무과실 이행불능 시 채무자는 반대급부를 청구하지 못한다(② 오류). 제539조에 따라 제3자는 직접 이행 청구가 가능하다(④ 오류).</t>
  </si>
  <si>
    <t>「민법」상 계약의 해제와 해지에 관한 설명으로 옳지 않은 것은?</t>
  </si>
  <si>
    <t>해제는 소급적 효력, 해지는 장래적 효력을 가진다.</t>
  </si>
  <si>
    <t>해제 시 원상회복 의무가 발생하며, 해지 시 이미 이행된 부분은 유효하다.</t>
  </si>
  <si>
    <t>해제·해지를 하면 손해배상 청구권도 함께 소멸한다.</t>
  </si>
  <si>
    <t>해제·해지의 의사표시는 철회할 수 없다.</t>
  </si>
  <si>
    <t>* 정답 (③): 「민법」 제551조에 따라 해지·해제는 손해배상 청구에 영향을 미치지 않는다. 따라서 해제·해지 후에도 손해배상 청구는 별도로 가능하다.</t>
  </si>
  <si>
    <t>「민법」상 도급과 위임에 관한 설명으로 옳은 것은?</t>
  </si>
  <si>
    <t>도급계약에서 수급인은 일이 완성되기 전이라도 보수 전액을 청구할 수 있다.</t>
  </si>
  <si>
    <t>위임계약은 각 당사자가 언제든지 해지할 수 있다.</t>
  </si>
  <si>
    <t>공공조달의 공사계약은 위임계약에 해당한다.</t>
  </si>
  <si>
    <t>수급인의 하자담보책임 존속기간은 모든 목적물에 대해 동일하게 5년이다.</t>
  </si>
  <si>
    <t>* 정답 (②): 「민법」 제689조에 따라 위임계약은 각 당사자가 언제든지 해지할 수 있다. 도급의 보수는 완성 후 지급이 원칙(① 오류), 공사계약은 도급(③ 오류), 하자담보 기간은 1년/5년/10년으로 상이(④ 오류)하다.</t>
  </si>
  <si>
    <t>「민법」상 화해에 관한 설명으로 옳지 않은 것은?</t>
  </si>
  <si>
    <t>화해는 당사자가 상호 양보하여 분쟁을 종지할 것을 약정함으로써 효력이 생긴다.</t>
  </si>
  <si>
    <t>화해계약은 창설적 효력이 있어 양보한 권리는 소멸되고 새 권리가 발생한다.</t>
  </si>
  <si>
    <t>화해계약은 언제든지 착오를 이유로 취소할 수 있다.</t>
  </si>
  <si>
    <t>공공조달에서 화해 관련 규정은 「국가계약법」 제28조의2에 반영되어 있다.</t>
  </si>
  <si>
    <t>* 정답 (③): 「민법」 제733조에 따라 화해계약은 착오를 이유로 취소하지 못하는 것이 원칙이다. 예외적으로 당사자의 자격 또는 분쟁 이외의 사항에 착오가 있는 때에만 취소 가능하다.</t>
  </si>
  <si>
    <t>공공계약 관련 「민법」 규정의 이해에 관한 기본 원칙으로 가장 적절한 것은?</t>
  </si>
  <si>
    <t>* 정답 (④): 사전확정·공개·기록·동일적용은 감사·분쟁 리스크를 줄이는 핵심 원칙이다.</t>
  </si>
  <si>
    <t>공공계약 관련 「민법」 규정의 이해에 관한 실무통제(리스크 관리)로 가장 적절한 것은?</t>
  </si>
  <si>
    <t>「민법」상 신의성실 원칙이 공공계약에 적용되는 양상에 관한 설명으로 옳지 않은 것은?</t>
  </si>
  <si>
    <t>발주기관과 계약상대자 모두 신의에 따라 권리를 행사하고 의무를 이행해야 한다.</t>
  </si>
  <si>
    <t>신의성실 원칙은 「민법」 제2조의 일반 조항으로 공공계약에도 적용된다.</t>
  </si>
  <si>
    <t>신의성실 위반은 권리남용 금지 원칙과 결합하여 부당한 권리행사를 통제한다.</t>
  </si>
  <si>
    <t>신의성실 원칙은 사인 간 계약에만 적용되고 공공계약에는 적용되지 않는다.</t>
  </si>
  <si>
    <t>* 정답 (④): 신의성실 원칙은 「민법」 제2조 일반 조항으로 사인 간 계약뿐 아니라 공공계약에도 적용되며, 발주기관의 우월적 지위 남용 통제와 계약상대자의 성실한 이행 의무 모두에 적용한다.</t>
  </si>
  <si>
    <t>「민법」상 청약과 승낙에 관한 설명으로 옳은 것은?</t>
  </si>
  <si>
    <t>청약은 일방적 의사표시이며 상대방의 승낙으로 계약이 성립한다.</t>
  </si>
  <si>
    <t>청약은 상대방에게 도달하기 전에는 효력이 발생하지 않는다.</t>
  </si>
  <si>
    <t>공공조달의 입찰공고는 청약의 유인에 해당하고, 입찰서 제출이 청약, 낙찰자 결정이 승낙에 해당한다.</t>
  </si>
  <si>
    <t>* 정답 (④): 「민법」상 청약은 도달주의에 따라 효력이 발생하며, 승낙으로 계약이 성립한다. 공공조달에서는 입찰공고가 청약의 유인, 입찰서 제출이 청약, 낙찰자 결정이 승낙에 해당하는 구조로 이해된다.</t>
  </si>
  <si>
    <t>채무불이행의 유형에 관한 설명으로 옳지 않은 것은?</t>
  </si>
  <si>
    <t>이행지체 — 이행기가 도래했음에도 이행하지 않는 경우</t>
  </si>
  <si>
    <t>이행불능 — 채무 이행이 객관적으로 불가능하게 된 경우</t>
  </si>
  <si>
    <t>불완전이행 — 이행을 했으나 본래 채무 내용에 미치지 못하는 경우</t>
  </si>
  <si>
    <t>채무불이행은 「민법」상 단일 유형으로만 규정되어 구분이 없다.</t>
  </si>
  <si>
    <t>* 정답 (④): 채무불이행은 「민법」상 ① 이행지체, ② 이행불능, ③ 불완전이행의 3가지 유형으로 구분되며, 각 유형별로 손해배상·계약해제 등의 구제 수단이 차등 적용된다.</t>
  </si>
  <si>
    <t>「민법」상 손해배상의 범위에 관한 설명으로 옳은 것은?</t>
  </si>
  <si>
    <t>통상의 손해를 한도로 하며, 특별한 사정으로 인한 손해는 채무자가 그 사정을 알았거나 알 수 있었을 때에 한해 배상 책임이 있다.</t>
  </si>
  <si>
    <t>모든 손해를 무제한으로 배상해야 한다.</t>
  </si>
  <si>
    <t>손해배상은 위자료에 한정되며 재산상 손해는 배상 대상이 아니다.</t>
  </si>
  <si>
    <t>손해배상의 범위는 채권자가 자유롭게 결정할 수 있다.</t>
  </si>
  <si>
    <t>* 정답 (①): 「민법」 제393조는 통상손해와 특별손해의 구분을 통해 손해배상의 범위를 제한한다. 특별손해는 예견가능성 원칙에 따라 채무자가 그 사정을 알았거나 알 수 있었을 때에 한해 배상 책임이 있다.</t>
  </si>
  <si>
    <t>공공계약과 「민법」의 관계에 관한 설명으로 옳지 않은 것은?</t>
  </si>
  <si>
    <t>「국가계약법」 등 공공계약 관련 법령에 특별한 규정이 없는 사항은 「민법」이 적용된다.</t>
  </si>
  <si>
    <t>「민법」의 일반 원칙(신의성실, 권리남용 금지 등)은 공공계약에도 적용된다.</t>
  </si>
  <si>
    <t>공공계약은 사적 계약과 본질적으로 같으므로 모든 면에서 「민법」이 우선 적용된다.</t>
  </si>
  <si>
    <t>공공계약은 「민법」의 일반 원리 위에 공익적 통제(절차의 형식성, 공정성 의무 등)가 추가된 구조이다.</t>
  </si>
  <si>
    <t>* 정답 (③): 공공계약은 사적 계약의 본질을 가지나, 공공자금 사용·공정성 의무 등 공익적 통제가 추가된 특수 영역이다. 「국가계약법」 등 특별 규정이 우선 적용되고, 그 보충으로 「민법」이 적용된다. 모든 면에서 「민법」이 우선 적용되는 것이 아니다.</t>
  </si>
  <si>
    <t>공공계약(국가 및 지방) 법령의 이해의 기본 개념/원칙으로 가장 적절한 것은?</t>
  </si>
  <si>
    <t>다음 중 공공계약(국가 및 지방) 법령의 이해 관련 실무통제(리스크 관리)로 가장 적절한 것은?</t>
  </si>
  <si>
    <t>다음 중 공공계약(국가 및 지방) 법령의 이해에 관한 설명으로 옳은 것은?</t>
  </si>
  <si>
    <t>「국가계약법 시행령」에 따른 추정가격에 관한 설명으로 옳은 것은?</t>
  </si>
  <si>
    <t>추정가격은 부가가치세를 포함한 금액이다.</t>
  </si>
  <si>
    <t>추정가격은 예정가격을 산정하기 위한 기초금액이다.</t>
  </si>
  <si>
    <t>추정가격은 부가가치세를 제외한 금액으로 계약 방법을 결정하는 기준이다.</t>
  </si>
  <si>
    <t>추정가격은 입찰 당일 공개하는 가격이다.</t>
  </si>
  <si>
    <t>* 정답 (③): 추정가격은 부가세를 제외한 금액이며, 경쟁/수의계약 등 계약 방법 결정의 기준이다(시행령 제7조 제1항). 기초금액과는 다른 개념이다.</t>
  </si>
  <si>
    <t>경쟁입찰에서 계약이행능력을 갖추고 최저가격으로 입찰한 자를 낙찰자로 선정하는 제도는?</t>
  </si>
  <si>
    <t>종합심사낙찰제</t>
  </si>
  <si>
    <t>경쟁적 대화에 의한 계약</t>
  </si>
  <si>
    <t>* 정답 (②): 적격심사낙찰제는 예정가격 이하 최저가 순으로 이행능력을 심사하여 기준점수 이상인 자를 낙찰자로 결정하는 가장 광범위하게 적용되는 제도이다(시행령 제42조 제1항·제5항).</t>
  </si>
  <si>
    <t>「국가계약법」 제11조에 따른 계약서의 필수 기재사항이 아닌 것은?</t>
  </si>
  <si>
    <t>계약의 목적</t>
  </si>
  <si>
    <t>계약보증금</t>
  </si>
  <si>
    <t>하도급 계획</t>
  </si>
  <si>
    <t>지체상금(遲滯償金)</t>
  </si>
  <si>
    <t>* 정답 (③): 계약서의 필수 기재사항 7개는 ① 목적 ② 금액 ③ 이행기간 ④ 계약보증금 ⑤ 위험부담 ⑥ 지체상금 ⑦ 기타 필요사항이다. 하도급 계획은 별도 관리 사항이다.</t>
  </si>
  <si>
    <t>국가계약분쟁조정위원회의 조정 결과에 대해 15일 이내에 이의를 제기하지 않은 경우의 효력은?</t>
  </si>
  <si>
    <t>행정명령과 동일한 효력</t>
  </si>
  <si>
    <t>행정심판 결과와 동일한 효력</t>
  </si>
  <si>
    <t>재판상 '화해'와 동일한 효력</t>
  </si>
  <si>
    <t>확정판결과 동일한 효력</t>
  </si>
  <si>
    <t>* 정답 (③): 국가계약분쟁조정위원회의 조정에 대해 15일 이내 이의를 제기하지 않으면 재판상 '화해'와 동일한 효력이 발생한다(「국가계약법」 제31조).</t>
  </si>
  <si>
    <t>물가변동에 따른 계약금액 조정이 가능하기 위한 조건으로 옳은 것은?</t>
  </si>
  <si>
    <t>계약 체결 후 60일 이상 경과, 품목조정률 또는 지수조정률 5% 이상 증감</t>
  </si>
  <si>
    <t>계약 체결 후 90일 이상 경과, 품목조정률 또는 지수조정률 3% 이상 증감</t>
  </si>
  <si>
    <t>계약 체결 후 90일 이상 경과, 품목조정률 또는 지수조정률 5% 이상 증감</t>
  </si>
  <si>
    <t>계약 체결 후 120일 이상 경과, 품목조정률 또는 지수조정률 3% 이상 증감</t>
  </si>
  <si>
    <t>* 정답 (②): 물가변동 조정은 계약 체결 후 90일 이상 경과하고, 조정기준인 품목조정률 또는 지수조정률이 100분의 3 이상 증감된 경우에 가능하다(시행령 제64조 제1항).</t>
  </si>
  <si>
    <t>「지방계약법」의 주요 적용 대상으로 옳은 것은?</t>
  </si>
  <si>
    <t>중앙행정기관이 발주하는 공사</t>
  </si>
  <si>
    <t>지방자치단체(시·도·시·군·구)가 체결하는 계약</t>
  </si>
  <si>
    <t>공기업이 체결하는 MAS 계약</t>
  </si>
  <si>
    <t>조달청이 체결하는 중앙조달</t>
  </si>
  <si>
    <t>* 정답 (②): 「지방계약법」은 지방자치단체를 당사자로 하는 계약에 적용되며, 중앙행정기관은 「국가계약법」 적용 대상이다.</t>
  </si>
  <si>
    <t>「국가계약법」과 「지방계약법」의 공통 원칙으로 옳은 것은?</t>
  </si>
  <si>
    <t>수의계약이 원칙이다.</t>
  </si>
  <si>
    <t>공개경쟁입찰 원칙과 예정가격 제도가 공통으로 적용된다.</t>
  </si>
  <si>
    <t>적용 범위가 동일하다.</t>
  </si>
  <si>
    <t>감독 기관이 동일하다.</t>
  </si>
  <si>
    <t>* 정답 (②): 두 법률 모두 공개경쟁입찰을 원칙으로 하고, 예정가격 제도를 통한 낙찰자 결정 구조가 유사하다.</t>
  </si>
  <si>
    <t>「국가계약법」과 「지방계약법」의 비교에 관한 설명으로 옳지 않은 것은?</t>
  </si>
  <si>
    <t>「국가계약법」은 재정경제부, 「지방계약법」은 행정안전부가 소관한다.</t>
  </si>
  <si>
    <t>두 법은 적용 주체(국가 / 지방자치단체)만 다를 뿐 기본 체계는 유사하다.</t>
  </si>
  <si>
    <t>두 법은 동일한 시행령·시행규칙을 공유한다.</t>
  </si>
  <si>
    <t>두 법 모두 일반경쟁입찰을 원칙으로 하며 동일한 예외 구조를 갖는다.</t>
  </si>
  <si>
    <t>* 정답 (③): 「국가계약법」과 「지방계약법」은 별개의 법률로 각각 별도의 시행령(대통령령)·시행규칙(부령)을 가진다. 시행규칙은 「국가계약법」은 재정경제부령, 「지방계약법」은 행정안전부령으로 차이가 있다.</t>
  </si>
  <si>
    <t>「국가계약법」 제3조의 특별법 우선 원칙에 관한 설명으로 옳은 것은?</t>
  </si>
  <si>
    <t>다른 법률에 특별한 규정이 있으면 그 법이 「국가계약법」에 우선 적용된다.</t>
  </si>
  <si>
    <t>「국가계약법」은 모든 공공조달 관련 법률 중 항상 최우선 적용된다.</t>
  </si>
  <si>
    <t>특별법 우선 원칙은 행정규칙에는 적용되지 않는다.</t>
  </si>
  <si>
    <t>특별법 우선 원칙은 「민법」과의 관계에서만 적용된다.</t>
  </si>
  <si>
    <t>* 정답 (①): 「국가계약법」 제3조는 다른 법률에 특별한 규정이 있는 경우 그 법이 우선 적용됨을 규정한다. 따라서 「판로지원법」의 중소기업자 간 경쟁제품 등 특별 규정이 있는 경우 그 법이 「국가계약법」보다 우선 적용된다.</t>
  </si>
  <si>
    <t>공공조달 법령 체계의 계층 구조에 관한 설명으로 옳지 않은 것은?</t>
  </si>
  <si>
    <t>헌법 → 법률 → 시행령(대통령령) → 시행규칙(부령) → 행정규칙(예규·고시·훈령)의 계층을 갖는다.</t>
  </si>
  <si>
    <t>시행규칙은 서식·기한 등 실무 기준을 설정한다.</t>
  </si>
  <si>
    <t>행정규칙(예규·고시)은 법률·시행령보다 상위에 위치한다.</t>
  </si>
  <si>
    <t>* 정답 (④): 행정규칙(예규·고시·훈령)은 법률·시행령보다 하위에 위치하며, 입찰·계약 실무의 상세 기준을 제공하는 보조 규범이다. 행정규칙이 법률·시행령에 위반되면 효력이 부정될 수 있다.</t>
  </si>
  <si>
    <t>「국가계약법」상 계약예규의 역할에 관한 설명으로 옳은 것은?</t>
  </si>
  <si>
    <t>계약예규는 입찰·계약 실무에서 적용할 상세 기준을 제공하는 행정규칙이다.</t>
  </si>
  <si>
    <t>계약예규는 법률보다 상위 효력을 가진다.</t>
  </si>
  <si>
    <t>계약예규는 「국가계약법」 체계에는 존재하지 않는 개념이다.</t>
  </si>
  <si>
    <t>계약예규는 사후 분쟁 발생 시에만 효력을 발휘한다.</t>
  </si>
  <si>
    <t>* 정답 (①): 계약예규는 「국가계약법」 체계에서 입찰·계약 실무의 상세 기준을 제공하는 행정규칙으로, 법률·시행령·시행규칙의 하위에 위치하며 실무 운영의 통일성을 확보하는 역할을 한다.</t>
  </si>
  <si>
    <t>「국가계약법」과 「지방계약법」의 적용 대상에 관한 설명으로 옳지 않은 것은?</t>
  </si>
  <si>
    <t>「국가계약법」은 국가기관·소속기관·공기업·준정부기관·기타공공기관의 계약에 적용된다.</t>
  </si>
  <si>
    <t>「지방계약법」은 지방자치단체·소속기관·지방의회·지방교육청 등의 계약에 적용된다.</t>
  </si>
  <si>
    <t>공기업·준정부기관은 「공기업·준정부기관 계약사무규칙」을 보완적으로 따른다.</t>
  </si>
  <si>
    <t>두 법은 적용 대상이 동일하여 어느 기관이든 양쪽 법률을 자유롭게 선택 적용할 수 있다.</t>
  </si>
  <si>
    <t>* 정답 (④): 두 법의 적용 대상은 명확히 구분된다. 국가기관 계열은 「국가계약법」, 지방자치단체 계열은 「지방계약법」이 적용되며, 자유 선택은 허용되지 않는다. 단, 공기업·준정부기관 등은 자체 규칙·국가계약법령 준용 등 보완적 적용이 이루어진다.</t>
  </si>
  <si>
    <t>다음 중 조달사업법령의 이해의 기본 개념/원칙으로 가장 적절한 것은?</t>
  </si>
  <si>
    <t>* 정답 (④): 공공조달의 기본 원칙은 사전확정·공개·기록·동일적용을 통한 공정성 및 투명성 확보이다.</t>
  </si>
  <si>
    <t>다음 중 조달사업법령의 이해 관련 실무통제(리스크 관리)로 가장 적절한 것은?</t>
  </si>
  <si>
    <t>* 정답 (①): 문서화와 사전공유는 분쟁 예방, 성과관리, 책임소재 명확화에 가장 효과적인 실무통제 방법이다.</t>
  </si>
  <si>
    <t>다음 중 조달사업법령의 이해에 관한 설명으로 옳은 것은?</t>
  </si>
  <si>
    <t>* 정답 (②): 조달절차의 각 단계에서 절차 준수와 기록 유지는 공공조달에서 필수적인 요건이다.</t>
  </si>
  <si>
    <t>「조달사업법」의 주된 규율 대상에 해당하지 않는 것은?</t>
  </si>
  <si>
    <t>조달물자의 구매와 공급에 관한 사항</t>
  </si>
  <si>
    <t>시설공사 계약에 관한 사항</t>
  </si>
  <si>
    <t>입찰 및 낙찰의 구체적 절차에 관한 사항</t>
  </si>
  <si>
    <t>조달물자의 비축에 관한 사항</t>
  </si>
  <si>
    <t>* 정답 (③): 입찰 및 낙찰의 구체적 절차는 「국가계약법」이 규율하며, 「조달사업법」은 조달행정의 정책기반, 계약 체결 요청, 대금지급, 공정성 확보 등을 규율한다.</t>
  </si>
  <si>
    <t>「조달사업법」상 계약 체결 요청 제도에 관한 설명으로 옳은 것은?</t>
  </si>
  <si>
    <t>모든 국가기관은 예외 없이 조달청에 계약 체결을 요청해야 한다.</t>
  </si>
  <si>
    <t>수요기관이 조달청에 요청하면 조달청이 대신 계약을 체결·관리한다.</t>
  </si>
  <si>
    <t>계약 체결 요청은 수요기관과 공급자 간 직접 협상을 의미한다.</t>
  </si>
  <si>
    <t>지방자치단체는 계약 체결 요청의 대상에 포함되지 않는다.</t>
  </si>
  <si>
    <t>* 정답 (②): 계약 체결 요청 제도는 수요기관이 조달청에 계약 체결을 요청하고, 조달청이 입찰·계약 절차를 대행하여 체결·관리하는 중앙조달체계를 말한다.</t>
  </si>
  <si>
    <t>「조달사업법」상 대금지급에 관한 설명으로 옳은 것은?</t>
  </si>
  <si>
    <t>대금 지급 기한에 관한 규정은 「조달사업법」에 존재하지 않는다.</t>
  </si>
  <si>
    <t>조달청은 검사 완료 후 30일 이내에 대금을 지급해야 한다.</t>
  </si>
  <si>
    <t>지급 지연 시 지연이자 규정이 별도로 마련되어 있다.</t>
  </si>
  <si>
    <t>대금은 반드시 수요기관이 공급자에게 직접 지급해야 한다.</t>
  </si>
  <si>
    <t>* 정답 (③): 「조달사업법」 제19조는 대금지급 지연 시 지연이자를 부담하도록 규정하고 있으며, 이는 공급자의 적시 대금 수령 권리를 보호하기 위한 장치이다.</t>
  </si>
  <si>
    <t>「조달사업법」상 공정성 확보를 위한 제도로 볼 수 없는 것은?</t>
  </si>
  <si>
    <t>청렴서약제</t>
  </si>
  <si>
    <t>부정당업자 입찰 참가 자격 제한</t>
  </si>
  <si>
    <t>조달품질관리 실시</t>
  </si>
  <si>
    <t>수의계약 금액기준의 상향 조정</t>
  </si>
  <si>
    <t>* 정답 (④): 수의계약 금액기준 상향은 계약방법에 관한 사항으로 국가계약법령의 영역이며, 「조달사업법」의 공정성 확보 장치(청렴서약, 부정당업자 제재, 품질관리 등)와는 성격이 다르다.</t>
  </si>
  <si>
    <t>「조달사업법」상 조달청의 수요기관 지원 기능에 해당하지 않는 것은?</t>
  </si>
  <si>
    <t>조달 전문 교육 실시</t>
  </si>
  <si>
    <t>규격서 작성·원가분석 등 기술적 자문 제공</t>
  </si>
  <si>
    <t>수요기관의 인사·조직 운영에 대한 감사</t>
  </si>
  <si>
    <t>조달 관련 법령·제도 안내 및 정보 제공</t>
  </si>
  <si>
    <t>* 정답 (③): 조달청의 지원 기능은 조달 교육, 기술 지원, 정보 제공, 물자 비축·관리 등이며, 수요기관의 인사·조직 감사는 조달청의 권한이 아니다.</t>
  </si>
  <si>
    <t>「조달사업법」 제13조 다수공급자계약(MAS)에 관한 설명으로 옳지 않은 것은?</t>
  </si>
  <si>
    <t>동일 물품을 복수의 공급자와 미리 계약하여 수요기관이 자유롭게 선택할 수 있도록 한다.</t>
  </si>
  <si>
    <t>가격·품질 경쟁을 유도하여 합리적 구매를 가능하게 한다.</t>
  </si>
  <si>
    <t>종합쇼핑몰을 통한 단가계약 방식의 법적 근거이다.</t>
  </si>
  <si>
    <t>다수공급자계약은 일회성 단일 공급자와 체결하는 계약 방식이다.</t>
  </si>
  <si>
    <t>* 정답 (④): 다수공급자계약(MAS)은 명칭 그대로 다수의 공급자와 체결하는 계약 방식이다. 일회성 단일 공급자와의 계약은 일반 단가계약·총액계약에 해당하여 MAS와 다르다.</t>
  </si>
  <si>
    <t>「조달사업법」 제27조 혁신제품 공공구매 지원 제도에 관한 설명으로 옳은 것은?</t>
  </si>
  <si>
    <t>혁신제품으로 지정된 물품에 대해 수의계약이 가능하도록 특례를 부여한다.</t>
  </si>
  <si>
    <t>일반경쟁입찰 절차를 강화하는 추가 통제 장치이다.</t>
  </si>
  <si>
    <t>혁신제품은 모든 일반 시장 제품을 대상으로 한다.</t>
  </si>
  <si>
    <t>혁신제품 공공구매 지원은 「국가계약법」에만 규정된 제도이다.</t>
  </si>
  <si>
    <t>* 정답 (①): 「조달사업법」 제27조는 혁신제품으로 지정된 물품에 대해 수의계약 특례를 부여하여 신기술·신산업 제품의 공공시장 진입을 지원한다. 1억 원 이하는 수요기관 자체 수의계약, 1억 원 초과는 조달청 경유 중앙조달 방식이 적용된다.</t>
  </si>
  <si>
    <t>「조달사업법」 제22조 거래정지 제도에 관한 설명으로 옳지 않은 것은?</t>
  </si>
  <si>
    <t>부정행위를 한 계약상대자에 대해 일정 기간 거래를 정지하는 제재 수단이다.</t>
  </si>
  <si>
    <t>직접생산기준 위반, 원산지 거짓 표시, 계약규격과 다른 제품 납품 등이 거래정지 사유에 해당한다.</t>
  </si>
  <si>
    <t>거래정지는 부정당업자 제재와 별도로 운영되는 제도이다.</t>
  </si>
  <si>
    <t>거래정지는 모든 부정행위에 대해 영구적으로 적용된다.</t>
  </si>
  <si>
    <t>* 정답 (④): 거래정지는 「조달사업법」상 2년 이내 범위에서 대통령령으로 정하는 바에 따라 부과되며, 영구적이지 않다. 부정행위의 종류·정도에 따라 거래정지 기간이 차등 적용된다.</t>
  </si>
  <si>
    <t>「조달사업법」 제21조 불공정조달행위 조사에 관한 설명으로 옳은 것은?</t>
  </si>
  <si>
    <t>입찰·계약 체결·계약이행·검사검수·대금지급 등 조달 전 과정의 공정성 저해 행위가 조사 대상이다.</t>
  </si>
  <si>
    <t>입찰·계약 단계에서 발생한 행위만 조사 대상이다.</t>
  </si>
  <si>
    <t>불공정조달행위 조사는 사후 신고에만 한정되어 직권 조사는 불가능하다.</t>
  </si>
  <si>
    <t>조사 권한은 모든 공공기관에 분산되어 있다.</t>
  </si>
  <si>
    <t>* 정답 (①): 「조달사업법」 제21조의 불공정조달행위 조사는 입찰부터 대금지급까지 조달 전 과정에서 발생한 공정성 저해 행위(서류 위조, 직접생산기준 위반, 원산지 거짓 표시, 계약규격 위반 등)를 대상으로 하며, 조달청장이 조사 권한을 행사한다.</t>
  </si>
  <si>
    <t>「조달사업법」상 계약 체결 요청 제도에 관한 설명으로 옳지 않은 것은?</t>
  </si>
  <si>
    <t>수요기관이 조달청에 계약 체결을 요청하면 조달청이 입찰·계약 절차를 대행한다.</t>
  </si>
  <si>
    <t>조달청은 수요기관을 대신해 계약을 체결·관리하는 중앙조달체계의 핵심 제도이다.</t>
  </si>
  <si>
    <t>일정 금액 이상의 물품·공사·용역에 대해서는 의무적으로 조달청에 요청해야 한다.</t>
  </si>
  <si>
    <t>* 정답 (④): 계약 체결 요청 제도는 일정 금액 이상의 물품·공사·용역에 대해 의무 적용되며, 소액 구매·기관 고유 사업·긴급 수요 등은 예외이다. 모든 국가기관이 예외 없이 요청해야 하는 것은 아니다.</t>
  </si>
  <si>
    <t>전자조달법령의 이해의 기본 개념/원칙으로 가장 적절한 것은?</t>
  </si>
  <si>
    <t>다음 중 전자조달법령의 이해 관련 실무통제(리스크 관리)로 가장 적절한 것은?</t>
  </si>
  <si>
    <t>* 정답 (②): 문서화+사전공유는 분쟁 예방, 성과관리, 책임소재 명확화에 가장 효과적인 실무통제 방법이다.</t>
  </si>
  <si>
    <t>다음 중 전자조달법령의 이해에 관한 설명으로 옳은 것은?</t>
  </si>
  <si>
    <t>전자조달시스템을 통해 제출된 전자입찰서에 관한 설명으로 옳지 않은 것은?</t>
  </si>
  <si>
    <t>동일한 컴퓨터에서 같은 입찰에 대해 하나의 전자입찰서만 제출할 수 있다.</t>
  </si>
  <si>
    <t>제출된 전자입찰서는 교환, 변경, 취소가 불가능하다.</t>
  </si>
  <si>
    <t>입찰금액 등 중요 입력사항에 오류가 있는 경우 취소를 신청할 수 있다.</t>
  </si>
  <si>
    <t>전자입찰의 취소를 신청한 자는 해당 입찰이 재입찰에 부쳐져도 참여할 수 없다.</t>
  </si>
  <si>
    <t>* 정답 (④): 전자입찰 취소를 신청한 해당 전자입찰에는 다시 참여할 수 없으나, 해당 입찰이 재입찰 또는 재공고입찰에 부쳐지는 경우에는 참여가 가능하다(「전자조달법」 제5조 제5항).</t>
  </si>
  <si>
    <t>전자공개수의계약에 관한 설명으로 옳은 것은?</t>
  </si>
  <si>
    <t>수의계약에서도 "입찰공고문"이라는 용어를 그대로 사용한다.</t>
  </si>
  <si>
    <t>수의계약에서 제출하는 문서는 "전자입찰서"로 명칭한다.</t>
  </si>
  <si>
    <t>전자공개수의계약에서는 "안내공고문"과 "전자견적서"라는 용어를 사용한다.</t>
  </si>
  <si>
    <t>전자공개수의계약은 경쟁입찰과 동일한 절차를 따르며 별도 준용 규정이 없다.</t>
  </si>
  <si>
    <t>* 정답 (③): 수의계약은 비경쟁적 공급자 선정 방식이므로 "입찰공고문" 대신 "안내공고문"을, "전자입찰서" 대신 "전자견적서"를 사용하며, 시행령 제4조와 제5조를 준용한다(시행령 제6조).</t>
  </si>
  <si>
    <t>하도급 관리의 전자적 처리에 관한 설명으로 옳지 않은 것은?</t>
  </si>
  <si>
    <t>수요기관의 장은 전자조달시스템 등을 활용하여 하도급 사항을 전자적으로 처리할 수 있다.</t>
  </si>
  <si>
    <t>계약 체결자와 하수급인은 하도급 대금 지급을 위한 전용계좌를 개설하여 등록하여야 한다.</t>
  </si>
  <si>
    <t>전자조달시스템 등에는 하수급인의 금액 청구·승인·지급에 관한 기능이 포함되어야 한다.</t>
  </si>
  <si>
    <t>하도급 관리를 위한 시스템을 구축할 때 별도의 협의 절차는 필요하지 않다.</t>
  </si>
  <si>
    <t>* 정답 (④): 「국가를 당사자로 하는 계약에 관한 법률」 또는 「공공기관의 운영에 관한 법률」을 적용받는 수요기관의 장이 하도급 관리 시스템을 구축하려는 경우에는 미리 재정경제부장관과 협의하여야 한다(「전자조달법 시행령」 제7조 제4항).</t>
  </si>
  <si>
    <t>전자조달시스템의 이용·활용 제한 사유에 해당하지 않는 것은?</t>
  </si>
  <si>
    <t>전자조달시스템의 이용을 위한 신청내용을 허위로 기재한 경우</t>
  </si>
  <si>
    <t>건전한 입찰질서를 훼손하거나 관계 법령을 위반할 목적으로 이용한 경우</t>
  </si>
  <si>
    <t>체납된 국세나 지방세가 있는 자인 경우</t>
  </si>
  <si>
    <t>전자조달시스템을 활용하여 공공조달 데이터를 Open API를 통해 분석한 경우</t>
  </si>
  <si>
    <t>* 정답 (④): 전자조달시스템에서 제공하는 공공조달 데이터를 Open API를 통하여 연계·분석·가공하여 입찰정보를 제공하는 서비스는 적법한 활용에 해당하며 제한 사유가 아니다. A, B, C는 「전자조달법」 제15조 제2항 및 시행령 제10조에 따른 이용·활용 제한 사유이다.</t>
  </si>
  <si>
    <t>「전자조달법」상 전자적 공고에 관한 설명으로 옳지 않은 것은?</t>
  </si>
  <si>
    <t>수요기관의 장이 경쟁입찰을 전자적으로 처리할 때는 반드시 전자조달시스템을 통해 공고해야 한다.</t>
  </si>
  <si>
    <t>입찰공고일의 산정 기준은 전자조달시스템에 게시한 날이다.</t>
  </si>
  <si>
    <t>전자조달시스템에 게시된 내용과 첨부 파일의 내용이 다르면 첨부 파일의 내용이 우선 적용된다.</t>
  </si>
  <si>
    <t>전자적 공고의 구체적인 방법·시기는 대통령령으로 정한다.</t>
  </si>
  <si>
    <t>* 정답 (③): 「전자조달법」상 전자조달시스템에 게시된 내용과 첨부 파일의 내용이 다른 경우 시스템에 직접 게시된 내용이 우선 적용된다. 첨부 파일이 우선 적용되는 것이 아니므로, 입찰 참가자는 시스템 게시 내용과 첨부 파일을 반드시 대조 확인해야 한다.</t>
  </si>
  <si>
    <t>전자입찰서 제출의 법적 효력에 관한 설명으로 옳은 것은?</t>
  </si>
  <si>
    <t>「전자서명법」에 따른 전자서명이 첨부된 전자문서는 서면 문서와 동일한 법적 효력을 갖는다.</t>
  </si>
  <si>
    <t>전자입찰서는 서면 입찰서보다 효력이 약하다.</t>
  </si>
  <si>
    <t>전자입찰서는 법적 효력이 없으며 참고용일 뿐이다.</t>
  </si>
  <si>
    <t>전자입찰서는 별도의 인증 절차 없이 자유롭게 제출할 수 있다.</t>
  </si>
  <si>
    <t>* 정답 (①): 「전자조달법」은 「전자서명법」에 따른 전자서명이 첨부된 전자문서가 서면 문서와 동일한 법적 효력을 가짐을 규정한다. 이는 전자조달의 법적 안정성을 확보하는 핵심 원리이다.</t>
  </si>
  <si>
    <t>전자공개수의계약 제도에 관한 설명으로 옳지 않은 것은?</t>
  </si>
  <si>
    <t>수의계약을 전자적으로 공개하여 일정 수준의 경쟁 절차를 진행하는 방식이다.</t>
  </si>
  <si>
    <t>비경쟁적 방식인 수의계약에 공개·경쟁 요소를 결합한 변형된 형태이다.</t>
  </si>
  <si>
    <t>「전자조달법」에 근거한 제도이다.</t>
  </si>
  <si>
    <t>전자공개수의계약은 입찰공고문이라는 용어를 사용한다.</t>
  </si>
  <si>
    <t>* 정답 (④): 전자공개수의계약은 비경쟁적 공급자 선정 방식이므로 "입찰공고문"이라는 용어가 적합하지 않다. 공고 내용에 "입찰"이라는 용어 사용이 적절하지 않으며, 별도의 용어 체계가 적용된다.</t>
  </si>
  <si>
    <t>「전자조달법」상 하도급 전자처리에 관한 설명으로 옳은 것은?</t>
  </si>
  <si>
    <t>하도급지킴이 등 전자조달시스템을 통해 하도급 대금을 전자적으로 관리한다.</t>
  </si>
  <si>
    <t>하도급 관리는 전자조달법의 대상이 아니다.</t>
  </si>
  <si>
    <t>하도급 전자처리는 권고 사항으로 의무는 없다.</t>
  </si>
  <si>
    <t>하도급 전자처리는 모든 단계에서 종이 문서로만 가능하다.</t>
  </si>
  <si>
    <t>* 정답 (①): 「전자조달법」에 따라 하도급지킴이 등 전자조달시스템 또는 수요기관의 장이 운영하는 전자적 하도급 관리 시스템을 활용해 하도급 대금을 전자적으로 관리한다. 「정부예산기금운용계획집행지침」에 따라 의무적으로 시행된다.</t>
  </si>
  <si>
    <t>「전자조달법」상 전자조달시스템 이용·활용 제한에 관한 설명으로 옳지 않은 것은?</t>
  </si>
  <si>
    <t>부정사용·시스템 교란 행위에 대해 시스템 이용을 제한할 수 있다.</t>
  </si>
  <si>
    <t>시스템 이용 제한은 「전자조달법」 제15조에 근거한다.</t>
  </si>
  <si>
    <t>부정한 방법으로 입찰에 참여하거나 시스템을 교란하는 행위는 제한 대상이다.</t>
  </si>
  <si>
    <t>시스템 이용 제한은 형식적 절차이며 실질적 제재 효과는 없다.</t>
  </si>
  <si>
    <t>* 정답 (④): 시스템 이용 제한은 「전자조달법」상 부정사용·시스템 교란 행위에 대한 실질적 제재 수단으로, 일정 기간 입찰 참여 등 시스템 이용이 제한되어 사실상 공공조달 시장 진입이 차단되는 강력한 효과를 발생시킨다.</t>
  </si>
  <si>
    <t>「공기업·준정부기관 계약사무규칙」상 국제입찰 적용이 면제되는 사유로 가장 거리가 먼 것은?</t>
  </si>
  <si>
    <t>중소기업제품 구매촉진 및 판로지원에 관한 법률에 따라 중소기업제품을 제조·구매하는 경우</t>
  </si>
  <si>
    <t>국가안보 또는 국방 목적 수행과 관련된 조달인 경우</t>
  </si>
  <si>
    <t>GPA 기준 금액 이상의 물품을 외국 기업으로부터 구매하는 경우</t>
  </si>
  <si>
    <t>급식 프로그램의 증진을 위하여 조달하는 경우</t>
  </si>
  <si>
    <t>* 정답 (③): GPA 기준 금액 이상의 물품을 외국 기업으로부터 구매하는 것은 국제입찰의 '면제' 사유가 아니라 오히려 국제입찰을 실시해야 하는 대상에 해당한다. A, B, D는 모두 「계약사무규칙」 제4조에서 규정하는 국제입찰 예외 사유이다.</t>
  </si>
  <si>
    <t>다음 중 공기업·준정부기관이 중소기업자 간 경쟁제품을 직접 구매할 수 있는 예외사유로서 '조달청장의 인정'이 필요한 경우를 모두 고르면?</t>
  </si>
  <si>
    <t>계약목적 달성을 위해 긴급하게 구매할 필요가 있는 경우</t>
  </si>
  <si>
    <t>디자인 공모와 선호도 조사 결과를 반영하여 제품을 선정해야 하는 경우</t>
  </si>
  <si>
    <t>공기업·준정부기관의 핵심 기자재로서 구매 전문성 및 품질 확보를 위해 직접 구매할 필요가 있는 경우</t>
  </si>
  <si>
    <t>제품의 특수성·안전성·구매 시기 등을 고려할 때 직접 구매가 적합한 경우</t>
  </si>
  <si>
    <t>* 정답 (④): 「계약사무규칙」 제7조의2 제1항에서 ① 긴급 구매, ② 디자인 공모·선호도 반영, ③ 전산업무 관련은 기관 자체 판단으로 직접 구매가 가능하지만, ④ 핵심 기자재와 ⑤ 제품 특수성 등의 경우에는 '조달청장이 인정하는 경우'로 한정하고 있다.</t>
  </si>
  <si>
    <t>「계약사무규칙」 제8조 제3항에 따른 수의계약 제한 사유에 대한 설명으로 옳지 않은 것은?</t>
  </si>
  <si>
    <t>해당 기관의 퇴직자가 대표이사로 재직 중인 법인과 퇴직일부터 2년 이내에 수의계약을 체결할 수 없다.</t>
  </si>
  <si>
    <t>해당 기관의 퇴직자와 퇴직일부터 2년 이내에 수의계약을 체결할 수 없다.</t>
  </si>
  <si>
    <t>해당 기관의 퇴직자 모임·단체의 회원사와 수의계약을 체결할 수 없다.</t>
  </si>
  <si>
    <t>해당 기관의 퇴직자가 감사로 재직 중인 법인과는 퇴직일부터 3년 이내에 수의계약이 금지된다.</t>
  </si>
  <si>
    <t>* 정답 (④): 「계약사무규칙」 제8조 제3항의 수의계약 제한 기간은 퇴직자 본인, 퇴직자 임원 법인, 퇴직자 단체 모두 동일하게 '2년 이내'이다. 감사 재직 법인에 대해 3년이라는 규정은 없으므로 '④'가 옳지 않다.</t>
  </si>
  <si>
    <t>「계약사무규칙」 제16조에 따른 의견 청취 절차에 대한 설명으로 옳은 것은?</t>
  </si>
  <si>
    <t>기관장은 예정일 14일 전까지 처분의 상대방에게 서면으로 통지해야 한다.</t>
  </si>
  <si>
    <t>통지를 받은 상대방이 정당한 사유 없이 응하지 않으면 의견진술 기회를 포기한 것으로 본다.</t>
  </si>
  <si>
    <t>의견진술은 반드시 직접 출석하여 구두로만 할 수 있다.</t>
  </si>
  <si>
    <t>의견진술 내용의 기록은 선택사항이며, 서명을 받을 의무는 없다.</t>
  </si>
  <si>
    <t>* 정답 (②): 「계약사무규칙」 제16조 제4항에 따르면, 통지를 받은 상대방이나 대리인이 정당한 사유 없이 이에 응하지 않으면 의견진술 기회를 포기한 것으로 본다. '①'은 7일 전이 정답(14일이 아님), '③'은 서면 제출도 가능, '④'는 서면 기록 및 서명·기명날인이 의무이므로 모두 틀렸다.</t>
  </si>
  <si>
    <t>「계약사무규칙」 제17조에 따른 이의신청 절차에서 각 단계별 기한이 올바르게 연결된 것은?</t>
  </si>
  <si>
    <t>이의신청 제기: 15일 이내 → 기관장 심사·회신: 20일 이내 → 재심 청구: 30일 이내</t>
  </si>
  <si>
    <t>이의신청 제기: 20일 이내 → 기관장 심사·회신: 15일 이내 → 재심 청구: 20일 이내</t>
  </si>
  <si>
    <t>이의신청 제기: 30일 이내 → 기관장 심사·회신: 15일 이내 → 재심 청구: 15일 이내</t>
  </si>
  <si>
    <t>이의신청 제기: 20일 이내 → 기관장 심사·회신: 20일 이내 → 재심 청구: 30일 이내</t>
  </si>
  <si>
    <t>* 정답 (②): 이의신청의 기한은 '20일-15일-20일'이다. 이의신청 제기 20일 이내 → 기관장 심사·회신 15일 이내 → 국가계약분쟁조정위원회에 재심 청구 20일 이내. 이 숫자 조합이 시험에서 자주 출제된다.</t>
  </si>
  <si>
    <t>다음 중 「계약사무규칙」 제8조의2에 따른 수의계약 관련 정보 공개에 포함되지 않는 사항은?</t>
  </si>
  <si>
    <t>사업명과 계약이행기간</t>
  </si>
  <si>
    <t>계약상대자의 대표자 성명, 상호, 법인등기부상 본점소재지</t>
  </si>
  <si>
    <t>예정가격과 계약금액</t>
  </si>
  <si>
    <t>해당 기관의 내부 심의위원회 위원 명단</t>
  </si>
  <si>
    <t>* 정답 (④): 수의계약 정보 공개 항목은 ① 사업명과 계약이행기간, ② 계약상대자의 대표자 성명·상호·법인등기부상 본점소재지, ③ 예정가격과 계약금액, ④ 수의계약의 법령상 근거 및 구체적인 사유이다. 내부 심의위원회 위원 명단은 공개 대상이 아니다.</t>
  </si>
  <si>
    <t>다음 중 공기업·준정부기관의 계약사무 위탁에 관한 설명으로 옳지 않은 것은?</t>
  </si>
  <si>
    <t>「계약사무규칙」에 따른 위탁 기간은 위탁받은 날부터 2년이다.</t>
  </si>
  <si>
    <t>형법상 특정 조항 위반 범죄 사실이 발생한 경우 10일 이내에 재정경제부장관과 조달청장에게 통보해야 한다.</t>
  </si>
  <si>
    <t>이사회 의결이 있는 경우 해당 임직원이 속한 단위부서의 계약사무를 조달청장에게 의무적으로 위탁해야 한다.</t>
  </si>
  <si>
    <t>위탁기간 종료 후에도 조달청장이 필요하다고 판단하면 일방적으로 위탁을 연장할 수 있다.</t>
  </si>
  <si>
    <t>* 정답 (④): 위탁기간의 종료는 위탁기간 종료일에 자동으로 이루어지며, 조달청장이 일방적으로 연장할 수 있다는 규정은 없다. '①', '②', '③'은 모두 「계약사무규칙」 제7조에 부합하는 설명이다.</t>
  </si>
  <si>
    <t>「공기업·준정부기관 계약사무규칙」의 법적 위상에 관한 설명으로 옳은 것은?</t>
  </si>
  <si>
    <t>「공공기관의 운영에 관한 법률」에 근거한 시행규칙 단위의 별도 규범이다.</t>
  </si>
  <si>
    <t>「국가계약법」과 동일한 효력을 갖는 법률이다.</t>
  </si>
  <si>
    <t>헌법 직속의 최상위 규범이다.</t>
  </si>
  <si>
    <t>단순 행정 지침이며 법적 구속력이 없다.</t>
  </si>
  <si>
    <t>* 정답 (①): 「공기업·준정부기관 계약사무규칙」은 「공공기관의 운영에 관한 법률」에 근거하여 공공기관 운영 특성에 맞춘 시행규칙 단위의 별도 규범으로 운영된다. 법적 구속력을 갖는다.</t>
  </si>
  <si>
    <t>「공공기관의 운영에 관한 법률」상 공공기관의 분류에 관한 설명으로 옳지 않은 것은?</t>
  </si>
  <si>
    <t>공기업, 준정부기관, 기타공공기관으로 분류된다.</t>
  </si>
  <si>
    <t>공기업은 자체 수입 비율이 일정 수준 이상인 기관이다.</t>
  </si>
  <si>
    <t>준정부기관은 공기업이 아닌 공공기관 중 일정 요건을 충족하는 기관이다.</t>
  </si>
  <si>
    <t>모든 공공기관은 동일한 계약 사무 규칙을 적용받는다.</t>
  </si>
  <si>
    <t>* 정답 (④): 공기업·준정부기관은 「공기업·준정부기관 계약사무규칙」을 적용받지만, 기타공공기관은 별도의 규정을 따른다. 모든 공공기관이 동일한 규칙을 적용받지는 않는다.</t>
  </si>
  <si>
    <t>공기업·준정부기관 계약 사무에서 「국가계약법령」의 준용에 관한 설명으로 옳은 것은?</t>
  </si>
  <si>
    <t>「국가계약법령」의 주요 내용을 준용하되, 공공기관 운영 특성에 맞춰 일부 별도 규정을 적용한다.</t>
  </si>
  <si>
    <t>「국가계약법령」을 적용하지 않고 자체 법령으로만 운영한다.</t>
  </si>
  <si>
    <t>공공기관은 어떠한 경우에도 「국가계약법령」을 준용할 수 없다.</t>
  </si>
  <si>
    <t>「국가계약법령」을 그대로 적용하며 별도 규정은 없다.</t>
  </si>
  <si>
    <t>* 정답 (①): 공기업·준정부기관 계약 사무는 기본적으로 「국가계약법령」의 주요 내용을 준용하되, 공공기관의 운영 자율성·특수성을 반영하여 「공기업·준정부기관 계약사무규칙」 등의 별도 규정을 적용하는 보완적 구조이다.</t>
  </si>
  <si>
    <t>공기업과 준정부기관의 계약 사무 차이에 관한 설명으로 옳지 않은 것은?</t>
  </si>
  <si>
    <t>공기업은 자체 수입 비중이 높아 운영 자율성이 상대적으로 크다.</t>
  </si>
  <si>
    <t>준정부기관은 정부 의존도가 높아 통제 강도가 상대적으로 크다.</t>
  </si>
  <si>
    <t>두 기관은 계약 사무 운영의 자율성 정도에 차이가 있다.</t>
  </si>
  <si>
    <t>공기업과 준정부기관은 계약 사무 운영에서 동일한 자율성을 갖는다.</t>
  </si>
  <si>
    <t>* 정답 (④): 공기업과 준정부기관은 자체 수입 비중·정부 의존도에 따라 운영 자율성이 차등 부여된다. 일반적으로 공기업이 준정부기관보다 운영 자율성이 크고, 계약 사무에서도 그 차이가 반영된다.</t>
  </si>
  <si>
    <t>공기업·준정부기관 계약 사무 운영의 일반 원칙에 관한 설명으로 옳은 것은?</t>
  </si>
  <si>
    <t>공기업·준정부기관도 공정성·투명성·경제성·효율성·책임성의 5대 원칙을 준수해야 한다.</t>
  </si>
  <si>
    <t>공공기관은 민간기업이므로 공공조달 원칙은 적용되지 않는다.</t>
  </si>
  <si>
    <t>공기업·준정부기관은 자체 규정만 따르면 되고 일반 원칙 준수 의무는 없다.</t>
  </si>
  <si>
    <t>공기업·준정부기관 계약사무는 모든 정보를 비공개로 유지해야 한다.</t>
  </si>
  <si>
    <t>* 정답 (①): 공기업·준정부기관도 공공조달의 일반 원칙(공정성·투명성·경제성·효율성·책임성)을 준수해야 하며, 「공공기관의 운영에 관한 법률」과 「공기업·준정부기관 계약사무규칙」은 이러한 원칙을 구체화하는 규범이다.</t>
  </si>
  <si>
    <t>당사자 일방의 의사표시에 의하여 유효하게 성립된 계약의 효력을 장래에 대하여 소멸시키는 행위는?</t>
  </si>
  <si>
    <t>해제</t>
  </si>
  <si>
    <t>해지</t>
  </si>
  <si>
    <t>철회</t>
  </si>
  <si>
    <t>취소</t>
  </si>
  <si>
    <t>* 정답 (②): 유효하게 성립한 계속적 계약의 효력을 '장래'에 향하여 소멸시키는 것은 '해지'이다. 반면 '해제'는 계약의 효력을 '소급'하여 소멸시키는 것을 의미한다.</t>
  </si>
  <si>
    <t>[상황] 조달 분쟁 중 법원의 조정에 따라 양측이 상호 양보하는 민법상 '화해' 계약을 체결하였다. 이 계약의 효력에 대한 설명으로 옳은 것은?</t>
  </si>
  <si>
    <t>진정한 권리관계와 다름이 입증되면 소급하여 무효가 된다</t>
  </si>
  <si>
    <t>종전 법률관계는 소멸하고 새 관계가 창설되어 재이의가 불가하다</t>
  </si>
  <si>
    <t>공공계약은 화해계약 효력을 상실하고 행정소송으로 전환된다</t>
  </si>
  <si>
    <t>행정지도에 불과하므로 계약상대자가 언제든 임의 취소할 수 있다</t>
  </si>
  <si>
    <t>* 정답 (②): 민법 제732조에 따라 화해계약은 당사자가 상호 양보하여 분쟁을 끝내는 계약이며, 화해가 성립하면 이전의 법률관계는 소멸하고 새로운 관계가 창설되는 효력(창설적 효력)을 가져 종전 주장을 되풀이할 수 없습니다.</t>
  </si>
  <si>
    <t>민법 제732조</t>
  </si>
  <si>
    <t>민법 제733조에 따른 화해계약의 '착오를 이유로 한 취소'에 대한 예외적 허용 규정 및 법적 해석으로 가장 올바른 것은?</t>
  </si>
  <si>
    <t>착오를 이유로 한 취소는 어떤 경우에도 전면 금지된다</t>
  </si>
  <si>
    <t>분쟁 사항 자체에 계산 착오가 있으면 소급 취소할 수 있다</t>
  </si>
  <si>
    <t>당사자 자격 등 분쟁 이외 사항의 착오는 예외적 취소가 가능하다</t>
  </si>
  <si>
    <t>법령 개정으로 내용이 불리해진 경우 동기 착오로 즉각 취소된다</t>
  </si>
  <si>
    <t>* 정답 (③): 민법 제733조에 따르면 화해계약은 원칙적으로 착오를 이유로 취소하지 못하지만, '화해 당사자의 자격' 또는 '화해의 목적인 분쟁 이외의 사항'에 착오가 있는 때에는 예외적으로 취소가 가능하도록 규정하고 있습니다.</t>
  </si>
  <si>
    <t>민법 제733조</t>
  </si>
  <si>
    <t>조달계약 분쟁 해결을 위해 민법상 화해 규정을 적용할 때 법적 성질 및 실무상 유의점으로 가장 거리가 먼 것은?</t>
  </si>
  <si>
    <t>정당한 근거 없는 권리 포기는 공무원 배임 문제가 될 수 있다</t>
  </si>
  <si>
    <t>유보 약정이 없으면 종전 하자담보책임 등은 모두 소멸된다</t>
  </si>
  <si>
    <t>반드시 서면 작성과 법원 확정판결을 거쳐야만 성립한다</t>
  </si>
  <si>
    <t>사기·강박에 의해 체결된 화해계약은 적법하게 취소할 수 있다</t>
  </si>
  <si>
    <t>* 정답 (③): 민법상 화해는 당사자 간의 의사 합치만으로 성립하는 '불요식 계약'이며, 반드시 서면으로 작성하거나 법원의 확정판결(재판상 화해)을 거쳐야만 효력이 발생하는 것은 아닙니다.</t>
  </si>
  <si>
    <t>민법 제731조 (일반원칙)</t>
  </si>
  <si>
    <t>공공조달의 기본원칙에 해당하지 않는 가치는 무엇인가?</t>
  </si>
  <si>
    <t>공정하고 투명한 경쟁을 촉진해 조달 신뢰성을 제고한다</t>
  </si>
  <si>
    <t>수요기관 조달권한을 확대해 조달청 집중구매를 해소한다</t>
  </si>
  <si>
    <t>혁신성장과 환경친화 조달로 다양한 사회적 가치를 실현한다</t>
  </si>
  <si>
    <t>조달물자와 공공 시설물의 품질과 국민 안전을 확보한다</t>
  </si>
  <si>
    <t>* 정답 (②): 공공조달의 기본원칙에는 투명성, 품질/안전, 효율성, 사회적 가치 실현, 혁신성장 지원 등이 포함되나, '수요기관 조달 권한 확대를 통한 조달청 집중 구매의 해소'는 기본원칙에 명시된 가치가 아닙니다.</t>
  </si>
  <si>
    <t>조달사업법령상 조달청장이 관장하는 '조달사업'의 구체적 범위에 명시적으로 포함되지 않는 업무는?</t>
  </si>
  <si>
    <t>각종 조달물자의 구매·공급 및 체계적 관리 업무</t>
  </si>
  <si>
    <t>대규모 시설공사 및 감리·설계 용역의 계약체결 업무</t>
  </si>
  <si>
    <t>유휴 행정재산의 민간 매각·교환·대부 등 관리 업무</t>
  </si>
  <si>
    <t>비상사태·수급 불안 대비 비축 물자의 구매 및 관리 업무</t>
  </si>
  <si>
    <t>* 정답 (③): 행정재산 등 국유재산의 관리를 총괄하는 것은 국유재산법에 따른 재정경제부 소관 업무이며, 조달사업법상 '조달사업'의 직접적인 정의 범위(물자 조달, 비축, 시설공사 계약 등)에 해당하지 않습니다.</t>
  </si>
  <si>
    <t>조달사업법 제2조, 제3조, 제29조</t>
  </si>
  <si>
    <t>전략적 공공조달이 추구하는 '정책적 기능'을 실현하기 위한 조달청의 핵심 제도와 목적이 가장 적절하게 짝지어진 것은?</t>
  </si>
  <si>
    <t>재정 지출 절감 — 벤처나라 시스템 구축·운영</t>
  </si>
  <si>
    <t>혁신성장 지원 — 시범구매·우수조달물품 지정 제도</t>
  </si>
  <si>
    <t>공정성 확보 — MAS 2단계 경쟁 절차 전면 생략</t>
  </si>
  <si>
    <t>이윤 보호 — 대기업 배제·수의계약 한도 무제한 상향</t>
  </si>
  <si>
    <t>* 정답 (②): 공공조달을 통해 국가의 기술 혁신과 신성장 동력을 지원하는 대표적인 전략적 정책 수단이 혁신제품 시범구매 사업과 기술이 뛰어난 중소기업 제품을 집중 지원하는 우수조달물품 제도입니다.</t>
  </si>
  <si>
    <t>조달사업법 제26조, 제27조 등</t>
  </si>
  <si>
    <t>[상황] 국가기관 E가 내년도 예산으로 2억원 규모의 내자(국내 물품)를 구매하려 한다. 조달요청 의무에 대한 설명으로 옳은 것은?</t>
  </si>
  <si>
    <t>고시금액 미만이므로 수요기관이 자체 조달해야 한다</t>
  </si>
  <si>
    <t>추정가격 1억원 이상이므로 조달청장에게 요청해야 한다</t>
  </si>
  <si>
    <t>조달요청은 법적 의무가 아니라 발주기관의 재량 사항이다</t>
  </si>
  <si>
    <t>* 정답 (②): 국가기관은 물품(내자)의 추정가격이 1억원 이상인 경우 의무적으로 조달청장에게 조달을 요청해야 합니다. 2억원은 이 기준을 초과하므로 의무 대상입니다.</t>
  </si>
  <si>
    <t>조달사업법 제11조 및 동법 시행령 제11조</t>
  </si>
  <si>
    <t>법정 기준 금액 이상임에도 수요기관이 예외적으로 직접 공공 계약을 체결할 수 있는 법적 사유가 아닌 것은?</t>
  </si>
  <si>
    <t>긴급한 사정으로 조달청 의뢰 시 사업 목적 달성이 곤란한 경우</t>
  </si>
  <si>
    <t>국방·안보·기밀 유지로 수요기관의 직접 조달이 불가피한 경우</t>
  </si>
  <si>
    <t>조달수수료 절감분을 차년도 복지기금으로 편입하려는 경우</t>
  </si>
  <si>
    <t>조달 물자의 특수성으로 직접 조달이 타당하다고 인정된 경우</t>
  </si>
  <si>
    <t>* 정답 (③): 조달수수료 절감이나 예산의 자체 기금 편입은 법령에서 인정하는 조달요청 예외 사유에 해당하지 않습니다. 예외는 긴급상황, 안보/기밀, 조달청장 인정 등 객관적이고 불가피한 사유로 제한됩니다.</t>
  </si>
  <si>
    <t>조달사업법 시행령 제11조 제2항</t>
  </si>
  <si>
    <t>계약체결을 요청받은 조달청장이 해당 조달 건의 계약 방법 및 절차를 결정할 때 적용되는 원칙으로 가장 적절한 것은?</t>
  </si>
  <si>
    <t>수의계약 요청은 사유 불문 임의 수정·반려할 수 없다</t>
  </si>
  <si>
    <t>지명 요청 시 별도 적법성 심사 없이 즉시 계약해야 한다</t>
  </si>
  <si>
    <t>요청이 법령에 위반되거나 부당하면 협의 후 적법하게 변경할 수 있다</t>
  </si>
  <si>
    <t>최저가 제시 업체와 수의계약을 체결할 절대적 재량권을 가진다</t>
  </si>
  <si>
    <t>* 정답 (③): 조달청장은 계약 방법을 독립적으로 결정할 권한이 있으며, 수요기관의 요청 내용이 국가계약법 등 법령에 위배되거나 특혜 소지가 있을 경우 이를 시정, 변경하여 적법하게 진행할 책임이 있습니다.</t>
  </si>
  <si>
    <t>조달사업법 제11조 제4항</t>
  </si>
  <si>
    <t>불공정 조달행위를 근절하기 위해 조달사업법에 엄격히 규정된 '불공정 조달행위'의 유형에 해당하지 않는 것은?</t>
  </si>
  <si>
    <t>원산지 거짓 표시·서류 위조로 부당하게 납품하는 행위</t>
  </si>
  <si>
    <t>우수조달물품 지정 서류를 고의로 위·변조해 제출하는 행위</t>
  </si>
  <si>
    <t>MAS 업체가 쇼핑몰 단가보다 민간에 비싸게 판매하는 행위</t>
  </si>
  <si>
    <t>직접생산 확인 품목을 불법 하청 후 라벨만 바꿔 납품하는 행위</t>
  </si>
  <si>
    <t>* 정답 (③): 불공정 조달행위 중 가격 관련 규정(우대가격 유지의무)은 조달청 계약가격보다 민간 시중에 '낮은(더 싼)' 가격으로 판매하여 국가에 금전적 손해를 끼치는 행위를 금지하는 것입니다.</t>
  </si>
  <si>
    <t>조달사업법 제21조 제1항</t>
  </si>
  <si>
    <t>불공정 조달행위 의심 업체를 조사하기 위해 조달사업법상 조달청장이 행사할 수 있는 적법한 행정 조사 권한으로 옳지 않은 것은?</t>
  </si>
  <si>
    <t>관련 서류·장부 등 증빙자료 제출을 요구할 수 있다</t>
  </si>
  <si>
    <t>영업장소에 출입해 장부·시설물을 현장 조사하게 할 수 있다</t>
  </si>
  <si>
    <t>업체 동의 없이 금융정보를 강제로 요청·압수할 수 있다</t>
  </si>
  <si>
    <t>위반이 확인되면 입찰참가자격 제한 등 제재를 취할 수 있다</t>
  </si>
  <si>
    <t>* 정답 (③): 조달청장은 행정조사에 따른 자료 요구 및 현장 출입 권한은 있으나, 사법적 권한인 계좌 압류나 국세청/금융기관에 대한 강제적 금융·과세 정보 제공 요구 권한은 법령에 부여되어 있지 않습니다.</t>
  </si>
  <si>
    <t>조달사업법 제21조</t>
  </si>
  <si>
    <t>불공정 조달행위로 적발된 업체에 대해 발주기관 또는 조달청장이 법령에 근거하여 부과할 수 있는 제재 조치에 해당하지 않는 것은?</t>
  </si>
  <si>
    <t>이행 중인 다른 계약을 중단·해제·해지하는 조치</t>
  </si>
  <si>
    <t>부정당업자 제재로 일정 기간 입찰 참여를 차단하는 조치</t>
  </si>
  <si>
    <t>중대 손해를 끼친 경우 부당이득금을 전액 환수하는 조치</t>
  </si>
  <si>
    <t>경영난을 감안해 계약보증금의 국고 귀속을 면제하는 조치</t>
  </si>
  <si>
    <t>* 정답 (④): 불공정 행위(위조, 담합 등) 등 계약 상대자의 귀책사유로 계약이 해제·해지된 경우, 국가계약법령에 따라 해당 업체가 납부한 계약보증금은 예외 없이 국고에 귀속 조치되며 면제되지 않습니다.</t>
  </si>
  <si>
    <t>조달사업법 제21조 제4항, 제6항, 국가계약법 제12조 제3항</t>
  </si>
  <si>
    <t>공공조달 및 혁신성장 지원을 위해 조달청장이 수행하는 '수요기관 지원 사업'에 명시적으로 포함되지 않는 것은?</t>
  </si>
  <si>
    <t>시설공사 원가설계 타당성 검토 및 감리 등 기술 지원 업무</t>
  </si>
  <si>
    <t>혁신제품 시범구매로 벤처 상용화 생태계를 지원하는 업무</t>
  </si>
  <si>
    <t>수요기관의 국채·지방채 발행을 대행하는 업무</t>
  </si>
  <si>
    <t>조달업무 종사자 법령 교육·역량 강화를 지원하는 업무</t>
  </si>
  <si>
    <t>* 정답 (③): 조달청은 물품/용역 조달 및 시설공사 관리, 혁신제품 지원, 조달 교육 등을 전문적으로 지원하지만, 국채나 지방채 발행 등 국가 재정 및 금융 조달 업무는 재정경제부나 행정안전부의 고유 소관입니다.</t>
  </si>
  <si>
    <t>조달사업법 제7조, 제24조, 제27조</t>
  </si>
  <si>
    <t>조달청이 운영하는 '혁신제품 지정 및 시범구매 제도'에 대한 설명으로 옳은 것은?</t>
  </si>
  <si>
    <t>수의계약은 불가하며 반드시 제한경쟁입찰만 가능하다</t>
  </si>
  <si>
    <t>조달청 예산으로 시범구매해 상용화를 돕는 테스트베드 제도이다</t>
  </si>
  <si>
    <t>승인 즉시 구매대금 전액을 기업 전용 계좌로 선지급해야 한다</t>
  </si>
  <si>
    <t>실적 풍부한 중견기업 이상 신기술에만 적용되는 제도이다</t>
  </si>
  <si>
    <t>* 정답 (②): 혁신제품 제도는 납품 실적이 없는 벤처·중소기업의 상용화 전 제품을 조달청 예산으로 선도 구매하여 공공기관이 테스트하게 돕는 제도로, 지정 시 일정 기간 수의계약 특례가 부여됩니다.</t>
  </si>
  <si>
    <t>조달사업법 제27조</t>
  </si>
  <si>
    <t>국내 우수 중소 조달업체의 해외 조달시장 진출과 수출 경쟁력 강화를 전폭적으로 지원하기 위해 조달청이 직접 운영하는 지정 제도는?</t>
  </si>
  <si>
    <t>* 정답 (②): 조달청은 기술력과 신뢰성을 인정받은 기업 중 수출 경쟁력을 갖춘 업체를 'G-PASS(Government Performance ASSured)'로 지정하여 해외 진출, 전시회, 바이어 발굴 등을 집중 지원합니다.</t>
  </si>
  <si>
    <t>조달사업법 제28조, 해외조달 시장 진출유망기업 지정 관리 및 수출지원에 관한 규정</t>
  </si>
  <si>
    <t>『전자조달법』 등에 근거한 '전자공개수의계약(소액수의 견적입찰)' 제도의 운영 취지와 설명으로 가장 올바른 것은?</t>
  </si>
  <si>
    <t>모든 수의계약은 반드시 전자조달시스템을 통해야 효력이 있다</t>
  </si>
  <si>
    <t>내정된 특정 1인에게만 견적 제출을 안내하는 제도이다</t>
  </si>
  <si>
    <t>소액 건도 특혜 방지를 위해 전산망으로 다수 견적을 받는다</t>
  </si>
  <si>
    <t>최저가 원칙이나 동가 시 담당자 재량으로 지정한다</t>
  </si>
  <si>
    <t>* 정답 (③): '전자공개수의계약'은 1인 수의계약이 가능한 소액 건이라도 특혜 시비를 없애기 위해 나라장터에 공개 공고를 올려 다수로부터 견적을 받아 규정된 최저가 투찰자를 공정하게 선정하는 제도입니다.</t>
  </si>
  <si>
    <t>전자조달법 및 (국가계약법 시행령 제30조)</t>
  </si>
  <si>
    <t>[상황] 추정가격 4,000만 원의 소액수의 견적제출 안내공고를 냈다. 지정 기한 내에 적격 견적 제출자가 단 1인뿐인 경우 합법적 후속 조치는?</t>
  </si>
  <si>
    <t>재공고 없이 즉시 유찰 처리하고 다음 연도로 연기한다</t>
  </si>
  <si>
    <t>재공고 없이 그 1인과 즉시 수의계약을 체결할 수 있다</t>
  </si>
  <si>
    <t>3회 이상 연속 유찰돼야 예외적 수의계약이 허용된다</t>
  </si>
  <si>
    <t>재정경제부장관 사전 승인이 없으면 본 공고를 취소해야 한다</t>
  </si>
  <si>
    <t>* 정답 (②): 소액수의 견적제출 공고 결과 1인만 견적서를 제출한 경우, 재공고 등 지연 절차를 거치지 않고 바로 그 1인과 수의계약을 체결할 수 있도록 법령상 특례를 두어 신속성을 도모하고 있습니다.</t>
  </si>
  <si>
    <t>국가계약법 시행령 제30조 제1항 단서</t>
  </si>
  <si>
    <t>전자조달법령상 나라장터를 통한 입찰서(견적서) 제출 기한을 합법적으로 연기할 수 있는 '장애' 인정 기준에 해당하는 것은?</t>
  </si>
  <si>
    <t>개인 인터넷 회선 단절이나 PC 악성코드 감염으로 접속 차단</t>
  </si>
  <si>
    <t>지정정보처리장치 서버 마비 등 운영기관 귀책의 시스템 장애</t>
  </si>
  <si>
    <t>특정 참가자가 시간 부족을 이유로 마감 직전 연기 요청</t>
  </si>
  <si>
    <t>민간 보증보험사 서버 지연으로 업체가 일방 통보한 경우</t>
  </si>
  <si>
    <t>* 정답 (②): 전자조달법령에서 인정하는 기한 연기 사유인 '장애'는 나라장터 등 지정정보처리장치 자체의 서버 오류 등 불가항력적 장애를 의미합니다. 개인 PC나 민간 보험사 서버 문제는 인정되지 않습니다.</t>
  </si>
  <si>
    <t>국가종합전자조달시스템 이용약관 제2조, 제25조</t>
  </si>
  <si>
    <t>대금 체불 방지를 위한 '하도급지킴이' 등 전자적 대금지급시스템의 자금 통제 원리로 가장 적절한 것은?</t>
  </si>
  <si>
    <t>원도급자 계좌 입금 후 자율적으로 현금 인출해 분배한다</t>
  </si>
  <si>
    <t>지급 시점에 국세청 전산망과 연동해 법인세를 원천징수한다</t>
  </si>
  <si>
    <t>원도급자 계좌를 거치되 지정 하도급자 계좌로만 이체되게 통제한다</t>
  </si>
  <si>
    <t>발주기관이 예치해두고 이체 요청마다 건별 승인해 지급한다</t>
  </si>
  <si>
    <t>* 정답 (③): 대금지급시스템은 대금이 원수급자 계좌로 입금되더라도 '전용계좌'로 묶여 임의 유용이 불가능하며, 시스템을 통해 지정된 하수급인과 노무자 계좌로만 이체되도록 철저히 통제합니다.</t>
  </si>
  <si>
    <t>전자조달법 제9조의2, 동법 시행령 제7조</t>
  </si>
  <si>
    <t>'하도급 대금 등의 전자적 처리'를 의무적으로 적용해야 하는 공공계약 대상 사업의 일반적인 법적 기준으로 올바른 것은?</t>
  </si>
  <si>
    <t>금액 무관하게 모든 물품구매·학술연구용역 계약 전체</t>
  </si>
  <si>
    <t>건산법 기준 3천만 원 이상 건설공사 및 주요 SW 용역</t>
  </si>
  <si>
    <t>민간 자본으로 발주하는 100억 원 이상 민간 건축공사</t>
  </si>
  <si>
    <t>원도급자가 외국계 기업이면 규모 무관하게 적용 배제</t>
  </si>
  <si>
    <t>* 정답 (②): 「건산법」 제34조 제9항 등에 따라 도급금액 3천만 원 이상·공공 발주 건설공사 및 SW 사업은 하도급대금 전자적 처리(하도급지킴이 등)가 의무입니다. (오답 노트: ① 물품구매·학술용역은 적용 대상 아님, ③ 민간 자본 발주 공사는 적용 대상 아님, ④ 원도급자 국적과 무관하게 동일 적용)</t>
  </si>
  <si>
    <t>전자조달법 제9조의2, 동법 시행령 제7조의2 / 건산법 제34조 제9항, 동법 시행규칙 제28조 제6항 / SW진흥법 제50조</t>
  </si>
  <si>
    <t>[상황] 건설사가 하도급 업체와의 합의를 이유로 시스템을 통하지 않고 하도급 대금을 어음으로 주겠다고 통보했다. 발주기관의 적법한 판단은?</t>
  </si>
  <si>
    <t>업체의 인감 동의서가 있으면 예외적으로 어음 지급을 허용한다</t>
  </si>
  <si>
    <t>현금 지급이 원칙이므로 어음 지급을 반려하고 이체를 강제한다</t>
  </si>
  <si>
    <t>보증증권 추가 설정과 유권해석을 받으면 한시 승인할 수 있다</t>
  </si>
  <si>
    <t>발주기관은 개입 권한이 없으므로 준공 시 정산한다</t>
  </si>
  <si>
    <t>* 정답 (②): 대금지급시스템 의무 적용 공사에서는 당사자 간의 사적 합의가 있더라도 법령 및 계약조건에 위배되는 어음 지급을 허용할 수 없으며, 반드시 시스템을 통해 노무비/대금을 이체해야 합니다.</t>
  </si>
  <si>
    <t>(계약예규) 공사계약일반조건 제43조의2</t>
  </si>
  <si>
    <t>공기업 등이 '중소기업자간 경쟁제품'을 구매할 때 원칙적으로 취해야 하는 법령상의 절차는 무엇인가?</t>
  </si>
  <si>
    <t>생산 중소기업 5개사 이상을 지명경쟁입찰에 부쳐야 한다</t>
  </si>
  <si>
    <t>중기부 장관에게 구매·계약 체결 권한을 위탁해야 한다</t>
  </si>
  <si>
    <t>자체 전산망을 구축해 외부 위탁 없이 직접 이행해야 한다</t>
  </si>
  <si>
    <t>공공기관운영법 제44조 제1항</t>
  </si>
  <si>
    <t>공기업·준정부기관이 중소기업자간 경쟁제품을 조달청에 위탁하지 않고 '직접 구매'할 수 있는 합법적 예외 사유가 아닌 것은?</t>
  </si>
  <si>
    <t>천재지변 등으로 기한 내 사업목적 달성이 어려운 경우</t>
  </si>
  <si>
    <t>국방·안보 등 기밀 유지로 직접 구매가 필수적인 경우</t>
  </si>
  <si>
    <t>조달청장이 지역 여건 등을 고려해 직접 조달을 인정한 경우</t>
  </si>
  <si>
    <t>단가 상승 우려로 기관장이 경영평가 대비 수의계약을 지시한 경우</t>
  </si>
  <si>
    <t>* 정답 (④): 단순한 예산 절감 우려나 특정 업체와의 수의계약을 목적으로 한 기관장의 임의 판단은 위탁 예외 사유가 아닙니다. 예외는 긴급상황, 안보/기밀, 조달청장 인정으로 제한됩니다.</t>
  </si>
  <si>
    <t>공기업·준정부기관 계약사무규칙 제4조 제1항 단서</t>
  </si>
  <si>
    <t>[상황] 긴급이나 기밀 사안이 아님에도 준정부기관이 3억 원 규모 중기간 경쟁제품을 직접 구매하려 할 때, 합법적 요건은?</t>
  </si>
  <si>
    <t>이사회 결의와 감사원 통보만으로 즉시 예외가 인정된다</t>
  </si>
  <si>
    <t>재정경제부장관 고시 기준이나 조달청장의 타당성 인정이 필요하다</t>
  </si>
  <si>
    <t>중소기업 단체의 동의 공증만 받으면 의무가 즉각 면제된다</t>
  </si>
  <si>
    <t>심의위원회 만장일치 결의와 회의록 공개로 자동 허용된다</t>
  </si>
  <si>
    <t>* 정답 (②): 공공기관이 임의로 위탁 의무를 회피할 수는 없으며, 긴급/안보 사유 외에는 재정경제부장관이 고시하는 예외 기준에 해당하거나 조달청장의 명시적 인정을 받아야 직접 구매가 허용됩니다.</t>
  </si>
  <si>
    <t>공기업·준정부기관 계약사무규칙 제7조의2 제1항</t>
  </si>
  <si>
    <t>대형 또는 특수 사업 발주 시 의무적으로 운영하는 '계약심의위원회'의 설치 목적과 법적 성격으로 가장 적절한 것은?</t>
  </si>
  <si>
    <t>기관장의 독단적 계약 체결을 예방하기 위해 외부 전문가 등과 함께 심의하는 기구이다</t>
  </si>
  <si>
    <t>심의를 거친 안건은 이의신청·소송 제기가 전면 금지된다</t>
  </si>
  <si>
    <t>위원은 내부 직원 3인 이상으로 한정하며 외부 참여가 없다</t>
  </si>
  <si>
    <t>인사·예산 편성 등 경영 전반의 심의 권한도 함께 가진다</t>
  </si>
  <si>
    <t>* 정답 (①): 계약심의위원회는 계약 방법·부정당제재 등 주요 안건을 외부 전문가 등과 함께 심의해 공정성을 담보하는 기구입니다. (오답 노트: ② 이의신청·소송 제기가 금지되지 않음, ③ 외부 위원 참여가 필수, ④ 인사·예산 편성 심의 권한은 없음)</t>
  </si>
  <si>
    <t>국가계약법 시행령 제94조</t>
  </si>
  <si>
    <t>2-1. 공공조달계획</t>
  </si>
  <si>
    <t>과거 데이터 없이 전문가의 주관적 판단이나 의견에 의존하는 수요예측 기법에 해당하지 않는 것은?</t>
  </si>
  <si>
    <t>회귀분석</t>
  </si>
  <si>
    <t>델파이 기법</t>
  </si>
  <si>
    <t>시장 조사법</t>
  </si>
  <si>
    <t>전문가 의견법</t>
  </si>
  <si>
    <t>* 정답 (①): 회귀분석은 과거 데이터의 인과관계를 통계적으로 분석하는 정량적 예측기법이며, 나머지는 전문가의 주관적 판단에 의존하는 정성적 기법임.</t>
  </si>
  <si>
    <t>[상황] 과거 3년간 월별 수요 데이터가 풍부하고 계절적 패턴이 안정적인 소모품이 있다. 이 품목의 수요예측에 가장 적합한 기법은?</t>
  </si>
  <si>
    <t>이동평균법</t>
  </si>
  <si>
    <t>시나리오 분석법</t>
  </si>
  <si>
    <t>* 정답 (①): 데이터가 풍부하고 패턴이 안정적인 경우 시계열 분석 기법인 이동평균법 등 정량적 기법이 적합함.</t>
  </si>
  <si>
    <t>조달전략계획에 통상 포함되는 주제로 가장 거리가 먼 것은?</t>
  </si>
  <si>
    <t>위험 관리 방안</t>
  </si>
  <si>
    <t>조달 배경 및 목적</t>
  </si>
  <si>
    <t>경쟁 업체의 내부 경영전략</t>
  </si>
  <si>
    <t>시장조사 결과</t>
  </si>
  <si>
    <t>* 정답 (③): 조달전략계획은 배경·범위·일정·예산·계약유형·시장조사·평가기준·위험관리 등을 포함하나, 경쟁업체의 내부 경영전략처럼 외부에서 알 수 없는 정보는 포함 대상이 아님.</t>
  </si>
  <si>
    <t>국가계약법령에 따라 발주기관이 해당 연도 초에 업체들에게 미리 공개해야 하는 연간 '발주계획' 내역에 포함되지 않는 항목은?</t>
  </si>
  <si>
    <t>특정 조달 건을 수주할 1순위 낙찰예정자의 상호 및 주소</t>
  </si>
  <si>
    <t>조달 사업의 공식 명칭 및 전체 예상 발주 물량</t>
  </si>
  <si>
    <t>해당 사업을 진행할 구체적인 입찰 방식 및 계약 방법</t>
  </si>
  <si>
    <t>분기별 등 대략적으로 예정된 조달 사업의 발주 시기</t>
  </si>
  <si>
    <t>* 정답 (①): 발주계획은 '앞으로 이런 사업을 공고할 예정이니 미리 준비하라'는 취지이므로, 아직 입찰도 진행되지 않은 시점이라 낙찰자 정보를 알 수 없습니다.</t>
  </si>
  <si>
    <t>연초에 수요기관이 조달청 및 나라장터를 통해 공고하는 연간 '발주계획'을 조회하기 위한 올바른 나라장터 메뉴 이동 경로는?</t>
  </si>
  <si>
    <t>입찰 → 입찰공고 → 발주계획</t>
  </si>
  <si>
    <t>발주 → 발주목록 → 발주계획</t>
  </si>
  <si>
    <t>공고 → 발주목록 → 발주계획</t>
  </si>
  <si>
    <t>이용자관리 → 발주관리 → 발주계획</t>
  </si>
  <si>
    <t>* 정답 (②): 나라장터 조달 프로세스 흐름에 따라 수요기관의 연간 발주 내역을 조회하려면, 메인 메뉴인 [발주] 탭을 클릭한 후 하위 메뉴인 [발주목록] → [발주계획] 순으로 진입해야 합니다.</t>
  </si>
  <si>
    <t>다음 중 다수공급자계약(MAS)에 대한 설명으로 옳은 것은?</t>
  </si>
  <si>
    <t>수요기관은 납품업체를 선정할 때 반드시 최저가로 응찰한 업체를 선택해야 한다.</t>
  </si>
  <si>
    <t>공공기관의 수요를 충족시키기 위해 오직 단일 공급업체와 독점 계약을 체결하는 방식이다.</t>
  </si>
  <si>
    <t>2단계경쟁 제도를 통해 가격 외에도 품질, 납기, 사후관리 등을 종합적으로 평가하여 업체를 선정할 수 있다.</t>
  </si>
  <si>
    <t>수요기관은 종합쇼핑몰을 통하지 않고 각 업체와 개별적으로 수의계약을 맺어야 한다.</t>
  </si>
  <si>
    <t>* 정답 (③): MAS 계약은 다수의 공급업체와 계약을 체결(② 틀림)하고, 수요기관은 종합쇼핑몰에서 규격 및 가격을 비교(④ 틀림)할 수 있습니다. 또한, 가격 외에 품질이나 납기 등을 종합적으로 고려하여 업체를 선택할 수 있으므로 반드시 최저가 업체를 선택해야 하는 것은 아닙니다(① 틀림).</t>
  </si>
  <si>
    <t>물품 다수공급자계약 업무처리규정</t>
  </si>
  <si>
    <t>다수공급자계약(MAS)을 통해 물품을 구매하려는 수요기관 담당자의 판단으로 가장 적절한 것은?</t>
  </si>
  <si>
    <t>"여러 업체의 물품을 비교해보고 싶지만, MAS 제도는 한 가지 물품당 하나의 업체만 등록되어 있어 비교할 수 없겠군."</t>
  </si>
  <si>
    <t>"우리 기관은 예산 절감이 최우선이니, 종합쇼핑몰에 등록된 업체 중 품질과 상관없이 무조건 최저가 업체에 납품을 요구해야겠어."</t>
  </si>
  <si>
    <t>"구매하려는 품목이 일정 금액 이상이니, 등록된 업체들을 대상으로 2단계경쟁을 실시하여 추가적인 조건 협상을 진행해봐야겠군."</t>
  </si>
  <si>
    <t>"MAS 계약 품목은 종합쇼핑몰에 이미 단가가 고정되어 있으므로, 어떠한 경우에도 추가적인 가격 협상이나 경쟁은 불가능해."</t>
  </si>
  <si>
    <t>* 정답 (③): MAS 제도는 수요기관이 종합쇼핑몰에서 여러 업체의 동종·유사 물품을 비교할 수 있으며(① 틀림), 2단계경쟁을 통해 추가적인 가격 협상이 가능합니다(④ 틀림). 또한 최저가 업체만 고집할 필요 없이 납기나 사후관리 등 종합적인 조건을 고려할 수 있습니다(② 틀림).</t>
  </si>
  <si>
    <t>다음 빈칸 (A), (B)에 들어갈 말로 가장 바르게 짝지어진 것은? 
"다수공급자계약(MAS)은 공공기관의 다양한 수요를 충족하기 위하여 
품질, 성능, 효율 등에서 ( A ) 물품에 대해 ( B ) 공급업체와 계약을 체결하여 종합쇼핑몰을 통해 공급하는 제도이다."</t>
  </si>
  <si>
    <t>(A) 완전히 동일한 - (B) 1개의 지정된</t>
  </si>
  <si>
    <t>(A) 동종·유사 - (B) 1개의 지정된</t>
  </si>
  <si>
    <t>(A) 완전히 동일한 - (B) 다수의</t>
  </si>
  <si>
    <t>(A) 동종·유사 - (B) 다수의</t>
  </si>
  <si>
    <t>* 정답 (④): MAS(Multiple Award Schedule)라는 명칭에서 알 수 있듯이, 수요기관의 선택권을 넓히기 위해 '동종·유사' 물품에 대해 '다수'의 공급업체와 계약을 체결하는 것이 이 제도의 핵심입니다.</t>
  </si>
  <si>
    <t>다음 중 공공기관의 우선(의무)구매 제도에 대한 설명으로 가장 옳지 않은 것은?</t>
  </si>
  <si>
    <t>중소기업제품의 구매목표비율은 해당 기관 구매총액의 50% 이상이어야 한다.</t>
  </si>
  <si>
    <t>장애인기업제품은 해당 기관 구매총액의 1% 이상을 구매해야 한다.</t>
  </si>
  <si>
    <t>여성기업제품은 공사 구매액의 경우 3% 이상을 구매해야 한다.</t>
  </si>
  <si>
    <t>중소기업 기술개발제품은 중소기업 물품 구매액의 50% 이상을 의무적으로 구매해야 한다.</t>
  </si>
  <si>
    <t>* 정답 (④): 중소기업 기술개발제품의 의무구매비율은 중소기업 물품 구매액의 15% 이상(과거 10%에서 상향)입니다. 50%는 중소기업제품 전체에 대한 의무구매비율입니다. (※ 여성기업제품: 물품/용역 5%, 공사 3%)</t>
  </si>
  <si>
    <t>판로지원법 시행령 제4조, 12조, 여성기업법 시행령 제7조, 장애인기업법 시행령 제7조의2</t>
  </si>
  <si>
    <t>현행 법령상 공공기관의 '중소기업제품 구매목표비율'은 해당 기관이 해당 연도에 구매할 제품의 구매총액 대비 최소 얼마 이상으로 의무 규정되어 있는가?</t>
  </si>
  <si>
    <t>15%</t>
  </si>
  <si>
    <t>30%</t>
  </si>
  <si>
    <t>50%</t>
  </si>
  <si>
    <t>70%</t>
  </si>
  <si>
    <t>* 정답 (③): 관련 법령에 따라 공공기관은 당해 연도 제품 구매총액의 50% 이상을 중소기업제품으로 의무 구매해야 합니다.</t>
  </si>
  <si>
    <t>판로지원법 시행령 제4조</t>
  </si>
  <si>
    <t>ABC 분석에서 A등급 품목의 특성으로 옳은 것은?</t>
  </si>
  <si>
    <t>품목 수와 구매금액 비중이 모두 낮다</t>
  </si>
  <si>
    <t>품목 수는 전체의 10~20% 수준이지만 구매금액 비중은 70~80%에 이른다</t>
  </si>
  <si>
    <t>품목 수와 구매금액 비중이 모두 중간 수준이다</t>
  </si>
  <si>
    <t>품목 수가 가장 많고 구매금액 비중은 가장 낮다</t>
  </si>
  <si>
    <t>* 정답 (②): ABC 분석의 A등급은 소수의 품목(약 10~20%)이 전체 구매금액의 대부분(약 70~80%)을 차지하는 핵심 관리대상 품목임.</t>
  </si>
  <si>
    <t>시장조사 절차에서 가장 먼저 수행해야 하는 단계는?</t>
  </si>
  <si>
    <t>기존 자료 검토</t>
  </si>
  <si>
    <t>가격 정보 수집</t>
  </si>
  <si>
    <t>잠재적 공급업체 식별</t>
  </si>
  <si>
    <t>조사의 목적과 범위 설정</t>
  </si>
  <si>
    <t>* 정답 (④): 시장조사는 먼저 조사의 목적과 범위를 명확히 설정한 뒤, 기존 정보 검토·시장구조 분석·업체 식별 등의 순서로 진행하는 것이 원칙임.</t>
  </si>
  <si>
    <t>다음 중 조달절차에서의 '경제성 평가'에 대한 설명으로 가장 옳지 않은 것은?</t>
  </si>
  <si>
    <t>경제성 평가 항목에는 가격뿐만 아니라 운송비, 운영비, 초기 비용, 총소유비용(TCO) 등 다양한 요소를 포함할 수 있다.</t>
  </si>
  <si>
    <t>서비스나 공사의 계약에서는 입찰자의 자유로운 서식 작성을 위해 물량내역서(BOQ) 등 비용내역서 제출 양식(템플릿)을 제공하지 않는다.</t>
  </si>
  <si>
    <t>경제적 측면에서 입찰서 등의 내용이 해당 조달사업에서 확보한 예산 범위 내에 있는지 여부를 반드시 확인해야 한다.</t>
  </si>
  <si>
    <t>경제성 평가 측면에서 검토·평가한 결과는 보고서에 정리해야 하며, 조달 담당자 또는 평가위원회가 이에 서명해야 한다.</t>
  </si>
  <si>
    <t>* 정답 (②): 서비스나 공사의 경우, 공사별 물량내역서(BOQ)와 같이 비용내역서를 제공하는 양식(템플릿)을 반드시 제공하여야 합니다.</t>
  </si>
  <si>
    <t>표준교재 2권 p.76</t>
  </si>
  <si>
    <t>조달사업의 '경제성 평가'를 수행할 때 고려해야 할 사항으로 가장 적절하지 않은 것은?</t>
  </si>
  <si>
    <t>입찰공고 문서에 평가요소로 포함될 경제성 평가 항목과 평가기준을 명확하게 제시해야 한다.</t>
  </si>
  <si>
    <t>시장 상황을 고려하여 경제성 측면에서 적정성을 분석하고, 가격 및 비용 요소가 합리적인지 검토해야 한다.</t>
  </si>
  <si>
    <t>재정 기준의 가중치는 모든 조달 사업에서 변함없이 고정된 비율로 일정하게 적용해야 한다.</t>
  </si>
  <si>
    <t>제안서의 재무평가는 입찰공고문에 명시된 재무적, 상업적 요건과 제안서를 비교하는 방식을 포함한다.</t>
  </si>
  <si>
    <t>* 정답 (③): 재정제안은 중요한 평가기준이지만, 재정 기준의 가중치는 고정된 것이 아니라 선택한 평가 방법에 따라 달라질 수 있습니다.</t>
  </si>
  <si>
    <t>추정가격과 예정가격을 비교한 설명으로 가장 옳은 것은?</t>
  </si>
  <si>
    <t>두 개념은 동일하며 구분할 실익이 없다</t>
  </si>
  <si>
    <t>예정가격은 계획 단계에서, 추정가격은 입찰 직전에 산정한다</t>
  </si>
  <si>
    <t>추정가격은 조달계획 단계의 개략적 추정치이고, 예정가격은 입찰 전 정밀 산정을 거쳐 법적 구속력을 갖는다</t>
  </si>
  <si>
    <t>추정가격이 예정가격보다 법적 구속력이 강하다</t>
  </si>
  <si>
    <t>* 정답 (③): 추정가격은 계획 단계의 개략적 추정(부가가치세 미포함)이고, 예정가격은 입찰 전 정밀하게 산정(부가가치세 포함)해 낙찰자·계약금액 결정의 법적 기준이 됨.</t>
  </si>
  <si>
    <t>예정가격 작성 시 원가계산 방식에서 '이윤'을 산정하기 위한 기준 금액 요소로 가장 옳은 것은?</t>
  </si>
  <si>
    <t>재료비 + 노무비 + 경비</t>
  </si>
  <si>
    <t>노무비 + 경비 + 일반관리비</t>
  </si>
  <si>
    <t>재료비 + 일반관리비</t>
  </si>
  <si>
    <t>재료비 + 노무비 + 경비 + 일반관리비</t>
  </si>
  <si>
    <t>* 정답 (②): 원가계산 시 이윤은 (노무비 + 경비 + 일반관리비)의 합계액에 정해진 이윤율을 곱하여 산정합니다. 기술적·원가적 특성상 '재료비'는 이윤 산정 대상 금액에서 제외됩니다.</t>
  </si>
  <si>
    <t>예정가격작성기준 제14조, 제21조</t>
  </si>
  <si>
    <t>정부계약 원가계산 방식의 각 비목별 산정 기준에 대한 설명으로 가장 옳지 않은 것은?</t>
  </si>
  <si>
    <t>순원가(제조원가)는 재료비, 노무비, 경비의 합계액으로 구성된다.</t>
  </si>
  <si>
    <t>일반관리비는 순원가(재료비·노무비·경비 합계액)에 일반관리비율을 곱하여 산정한다.</t>
  </si>
  <si>
    <t>이윤은 재료비를 포함한 총원가 전체 금액에 이윤율을 곱하여 산정한다.</t>
  </si>
  <si>
    <t>원가계산에 의한 예정가격 산정 시 관련 법령에서 정한 비목별 승율(비율) 상한을 초과할 수 없다.</t>
  </si>
  <si>
    <t>* 정답 (③): 이윤 산정 시 '재료비'는 포함되지 않습니다. 이윤은 총원가가 아닌 (노무비 + 경비 + 일반관리비)의 합계액을 기준으로 계산합니다.</t>
  </si>
  <si>
    <t>원가계산에 의한 예정가격 산정 구조에서 재료비, 노무비, 경비를 모두 합한 금액을 의미하는 용어는?</t>
  </si>
  <si>
    <t>총원가</t>
  </si>
  <si>
    <t>일반관리비</t>
  </si>
  <si>
    <t>순제조원가</t>
  </si>
  <si>
    <t>* 정답 (③): 재료비, 노무비, 경비의 합계는 '순제조원가'에 해당합니다. 여기에 일반관리비를 더하면 '총원가', 총원가에 이윤과 부가가치세를 더하면 최종 원가계산 가격이 산출됩니다.</t>
  </si>
  <si>
    <t>표준교재 2권 p.121</t>
  </si>
  <si>
    <t>다음 중 조달 과정에서 발생할 수 있는 납품 지연(Late delivery) 위험의 '발생 가능성 완화 방안'에 해당하는 것은?</t>
  </si>
  <si>
    <t>지연배상금(Liquidated damage) 부과</t>
  </si>
  <si>
    <t>비상계획(Contingency plan) 수립</t>
  </si>
  <si>
    <t>적정한 계획(Proper planning) 마련</t>
  </si>
  <si>
    <t>여유분(버퍼) 및 비상재고 유지</t>
  </si>
  <si>
    <t>* 정답 (①): 지연배상금과 선제적 계약관리는 납품 지연의 '발생 가능성을 완화'하기 위한 사전 방안입니다. 반면 ②, ③, ④는 납품 지연 사태가 발생했을 때 그 '결과나 영향을 완화'하기 위한 방안에 해당합니다.</t>
  </si>
  <si>
    <t>표준교재 2권 p.263</t>
  </si>
  <si>
    <t>[상황] 계약담당자가 계약상대자의 이행 실패 위험에 대비해, 그 손실 부담을 보험사 등 제3자가 나누어 지도록 하는 조치를 취했다. 이러한 위험 대응 전략은?</t>
  </si>
  <si>
    <t>위험 수용(별도 조치 없이 감수)</t>
  </si>
  <si>
    <t>위험 전가(이행보증보험 가입 요구)</t>
  </si>
  <si>
    <t>위험 분산(공급선 다변화)</t>
  </si>
  <si>
    <t>위험 회피(사업 자체 취소)</t>
  </si>
  <si>
    <t>* 정답 (②): 이행보증보험 가입 요구처럼 위험의 재무적 결과를 제3자(보험사)에게 이전하는 전략을 위험의 전가(Transfer)라 함.</t>
  </si>
  <si>
    <t>표준교재 2권 p.262</t>
  </si>
  <si>
    <t>위험관리매트릭스에서 발생 확률과 영향도가 모두 높게 평가된 위험의 등급으로 옳은 것은?</t>
  </si>
  <si>
    <t>낮음</t>
  </si>
  <si>
    <t>결정적</t>
  </si>
  <si>
    <t>높음</t>
  </si>
  <si>
    <t>중간</t>
  </si>
  <si>
    <t>* 정답 (②): 발생확률·영향도가 모두 높은 위험은 결정적(Critical)으로 분류</t>
  </si>
  <si>
    <t>표준교재 2권 p.260</t>
  </si>
  <si>
    <t>공공조달 수요 분석 및 공급계획의 기본 개념/원칙으로 가장 적절한 것은?</t>
  </si>
  <si>
    <t>* 정답 (④): 공공조달의 기본 원칙은 사전확정·공개·기록·동일적용이다. 이를 통해 공정성과 투명성을 확보하고, 감사·분쟁 리스크를 줄일 수 있다(출처: 조달청 교재 단원별 문제구성).</t>
  </si>
  <si>
    <t>공공조달 수요 분석 및 공급계획 관련 실무통제(리스크 관리)로 가장 적절한 것은?</t>
  </si>
  <si>
    <t>* 정답 (④): 문서화와 사전공유는 분쟁 예방, 성과관리, 책임소재 명확화에 가장 효과적인 실무통제 방법이다(출처: 조달청 교재 단원별 문제구성).</t>
  </si>
  <si>
    <t>공공조달 수요 분석 및 공급계획에 관한 설명으로 옳은 것은?</t>
  </si>
  <si>
    <t>* 정답 (①): 절차 준수와 기록(근거)은 공공조달에서 필수 요건이다. 모든 핵심 판단은 관련 규정에 따라 수행되고, 그 과정과 결과가 기록으로 남아야 사후 감사와 분쟁에 대응할 수 있다(출처: 조달청 교재 단원별 문제구성).</t>
  </si>
  <si>
    <t>공급업체가 공공조달 수요정보를 수집할 수 있는 채널로 적절하지 않은 것은?</t>
  </si>
  <si>
    <t>나라장터(g2b.go.kr)의 발주계획 및 입찰공고</t>
  </si>
  <si>
    <t>조달데이터허브(data.g2b.go.kr)의 계약 실적 통계</t>
  </si>
  <si>
    <t>수요기관 담당자의 비공식 사전 정보 제공</t>
  </si>
  <si>
    <t>각 지방자치단체의 전자조달시스템</t>
  </si>
  <si>
    <t>* 정답 (③): 공공조달의 수요정보는 공식적인 전자조달 플랫폼(나라장터, 조달데이터허브, 지자체 시스템)을 통해 수집해야 한다. 담당자의 비공식 사전 정보 제공은 공정성을 저해하는 행위에 해당할 수 있어 적절한 수요정보 수집 채널이 아니다.</t>
  </si>
  <si>
    <t>5단계 공급계획 수립 절차를 올바른 순서로 나열한 것은?</t>
  </si>
  <si>
    <t>수요 분석 → 수요정보 수집 → 입찰전략 수립 → 공급역량 평가 → 실행계획 확정</t>
  </si>
  <si>
    <t>수요정보 수집 → 수요 분석 → 공급역량 평가 → 입찰전략 수립 → 실행계획 확정</t>
  </si>
  <si>
    <t>공급역량 평가 → 수요정보 수집 → 수요 분석 → 실행계획 확정 → 입찰전략 수립</t>
  </si>
  <si>
    <t>입찰전략 수립 → 수요 분석 → 수요정보 수집 → 공급역량 평가 → 실행계획 확정</t>
  </si>
  <si>
    <t>* 정답 (②): 5단계 공급계획 수립은 ① 수요정보 수집 → ② 수요 분석 → ③ 공급역량 평가 → ④ 입찰전략 수립 → ⑤ 실행계획 확정의 순서로 진행된다. 수요정보를 먼저 수집·분석한 후, 자사 역량을 평가하고 전략을 수립하는 논리적 흐름을 따른다.</t>
  </si>
  <si>
    <t>입찰혼잡도에 대한 설명으로 옳은 것은?</t>
  </si>
  <si>
    <t>발주기관이 공고한 입찰의 예산 규모를 나타내는 지표이다.</t>
  </si>
  <si>
    <t>특정 입찰에 참여하는 업체 수(경쟁 강도)를 나타내는 지표이다.</t>
  </si>
  <si>
    <t>낙찰자 결정에 소요되는 기간을 측정하는 지표이다.</t>
  </si>
  <si>
    <t>입찰 무효율(무효 입찰 비율)을 산정하는 지표이다.</t>
  </si>
  <si>
    <t>* 정답 (②): 입찰혼잡도는 특정 입찰에 참여하는 업체 수, 즉 경쟁 강도를 나타내는 지표이다. 혼잡도가 높을수록 경쟁이 심화되어 낙찰 확률이 낮아지므로, 공급업체의 입찰 참여 의사결정에 중요한 참고지표가 된다.</t>
  </si>
  <si>
    <t>비상 공급계획에 포함되어야 할 내용으로 가장 거리가 먼 것은?</t>
  </si>
  <si>
    <t>원자재 공급 차질 시 대체 공급선 확보 방안</t>
  </si>
  <si>
    <t>생산 지연 발생 시 협력업체 긴급 지원 체계</t>
  </si>
  <si>
    <t>경쟁업체의 입찰가격 정보 수집 방안</t>
  </si>
  <si>
    <t>외부 환경 변화(자연재해 등)에 대한 사업 연속성 계획</t>
  </si>
  <si>
    <t>* 정답 (③): 비상 공급계획은 공급 차질에 대한 대안적 대응 체계를 다루는 것이다. 경쟁업체의 입찰가격 정보 수집은 비상계획과 무관하며, 나아가 공정경쟁 질서를 저해하는 행위에 해당할 수 있다.</t>
  </si>
  <si>
    <t>공공조달 수요정보 수집의 4대 채널에 해당하지 않는 것은?</t>
  </si>
  <si>
    <t>나라장터(g2b.go.kr) — 발주계획·사전규격 공개·입찰공고</t>
  </si>
  <si>
    <t>지자체 전자조달시스템 — 지자체별 발주계획·수의계약 정보</t>
  </si>
  <si>
    <t>조달데이터허브(data.g2b.go.kr) — 조달 통계·계약실적</t>
  </si>
  <si>
    <t>한국은행 경제통계시스템 — 거시경제 지표</t>
  </si>
  <si>
    <t>* 정답 (④): 공공조달 수요정보 수집의 4대 채널은 ① 나라장터, ② 지자체 전자조달시스템, ③ 조달데이터허브, ④ 정책정보(재정경제부·각 부처 홈페이지)이다. 한국은행 경제통계시스템은 거시경제 지표 제공으로 공공조달 수요정보의 직접 채널이 아니다.</t>
  </si>
  <si>
    <t>공공조달 수요정보의 3가지 유형에 관한 설명으로 옳은 것은?</t>
  </si>
  <si>
    <t>발주예정정보(사전 공개) → 입찰공고정보(공식 공고) → 계약실적정보(사후 데이터)의 시간 순서로 구분된다.</t>
  </si>
  <si>
    <t>모든 수요정보는 입찰공고와 동시에 공개된다.</t>
  </si>
  <si>
    <t>계약실적정보는 향후 수요예측에 활용할 수 없다.</t>
  </si>
  <si>
    <t>발주예정정보는 입찰공고 후 사후 공개되는 정보이다.</t>
  </si>
  <si>
    <t>* 정답 (①): 수요정보는 시간 순서대로 ① 발주예정정보(사전 공개) → ② 입찰공고정보(공식 공고) → ③ 계약실적정보(사후 데이터)로 구분되며, 공급업체는 단기·중장기 전략 수립에 모두 활용한다.</t>
  </si>
  <si>
    <t>입찰혼잡도(Bidder Density) 개념에 관한 설명으로 옳지 않은 것은?</t>
  </si>
  <si>
    <t>특정 입찰에 참여하는 업체 수를 나타내는 경쟁 강도 지표이다.</t>
  </si>
  <si>
    <t>입찰혼잡도가 높을수록 낙찰 가능성은 일반적으로 낮아진다.</t>
  </si>
  <si>
    <t>공급업체가 입찰 참여 의사결정에 활용하는 지표이다.</t>
  </si>
  <si>
    <t>입찰혼잡도는 발주 규모와 비례하며 사업 규모가 클수록 항상 높다.</t>
  </si>
  <si>
    <t>* 정답 (④): 입찰혼잡도는 발주 규모와 직접 비례하지 않는다. 사업 특수성·진입장벽·시장 경쟁 구조 등 복합 요인에 따라 결정되며, 큰 사업이라도 진입장벽이 높으면 혼잡도가 낮을 수 있다.</t>
  </si>
  <si>
    <t>공급업체 관점의 5단계 공급계획 수립 절차로 옳은 것은?</t>
  </si>
  <si>
    <t>입찰전략 수립 → 수요정보 수집 → 실행계획 확정 → 수요 분석 → 공급역량 평가</t>
  </si>
  <si>
    <t>공급역량 평가 → 실행계획 확정 → 수요정보 수집 → 입찰전략 수립 → 수요 분석</t>
  </si>
  <si>
    <t>* 정답 (①): 공급업체의 5단계 공급계획은 ① 수요정보 수집(채널 다변화) → ② 수요 분석(시장규모·경쟁현황) → ③ 공급역량 평가(Go/No-Go 기준) → ④ 입찰전략 수립(목표·방법·일정) → ⑤ 실행계획 확정 순서이다.</t>
  </si>
  <si>
    <t>조달데이터허브를 활용한 수요 분석 차원에 해당하지 않는 것은?</t>
  </si>
  <si>
    <t>조달유형별 분석 — 물품·용역·공사별 계약 규모·건수 추이</t>
  </si>
  <si>
    <t>계약방법별 분석 — 일반경쟁·제한경쟁·수의계약 비중 변화</t>
  </si>
  <si>
    <t>품목별 분석 — 세부품명 단위 계약금액·건수·단가</t>
  </si>
  <si>
    <t>입찰자 학력별 분석 — 응찰 담당자의 학위 분포</t>
  </si>
  <si>
    <t>* 정답 (④): 조달데이터허브의 분석 차원은 ① 조달유형별, ② 계약방법별, ③ 품목별, ④ 기관별 분석이다. 입찰자 담당자 학력 분포는 분석 차원에 해당하지 않으며, 정보 자체가 공개되지도 않는다.</t>
  </si>
  <si>
    <t>다음 중 국제입찰에 대한 설명으로 옳지 않은 것은?</t>
  </si>
  <si>
    <t>추정가격이 국제입찰 기준금액 이상인 경우 적용된다.</t>
  </si>
  <si>
    <t>WTO 정부조달협정(GPA)과 FTA 정부조달 규정에 근거한다.</t>
  </si>
  <si>
    <t>입찰공고 기간은 국내입찰과 동일하게 7일 이상이다.</t>
  </si>
  <si>
    <t>외국업체의 참여를 허용해야 한다.</t>
  </si>
  <si>
    <t>* 정답 (③): 국제입찰의 공고 기간은 원칙적으로 40일 이상이며(단축 사유 시 24일), 국내입찰의 7일 이상과 큰 차이가 있다. 이는 외국업체가 참여를 준비할 수 있는 충분한 시간을 보장하기 위한 규정이다.</t>
  </si>
  <si>
    <t>포터의 5가지 경쟁세력모형에 해당하지 않는 것은?</t>
  </si>
  <si>
    <t>신규 진입의 위협</t>
  </si>
  <si>
    <t>구매자의 협상력</t>
  </si>
  <si>
    <t>공급업체의 재무 건전성</t>
  </si>
  <si>
    <t>대체재의 위협</t>
  </si>
  <si>
    <t>* 정답 (③): 포터의 5Forces는 ① 신규 진입의 위협, ② 공급자 협상력, ③ 구매자 협상력, ④ 대체재 위협, ⑤ 기존 업체 간 경쟁으로 구성된다. 공급업체의 재무 건전성은 내부 역량 분석(공급역량 분석)의 요소이지, 5Forces 모형의 구성 요소가 아니다.</t>
  </si>
  <si>
    <t>Kraljic 구매 포트폴리오 모델에서 '공급위험은 높고 비용지출은 낮은' 제품 유형은?</t>
  </si>
  <si>
    <t>일상적 제품(Routine)</t>
  </si>
  <si>
    <t>레버리지 제품(Leverage)</t>
  </si>
  <si>
    <t>병목 제품(Bottleneck)</t>
  </si>
  <si>
    <t>전략적 제품(Strategic)</t>
  </si>
  <si>
    <t>* 정답 (③): 병목 제품은 공급 안정성 확보가 어려우나(고위험) 비용지출 비중은 상대적으로 적은(저가치) 제품이다. 공급 확보와 비축 전략이 핵심 대응방안이며, 대표적으로 해외 의존도가 높은 특수 부품·소재가 해당한다.</t>
  </si>
  <si>
    <t>사전규격 공개 제도에 대한 설명으로 옳은 것은?</t>
  </si>
  <si>
    <t>입찰 결과 공개 후에 진행되는 사후적 규격 검토 절차이다.</t>
  </si>
  <si>
    <t>발주기관이 입찰 전에 규격을 공개하여 공급업체의 의견을 수렴하는 제도이다.</t>
  </si>
  <si>
    <t>공급업체가 직접 규격을 작성하여 발주기관에 제출하는 절차이다.</t>
  </si>
  <si>
    <t>낙찰 후 규격 변경을 요청할 수 있는 제도이다.</t>
  </si>
  <si>
    <t>* 정답 (②): 물품·용역 경쟁입찰 시 입찰 전에 규격서 등을 5일간(긴급 시 3일간) 사전 공개하여 업계 의견을 수렴해야 함(「정부 입찰·계약 집행기준」 제77조)</t>
  </si>
  <si>
    <t>공공조달에서 '어떤 범위의 업체가 참여하는가'를 기준으로 분류되는 방법은?</t>
  </si>
  <si>
    <t>조달방법 — 조달 채널·절차 유형으로 구분(일반조달, MAS, 제3자단가계약 등)</t>
  </si>
  <si>
    <t>입찰방법 — 공고 대상·지역 범위로 구분(국내입찰, 국제입찰)</t>
  </si>
  <si>
    <t>계약방법 — 경쟁 형태·업체 선정 절차로 구분(일반경쟁, 제한경쟁, 수의계약 등)</t>
  </si>
  <si>
    <t>낙찰방법 — 가격·기술 평가 방식으로 구분(최저가, 적격심사, 협상 등)</t>
  </si>
  <si>
    <t>* 정답 (②): 공공조달은 조달방법(어떤 경로로 조달하는가), 입찰방법(어떤 범위의 업체가 참여하는가), 계약방법(어떤 방식으로 낙찰자를 정하는가)의 3가지 차원으로 구분된다. 입찰방법은 공고 대상·지역 범위에 따라 국내입찰과 국제입찰로 나뉘며, 추정가격 기준금액 이상이면 국제입찰 의무가 발생한다.</t>
  </si>
  <si>
    <t>입찰공고 법적 적정성 검토 8개 항목 중 '규격·과업 명확성' 항목의 핵심 확인 내용으로 옳은 것은?</t>
  </si>
  <si>
    <t>입찰공고일부터 입찰일까지의 간격이 법정 최소 기간 이상인지 확인한다.</t>
  </si>
  <si>
    <t>실적·면허·지역 등 불필요한 자격 제한이 없는지 확인한다.</t>
  </si>
  <si>
    <t>규격서가 특정 업체·제품에 편향되지 않았는지 확인한다.</t>
  </si>
  <si>
    <t>입찰보증금의 납부 방법·금액이 법령 기준에 부합하는지 확인한다.</t>
  </si>
  <si>
    <t>* 정답 (③): 규격·과업 명확성 검토는 규격서(또는 과업지시서)가 특정 업체나 제품에만 부합하도록 편향 작성되지 않았는지를 확인하는 항목이다(계약예규 「정부 입찰·계약 집행기준」 제5조 제4항 제5호). '①'은 공고기간 준수, '②'는 참가자격 적정성, '④'는 입찰보증금 항목에 해당한다.</t>
  </si>
  <si>
    <t>사후정산 제도에 관한 설명으로 옳은 것은?</t>
  </si>
  <si>
    <t>계약 체결 이후 물가 변동이 발생한 경우 자동으로 적용되는 가격 조정 제도이다.</t>
  </si>
  <si>
    <t>계약 시점에 정확한 원가 산정이 어려운 경우 잠정가격으로 계약을 체결한 후 실제 투입 원가 확정 시 정산하는 제도이다.</t>
  </si>
  <si>
    <t>낙찰 후 공급업체가 임의로 원가를 추가 산정하여 발주기관에 청구할 수 있는 제도이다.</t>
  </si>
  <si>
    <t>모든 공공조달 계약에 의무적으로 적용되는 표준 절차이다.</t>
  </si>
  <si>
    <t>* 정답 (②): 사후정산은 긴급 조달, 신기술 적용 사업, 연구개발 성격의 계약처럼 계약 체결 시점에 정확한 원가 산정이 어려운 경우에 활용된다. 잠정가격으로 우선 계약을 체결하고 실제 원가가 확정되면 정산하는 방식으로, 공급업체의 원가 불확실성 리스크를 완화하는 제도적 장치이다.</t>
  </si>
  <si>
    <t>포터의 5가지 경쟁세력모형을 공공조달 시장에 적용할 때, 공공조달의 구조적 특성상 일반적으로 가장 강하게 작용하는 경쟁세력은?</t>
  </si>
  <si>
    <t>신규 진입의 위협 — 진입장벽의 높낮이에 따른 시장 매력도</t>
  </si>
  <si>
    <t>공급자의 협상력 — 원재료·부품 공급자의 교섭력</t>
  </si>
  <si>
    <t>구매자의 협상력 — 수요기관(발주처)의 교섭력</t>
  </si>
  <si>
    <t>대체재의 위협 — 신기술·혁신 제품에 의한 기존 제품 대체 가능성</t>
  </si>
  <si>
    <t>* 정답 (③): 공공조달 시장에서는 구매자(수요기관·발주기관)의 협상력이 상대적으로 강한 특성이 있다. 발주기관은 경쟁입찰을 통해 다수의 공급업체 중에서 선택할 수 있는 위치에 있기 때문이다. 이에 공급업체는 기술력·품질 차별화를 통해 대체 불가능한 가치를 제공함으로써 교섭력을 높이는 전략이 유효하다.</t>
  </si>
  <si>
    <t>Kraljic 구매 포트폴리오 모델에서 '공급위험이 높고 비용지출도 높은' 전략적 제품(Strategic)에 대한 공급업체의 적절한 대응 전략은?</t>
  </si>
  <si>
    <t>효율적 공급 프로세스와 전자상거래 기반 대응으로 거래비용을 최소화한다.</t>
  </si>
  <si>
    <t>물량 할인·품질 차별화를 통해 대체상품 대비 경쟁 우위를 확보한다.</t>
  </si>
  <si>
    <t>안정적 공급 보장을 전면에 내세우고 장기 계약 확보를 우선 추진한다.</t>
  </si>
  <si>
    <t>수요기관과 장기 파트너십을 구축하고 상호 이익 기반의 협력 관계를 심화시킨다.</t>
  </si>
  <si>
    <t>* 정답 (④): 전략적 제품은 공급 확보가 어렵고(고위험) 비용 비중도 높아(고가치) 사업성과에 큰 영향을 미치는 유형이다. 이 유형에서 공급업체는 수요기관과 장기 파트너십을 구축하고 상호 이익 기반의 협력 관계를 심화하는 전략이 적합하다. '①'은 일상적(Routine), '②'는 레버리지(Leverage), '③'은 병목(Bottleneck) 제품에 해당하는 전략이다.</t>
  </si>
  <si>
    <t>공급업체의 내부 공급 역량을 평가하는 7개 핵심 영역에 해당하지 않는 것은?</t>
  </si>
  <si>
    <t>기술 역량 및 과거 실적</t>
  </si>
  <si>
    <t>품질 관리 및 납품 역량</t>
  </si>
  <si>
    <t>경쟁업체의 원가 구조 및 가격 전략 분석</t>
  </si>
  <si>
    <t>인력 배치 및 위험 관리 역량</t>
  </si>
  <si>
    <t>* 정답 (③): 내부 공급 역량 평가의 7개 영역은 기술역량, 과거 실적, 품질관리, 납품역량, 인력배치, 기술문서, 위험관리이다. 경쟁업체의 원가 구조 및 가격 전략 분석은 외부 시장 분석(공급 대상물 조달시장 분석)에 해당하며, 내부 역량 평가 영역이 아니다.</t>
  </si>
  <si>
    <t>공공조달 입찰공고의 법적 적정성 검토 8개 항목에 해당하지 않는 것은?</t>
  </si>
  <si>
    <t>공고 기간 준수 여부</t>
  </si>
  <si>
    <t>참가자격의 적정성(불필요한 자격 제한 여부)</t>
  </si>
  <si>
    <t>규격·과업의 명확성(특정 업체 편향 여부)</t>
  </si>
  <si>
    <t>입찰 참가 업체의 매출액 순위</t>
  </si>
  <si>
    <t>* 정답 (④): 8개 항목 법적 적정성 검토는 ① 공고 기간, ② 참가자격, ③ 규격·과업 명확성, ④ 예정가격 공개, ⑤ 낙찰 방법 명시, ⑥ 입찰 보증금, ⑦ 계약조건 적정성, ⑧ 공정경쟁 저해 여부이다. 입찰 참가 업체의 매출액 순위는 검토 항목이 아니다.</t>
  </si>
  <si>
    <t>사후정산 방식에 관한 설명으로 옳은 것은?</t>
  </si>
  <si>
    <t>원가 불확실성이 높은 사업에서 잠정가격으로 계약 후 실비를 정산하는 방식이다.</t>
  </si>
  <si>
    <t>모든 공공조달 계약에 의무 적용되는 정산 절차이다.</t>
  </si>
  <si>
    <t>공급업체의 원가 리스크를 증가시키는 방식이다.</t>
  </si>
  <si>
    <t>사후정산은 계약 체결 전에 모든 비용을 확정하는 방식이다.</t>
  </si>
  <si>
    <t>* 정답 (①): 사후정산은 원가 불확실성이 높은 사업(예: R&amp;D, 시범사업)에서 잠정가격으로 계약 후 실제 발생 비용을 정산하는 방식으로, 공급업체의 원가 리스크를 완화한다.</t>
  </si>
  <si>
    <t>포터의 5가지 경쟁세력모형(Five Forces Model) 구성 요소에 해당하지 않는 것은?</t>
  </si>
  <si>
    <t>신규 진입자의 위협</t>
  </si>
  <si>
    <t>구매자·공급자의 교섭력</t>
  </si>
  <si>
    <t>정부 보조금의 규모</t>
  </si>
  <si>
    <t>* 정답 (④): 포터의 5 Forces는 ① 신규 진입자 위협, ② 대체재 위협, ③ 구매자 교섭력, ④ 공급자 교섭력, ⑤ 기존 경쟁자 간 경쟁 강도이다. 정부 보조금은 외부 환경 요인일 수 있으나 5 Forces 구성 요소에는 포함되지 않는다.</t>
  </si>
  <si>
    <t>Kraljic 구매 포트폴리오 모델의 분류 기준 두 축으로 옳은 것은?</t>
  </si>
  <si>
    <t>공급위험(Supply Risk)과 비용지출(Profit Impact)</t>
  </si>
  <si>
    <t>공급업체 수와 발주 빈도</t>
  </si>
  <si>
    <t>제품 가격과 납기 기간</t>
  </si>
  <si>
    <t>시장 규모와 성장률</t>
  </si>
  <si>
    <t>* 정답 (①): Kraljic 모델은 공급위험(Supply Risk)과 비용지출(Profit Impact) 두 축으로 4사분면(일반품·레버리지품·병목품·전략적 제품)을 구성한다. 공급업체는 자사 제품의 위치를 파악해 차별화 전략을 수립한다.</t>
  </si>
  <si>
    <t>Kraljic 모델의 '전략적 제품(Strategic)' 구간에 대한 공급업체 대응 전략으로 가장 적절한 것은?</t>
  </si>
  <si>
    <t>효율적 공급 프로세스와 전자상거래 기반 거래비용 최소화</t>
  </si>
  <si>
    <t>물량 할인·품질 차별화로 대체상품 대비 경쟁 우위 확보</t>
  </si>
  <si>
    <t>안정적 공급 보장과 장기 파트너십·장기 계약 확보 우선 추진</t>
  </si>
  <si>
    <t>신규 진입 회피와 기존 거래 단절</t>
  </si>
  <si>
    <t>* 정답 (③): 전략적 제품(공급위험 高 + 비용지출 高) 구간은 수요기관·공급업체 모두에 핵심 거래로, 공급업체는 안정적 공급 보장과 장기 파트너십을 통한 신뢰 기반 관계를 구축하는 것이 효과적이다. '①'은 일반품, '②'는 레버리지품, '④'는 비현실적 대응이다.</t>
  </si>
  <si>
    <t>경제적 적정성 분석 8단계 중 '유사 사업 실적과 비교하여 원가율을 대비'하는 단계는?</t>
  </si>
  <si>
    <t>3단계 — 비용 구성 분석</t>
  </si>
  <si>
    <t>5단계 — 낙찰일정 검토</t>
  </si>
  <si>
    <t>7단계 — 비교 분석</t>
  </si>
  <si>
    <t>8단계 — 최종 결정</t>
  </si>
  <si>
    <t>* 정답 (③): 7단계 비교분석은 과거 유사 사업의 실적 데이터(단가·원가율)와 현재 사업의 비용을 대비하여 적정성을 확인하는 단계이다. 이를 통해 현재 사업의 예산이 시장 수준에 부합하는지 객관적으로 판단할 수 있다.</t>
  </si>
  <si>
    <t>「예정가격 작성기준」 제13조(별표 3)상 물품(제조) 원가계산에서 일반관리비율의 적용 기준으로 옳은 것은?</t>
  </si>
  <si>
    <t>모든 업종에 일률적으로 제조원가의 6% 이내 적용</t>
  </si>
  <si>
    <t>업종 분류별로 6% ~ 14% 범위 내 법정 한도가 차등 적용</t>
  </si>
  <si>
    <t>업종 구분 없이 노무비의 25% 이내 적용</t>
  </si>
  <si>
    <t>일반관리비는 법정 한도 없이 계약상대자가 자유롭게 산정</t>
  </si>
  <si>
    <t>* 정답 (②): 「예정가격 작성기준」 제13조 별표 3은 업종별로 6%(제1차 금속제품) ~ 14%(음·식료품, 섬유, 종이 등) 범위에서 일반관리비율 한도를 차등 정하고 있다. 일률 적용이 아니다.</t>
  </si>
  <si>
    <t>조달대상물별 이윤의 법정 최고 계상비율을 올바르게 연결한 것은?</t>
  </si>
  <si>
    <t>물품 25% / 공사 15% / 용역(학술연구) 10%</t>
  </si>
  <si>
    <t>물품 15% / 공사 25% / 용역(학술연구) 10%</t>
  </si>
  <si>
    <t>물품 25% / 공사 10% / 용역(학술연구) 15%</t>
  </si>
  <si>
    <t>물품 10% / 공사 15% / 용역(학술연구) 25%</t>
  </si>
  <si>
    <t>* 정답 (①): 물품(제조)은 25%, 공사는 15%, 학술연구용역은 10%가 각각의 이윤 최고 계상비율이다. 물품이 가장 높고(제조업 특성), 용역이 가장 낮은(인력 중심) 점을 기억한다.</t>
  </si>
  <si>
    <t>직접노무비에 대한 설명으로 옳지 않은 것은?</t>
  </si>
  <si>
    <t>제조 현장에서 계약목적물 완성을 위해 직접 작업에 종사하는 인력의 대가이다.</t>
  </si>
  <si>
    <t>기본급, 제수당, 상여금, 퇴직급여충당금의 합계액이다.</t>
  </si>
  <si>
    <t>상여금은 기본급 기준 연 400%를 초과하여 계상할 수 없다.</t>
  </si>
  <si>
    <t>엔지니어링 인력의 인건비도 직접노무비에 포함된다.</t>
  </si>
  <si>
    <t>* 정답 (④): 엔지니어링 인력의 인건비는 직접노무비가 아닌 별도 기준(건설엔지니어링 대가기준 등)으로 산정한다. 직접노무비는 제조 현장에서 직접 작업에 종사하는 생산인력의 대가에 한정된다.</t>
  </si>
  <si>
    <t>적정성 분석 8단계에서 수익성·위험·전략적 가치(시장 진출·레퍼런스 확보·기술 축적 등)를 종합하여 입찰 참여 여부를 최종 확정하는 단계는?</t>
  </si>
  <si>
    <t>5단계 — 낙찰일정 검토(투찰률·사정률 분석으로 예상 낙찰금액 추정)</t>
  </si>
  <si>
    <t>6단계 — 요구수준 분석(기술·품질 요구 대비 비용 증가 요인 식별)</t>
  </si>
  <si>
    <t>7단계 — 비교 분석(유사 사업 실적의 단가·원가율 대비)</t>
  </si>
  <si>
    <t>8단계 — 최종 결정(Go/No-Go 결정)</t>
  </si>
  <si>
    <t>* 정답 (④): 8단계 최종 결정은 앞선 7단계의 분석 결과를 종합하여 입찰 참여 여부(Go/No-Go)를 확정하는 단계이다. 수익성만이 아니라 시장 진출 기회, 레퍼런스 확보, 기술 축적 등 전략적 가치도 함께 고려한다. 각 단계에서 부적정 사항이 발견되면 해당 단계에서 참여를 보류하거나 보완 방안을 마련한 후 다음 단계로 진행한다.</t>
  </si>
  <si>
    <t>물품(제조) 원가계산에서 이윤을 산정하는 기준과 한도로 옳은 것은?</t>
  </si>
  <si>
    <t>직접재료비 + 직접노무비를 기준으로 25% 이내에서 산정</t>
  </si>
  <si>
    <t>재료비 + 노무비 + 경비(제조원가)를 기준으로 25% 이내에서 산정</t>
  </si>
  <si>
    <t>노무비 + 경비 + 일반관리비를 기준으로 25% 이내에서 산정</t>
  </si>
  <si>
    <t>제조원가 + 일반관리비를 기준으로 25% 이내에서 산정</t>
  </si>
  <si>
    <t>* 정답 (③): 물품(제조) 원가계산에서 이윤은 '노무비 + 경비 + 일반관리비'를 기준으로 25% 이내에서 계상한다. 재료비는 이윤 산정 기준에 포함되지 않는다. 용역(학술연구)의 이윤도 동일하게 '인건비 + 경비 + 일반관리비' 기준이며, 한도는 10% 이내이고, 공사도 '노무비 + 경비 + 일반관리비' 기준의 15% 이내이다.</t>
  </si>
  <si>
    <t>물품(제조) 원가계산에서 간접노무비에 관한 설명으로 옳은 것은?</t>
  </si>
  <si>
    <t>직접 제조 작업에 종사하지 않으나 현장에서 보조·감독 업무에 종사하는 인력의 대가이다.</t>
  </si>
  <si>
    <t>기본급만 포함하며 제수당·상여금·퇴직급여충당금은 간접노무비에 포함되지 않는다.</t>
  </si>
  <si>
    <t>상여금은 기본급 기준 연 600%까지 계상이 가능하다.</t>
  </si>
  <si>
    <t>* 정답 (②): 간접노무비는 직접 제조 작업에 종사하지 않으나 현장에서 보조·감독 업무에 종사하는 인력(기본급 + 제수당 + 상여금 + 퇴직급여충당금)의 대가이다. 직접노무비와 마찬가지로 상여금은 기본급 기준 연 400%를 초과하여 계상할 수 없다. '①'은 직접노무비에 대한 설명이다.</t>
  </si>
  <si>
    <t>학술연구용역 원가계산에서 이윤 산정의 기준과 법정 한도로 옳은 것은?</t>
  </si>
  <si>
    <t>(재료비 + 노무비 + 경비)를 기준으로 25% 이내</t>
  </si>
  <si>
    <t>(인건비 + 경비)를 기준으로 15% 이내</t>
  </si>
  <si>
    <t>(인건비 + 경비 + 일반관리비)를 기준으로 10% 이내</t>
  </si>
  <si>
    <t>제조원가를 기준으로 6% 이내</t>
  </si>
  <si>
    <t>* 정답 (③): 학술연구용역의 이윤은 '인건비 + 경비 + 일반관리비'를 기준으로 10% 이내에서 계상한다. 물품(25%)·공사(15%) 이윤에 비해 가장 낮은 비율이 적용되는데, 이는 학술연구용역이 인력 중심 사업으로 고정자산 투입이 적기 때문이다. 일반용역도 동일한 10% 이내 기준을 적용한다.</t>
  </si>
  <si>
    <t>공사 원가계산에서 노무비 산정 기준으로 옳은 것은?</t>
  </si>
  <si>
    <t>기업 자체 임금 기준으로 산정(물품 제조 현장과 동일)</t>
  </si>
  <si>
    <t>연구원 급여 기준을 준용하여 산정(학술연구용역과 동일)</t>
  </si>
  <si>
    <t>시중노임단가(대한건설협회 발표 기준)를 적용하여 산정</t>
  </si>
  <si>
    <t>재정경제부가 매년 고시하는 단일 표준임금으로 산정</t>
  </si>
  <si>
    <t>* 정답 (③): 공사 원가계산에서 노무비는 대한건설협회 등에서 발표하는 시중노임단가를 적용하여 산정한다. 이는 물품(자사 임금 기준)이나 학술연구용역(연구원 급여 기준)과 구별되는 공사 고유의 기준이다. 건설 현장 인력의 직종별 노임단가를 기초로 한다. 공사 노무비의 상여금 한도도 기본급 연 400% 이내이다.</t>
  </si>
  <si>
    <t>공급업체의 비용분석 시 '낙찰률 고려'에 관한 실무 포인트로 옳은 것은?</t>
  </si>
  <si>
    <t>예정가격을 기준으로 수익성을 분석하면 충분하며 낙찰률 보정은 불필요하다.</t>
  </si>
  <si>
    <t>낙찰방법에 상관없이 계약금액은 항상 예정가격과 동일하게 결정되므로 별도 분석이 필요 없다.</t>
  </si>
  <si>
    <t>적격심사·최저가·종합심사 등 낙찰방법에 따라 실제 계약금액이 예정가격 대비 상당폭 감소할 수 있으므로, 예상 낙찰금액 기준으로 수익성을 분석해야 한다.</t>
  </si>
  <si>
    <t>낙찰률 분석은 발주기관의 임무이며 공급업체는 예정가격만 확인하면 된다.</t>
  </si>
  <si>
    <t>* 정답 (③): 공급업체는 수익성 분석 시 예정가격이 아닌 예상 낙찰금액을 기준으로 삼아야 한다. 적격심사·최저가·종합심사 등 낙찰방법에 따라 실제 계약금액이 예정가격 대비 상당폭 감소할 수 있기 때문이다. 아울러 대금지급 시기(선금·기성·준공)와 자사 자금 사정을 대비한 현금흐름 분석, 물가 변동·환율·설계 변경 가능성 등 리스크 비용 반영도 비용분석의 핵심 포인트이다.</t>
  </si>
  <si>
    <t>물품 제조원가계산의 비목 구조에 해당하지 않는 것은?</t>
  </si>
  <si>
    <t>재료비</t>
  </si>
  <si>
    <t>노무비</t>
  </si>
  <si>
    <t>경비</t>
  </si>
  <si>
    <t>광고선전비</t>
  </si>
  <si>
    <t>* 정답 (④): 물품 제조원가계산의 비목은 ① 재료비, ② 노무비, ③ 경비, ④ 일반관리비, ⑤ 이윤으로 구성된다. 광고선전비는 별도 비목이 아니라 일반관리비 항목 중 하나로 포함된다.</t>
  </si>
  <si>
    <t>용역 유형별 원가계산 기준에 관한 설명으로 옳지 않은 것은?</t>
  </si>
  <si>
    <t>학술연구용역은 연구원 급여(기본급+제수당+상여금+퇴직급여충당금+복리후생비)를 인건비 기준으로 한다.</t>
  </si>
  <si>
    <t>건설기술용역(설계·감리)은 직접인건비(기술자 노임단가)를 기준으로 한다.</t>
  </si>
  <si>
    <t>정보화용역(SW사업)은 학술연구용역과 동일 기준을 적용한다.</t>
  </si>
  <si>
    <t>모든 용역 유형은 동일한 원가계산 비목과 기준을 적용한다.</t>
  </si>
  <si>
    <t>* 정답 (④): 용역 유형별로 인건비 기준·일반관리비·이윤 비목과 한도가 다르다. 학술연구용역·일반용역은 '인건비+경비+일반관리비'의 10% 이내, 건설기술용역은 별도 기준 적용 등 차별화되어 있다.</t>
  </si>
  <si>
    <t>공공조달 비용분석 시 유의사항에 관한 설명으로 옳은 것은?</t>
  </si>
  <si>
    <t>예정가격을 그대로 수익성 기준으로 사용해야 한다.</t>
  </si>
  <si>
    <t>낙찰률을 고려하여 예상 낙찰금액 기준으로 수익성을 분석해야 한다.</t>
  </si>
  <si>
    <t>현금흐름은 수익성과 무관하므로 분석할 필요가 없다.</t>
  </si>
  <si>
    <t>물가 변동·환율 변동은 사후 정산되므로 사전 추정할 필요가 없다.</t>
  </si>
  <si>
    <t>* 정답 (②): 적격심사·종합심사 등 낙찰방법에 따라 실제 계약금액이 예정가격 대비 상당폭 감소하므로, 예정가격이 아닌 예상 낙찰금액 기준으로 수익성을 분석해야 한다. 현금흐름·리스크 비용도 사전 분석이 필요하다.</t>
  </si>
  <si>
    <t>「국가계약법 시행규칙」 예정가격작성기준상 직접노무비와 간접노무비 구분에 관한 설명으로 옳은 것은?</t>
  </si>
  <si>
    <t>직접노무비는 해당 사업에 직접 종사하는 인력의 노무비, 간접노무비는 사업 관리·지원 인력의 노무비이다.</t>
  </si>
  <si>
    <t>직접노무비와 간접노무비는 동일하게 산정되며 구분이 없다.</t>
  </si>
  <si>
    <t>간접노무비만 예정가격에 반영되고 직접노무비는 제외된다.</t>
  </si>
  <si>
    <t>직접노무비는 사업 종료 후에만 산정 가능하다.</t>
  </si>
  <si>
    <t>* 정답 (①): 직접노무비는 해당 사업에 직접 종사하는 인력의 인건비, 간접노무비는 사업 관리·지원·간접 종사 인력의 인건비로 구분된다. 양자 모두 예정가격에 반영되며, 비목 분류와 산정 방식이 다르다.</t>
  </si>
  <si>
    <t>일반관리비 및 이윤의 법정 한도에 관한 설명으로 옳지 않은 것은?</t>
  </si>
  <si>
    <t>일반관리비와 이윤은 「국가계약법 시행규칙」 예정가격작성기준에서 법정 최고 비율을 정하고 있다.</t>
  </si>
  <si>
    <t>학술연구용역의 이윤은 인건비+경비+일반관리비 합계의 10% 이내이다.</t>
  </si>
  <si>
    <t>일반관리비·이윤은 공급업체가 자유롭게 결정할 수 있으며 법정 한도가 없다.</t>
  </si>
  <si>
    <t>조달대상물(물품·용역·공사) 유형에 따라 한도 비율이 달라진다.</t>
  </si>
  <si>
    <t>* 정답 (③): 일반관리비와 이윤은 「국가계약법 시행규칙」에서 조달대상물 유형별로 법정 최고 비율을 정하고 있어 자유 결정 대상이 아니다. 공급업체는 법정 한도 내에서 입찰가격을 산정해야 한다.</t>
  </si>
  <si>
    <t>공공조달 동향 모니터링의 대상 영역으로 적절하지 않은 것은?</t>
  </si>
  <si>
    <t>조달 정책 변화 및 법령 개정 동향</t>
  </si>
  <si>
    <t>국가재정운용계획 및 부처별 예산 동향</t>
  </si>
  <si>
    <t>경쟁업체 임직원의 인사 이동 정보</t>
  </si>
  <si>
    <t>시장 경쟁 구조 변화 및 기술 트렌드</t>
  </si>
  <si>
    <t>* 정답 (③): 공공조달 동향 모니터링은 조달정책, 예산동향, 시장경쟁구조, 기술트렌드 등 공식적이고 체계적인 정보를 대상으로 한다. 경쟁업체 임직원의 인사 이동은 공식적 모니터링 대상이 아니며, 사적 정보 수집에 해당할 수 있다.</t>
  </si>
  <si>
    <t>다수공급자계약(MAS)의 장점으로 옳지 않은 것은?</t>
  </si>
  <si>
    <t>안정적 판매 채널을 확보할 수 있다.</t>
  </si>
  <si>
    <t>다수의 수요기관에 접근이 용이하다.</t>
  </si>
  <si>
    <t>가격 경쟁 없이 독점적 공급이 보장된다.</t>
  </si>
  <si>
    <t>반복적인 개별 입찰 준비 부담이 감소한다.</t>
  </si>
  <si>
    <t>* 정답 (③): MAS는 다수 공급업체가 동일 품목에 등록하여 수요기관이 선택하는 구조이므로 가격 경쟁이 치열하다. 특히 2단계 경쟁 등을 통해 경쟁이 이루어지므로, 독점적 공급이 보장되는 것은 아니다.</t>
  </si>
  <si>
    <t>파레토분석(80 : 20 법칙)에 대한 설명으로 옳지 않은 것은?</t>
  </si>
  <si>
    <t>상위 20%의 수요기관이 전체 공급실적의 약 80%를 결정한다.</t>
  </si>
  <si>
    <t>핵심 수요기관을 식별하여 집중 관리하는 전략 수립에 활용된다.</t>
  </si>
  <si>
    <t>모든 수요기관에 동일한 수준의 자원을 배분해야 한다는 원칙이다.</t>
  </si>
  <si>
    <t>공급업체의 한정된 자원을 효과적으로 배분하기 위한 분석 도구이다.</t>
  </si>
  <si>
    <t>* 정답 (③): 파레토분석의 핵심은 모든 거래처에 균등 배분이 아니라, 핵심 20%에 자원을 집중하여 효과를 극대화하는 것이다. 동일 배분은 파레토 원칙과 정반대의 접근이다.</t>
  </si>
  <si>
    <t>공급자 선호 매트릭스에서 수요기관의 매력도가 높고 공급업체의 공급가치도 높은 사분면은?</t>
  </si>
  <si>
    <t>핵심(Core)</t>
  </si>
  <si>
    <t>악용(Exploitable)</t>
  </si>
  <si>
    <t>방해(Nuisance)</t>
  </si>
  <si>
    <t>개발(Development)</t>
  </si>
  <si>
    <t>* 정답 (①): 핵심(Core) 사분면은 수요기관의 매력도와 공급업체의 공급가치가 모두 높은 이상적 관계이다. 장기적 파트너십을 강화하고, 적정 대가 보장과 품질 향상에 지속 투자하는 전략이 적합하다.</t>
  </si>
  <si>
    <t>공급자 선호 매트릭스에서 매력도는 높으나 공급가치가 낮아 장기적 관계 구축이 필요한 사분면은?</t>
  </si>
  <si>
    <t>* 정답 (④): 개발(Development) 사분면은 수요기관의 매력도는 높으나 현재 공급업체가 제공하는 가치가 낮은 상태이다. 공급 역량에 투자하여 공급가치를 높이고, 장기적으로 핵심(Core) 사분면으로 이동시키는 전략이 필요하다.</t>
  </si>
  <si>
    <t>제3자단가계약에 관한 설명으로 옳지 않은 것은?</t>
  </si>
  <si>
    <t>조달청이 단가를 사전에 확정한 후 수요기관이 납품을 요청하는 방식이다.</t>
  </si>
  <si>
    <t>안정적 물량 확보와 납품 절차 간소화가 주요 장점이다.</t>
  </si>
  <si>
    <t>건별 입찰에 참여하여 사업별 맞춤 대응이 가능한 것이 핵심 특징이다.</t>
  </si>
  <si>
    <t>가격 조정이 어렵고 계약 갱신의 불확실성이 단점으로 꼽힌다.</t>
  </si>
  <si>
    <t>* 정답 (③): 건별 입찰 참여와 사업별 맞춤 대응이 가능한 것은 일반조달(개별계약)의 특징이다. 제3자단가계약은 조달청이 단가를 사전에 확정하고 수요기관이 납품요구를 하는 방식으로, 안정적 물량 확보와 납품 절차 간소화가 장점이지만 가격 조정이 어렵고 계약 갱신 불확실성이 단점이다.</t>
  </si>
  <si>
    <t>공급자 선호 매트릭스에서 수요기관의 매력도는 낮으나 공급업체의 공급가치가 높은 '악용(Exploitable)' 사분면의 적절한 대응 전략은?</t>
  </si>
  <si>
    <t>관계를 강화하고 품질에 지속 투자하여 장기 파트너십을 심화한다.</t>
  </si>
  <si>
    <t>대안 거래처를 탐색하고 수요 불확실성에 적극적으로 대비한다.</t>
  </si>
  <si>
    <t>거래 조건을 재검토하고 단계적 거래 축소·중단을 검토한다.</t>
  </si>
  <si>
    <t>공급 역량에 투자하여 공급가치를 높이고 장기적 관계를 구축한다.</t>
  </si>
  <si>
    <t>* 정답 (②): 악용(Exploitable)은 수요기관 매력도는 낮지만 공급업체의 공급가치가 높은 상태로, 공급업체에게 유리하나 지속성이 불확실한 관계이다. 해당 수요기관에 대한 의존도를 줄이기 위해 대안 거래처를 탐색하고 수요 불확실성에 대비하는 전략이 적합하다. '①'은 Core, '③'은 Nuisance, '④'는 Development의 대응 전략이다.</t>
  </si>
  <si>
    <t>공급관리 위험분석에서 '원자재 가격 변동이나 환율 변동으로 인해 원가가 상승하고 계약 마진이 축소되는 위험'에 해당하는 유형은?</t>
  </si>
  <si>
    <t>공급 위험 — 공급선 단절이나 품질 불량으로 인한 납기 지연·계약 위반</t>
  </si>
  <si>
    <t>수요 위험 — 발주 취소·축소나 정책 변경으로 인한 매출 감소</t>
  </si>
  <si>
    <t>가격 위험 — 원자재 가격 변동·환율 변동으로 인한 원가 상승·마진 축소</t>
  </si>
  <si>
    <t>관계 위험 — 수요기관 담당자 교체나 정치적 환경 변화로 인한 기존 관계 악화</t>
  </si>
  <si>
    <t>* 정답 (③): 가격 위험은 원자재 가격 변동이나 환율 변동으로 인해 원가가 상승하고 마진이 축소되거나 적자 사업으로 전환될 위험이다. 대응 방안으로는 물가조정 조항 활용, 선도거래·헤지 결제 등이 있다. 공급위험(공급선 단절·품질 불량), 수요위험(발주 취소·정책 변경), 법규위험(자격 변경·규격 강화), 관계위험(담당자 교체)과 구분하여 이해해야 한다.</t>
  </si>
  <si>
    <t>파레토분석에서 A그룹(핵심 상위 20% 수요기관)에 대한 관리 전략으로 옳지 않은 것은?</t>
  </si>
  <si>
    <t>관계 강화와 품질 집중 관리를 실시한다.</t>
  </si>
  <si>
    <t>맞춤형 공급 서비스를 제공하여 차별적 가치를 창출한다.</t>
  </si>
  <si>
    <t>적정 대가 확보에 집중한다.</t>
  </si>
  <si>
    <t>표준화된 공급 프로세스와 자동화·전자상거래를 적극 활용하여 효율성 중심으로 관리한다.</t>
  </si>
  <si>
    <t>* 정답 (④): 표준화된 공급 프로세스 적용과 자동화·전자상거래 활용을 통한 비용 효율성 중심 관리는 B·C그룹(나머지 80% 수요기관, 매출의 약 20% 기여)에 적합한 전략이다. A그룹(핵심 20%)은 공급업체 사업성과의 80%를 좌우하므로, 관계 강화·품질 집중·맞춤형 서비스·적정 대가 확보에 초점을 맞춰야 한다.</t>
  </si>
  <si>
    <t>공급업체의 수요예측 기법 중 '조달데이터허브에서 최근 3 ~ 5년간 동일 품목의 계약실적 추이를 분석하여 다음 연도 발주 규모를 추정하는' 방식에 해당하는 것은?</t>
  </si>
  <si>
    <t>기술 트렌드 기반 예측 — 신기술·신제품 출현과 표준 규격 변경 동향 분석</t>
  </si>
  <si>
    <t>과거 실적 기반 예측 — 동일 품목의 계약실적 추이를 시계열 분석</t>
  </si>
  <si>
    <t>정책 기반 예측 — 정부 재정정책 방향(친환경·디지털 전환 등)에 따른 수요 전망</t>
  </si>
  <si>
    <t>시장 구조 기반 예측 — 경쟁업체 수·신규 진입·퇴출 추이를 통한 경쟁 강도 변화 예측</t>
  </si>
  <si>
    <t>* 정답 (②): 과거 실적 기반 예측은 조달데이터허브에서 최근 3~5년간 동일 품목의 계약실적 추이를 분석하여 다음 연도 발주 규모를 추정하는 방식이다. 수요예측 기법은 ① 과거실적 기반, ② 정책 기반, ③ 시장 구조 기반의 3가지로 구분된다. 기술 트렌드 분석은 동향 모니터링 대상 영역의 하나이다.</t>
  </si>
  <si>
    <t>공급업체의 수요예측 기법에 해당하지 않는 것은?</t>
  </si>
  <si>
    <t>과거 실적 기반 예측 — 조달데이터허브 3~5년 실적 추이 분석</t>
  </si>
  <si>
    <t>정책 기반 예측 — 정부 재정정책 방향에 따른 품목 수요 전망</t>
  </si>
  <si>
    <t>시장 구조 기반 예측 — 경쟁업체 수·신규 진입·퇴출 추이 분석</t>
  </si>
  <si>
    <t>무작위 추첨 기반 예측 — 무작위 추첨으로 발주 규모 결정</t>
  </si>
  <si>
    <t>* 정답 (④): 수요예측 3가지 기법은 ① 과거 실적 기반, ② 정책 기반, ③ 시장 구조 기반이다. 무작위 추첨 기반 예측은 합리적 예측 기법이 아니며 공공조달 수요예측에 사용되지 않는다.</t>
  </si>
  <si>
    <t>파레토분석(80 : 20 법칙)의 공공조달 적용에 관한 설명으로 옳은 것은?</t>
  </si>
  <si>
    <t>전체 수요기관 중 상위 약 20%가 전체 공급실적의 약 80%를 차지하는 패턴을 활용한다.</t>
  </si>
  <si>
    <t>모든 수요기관에 동일한 자원을 균등 배분해야 한다는 원칙이다.</t>
  </si>
  <si>
    <t>수요기관과 공급업체의 비율이 80 : 20이라는 의미이다.</t>
  </si>
  <si>
    <t>파레토분석은 공공조달과 무관한 분석 기법이다.</t>
  </si>
  <si>
    <t>* 정답 (①): 파레토분석은 전체 수요기관 중 상위 약 20%(A그룹)가 공급업체 매출의 약 80%를 차지하는 패턴을 활용해, 한정된 자원을 효과적으로 배분하는 우선순위 전략 수립에 활용된다.</t>
  </si>
  <si>
    <t>공급방법별 장단점 비교에 관한 설명으로 옳지 않은 것은?</t>
  </si>
  <si>
    <t>일반조달(개별계약)은 사업별 맞춤 대응이 가능하나 건별 입찰 부담이 크다.</t>
  </si>
  <si>
    <t>단가계약은 반복 발주에 유리하나 단가 인하 압박이 있다.</t>
  </si>
  <si>
    <t>다수공급자계약(MAS)은 종합쇼핑몰을 통한 안정적 거래가 가능하다.</t>
  </si>
  <si>
    <t>모든 공급방법은 동일한 절차와 부담을 가진다.</t>
  </si>
  <si>
    <t>* 정답 (④): 공급방법은 ① 일반조달, ② 단가계약, ③ 다수공급자계약(MAS) 등 각각 참여 절차·경쟁 구조·가격 결정 방식에서 차이가 있다. 공급업체는 자사 제품 특성과 시장 전략에 부합하는 방법을 선택해야 한다.</t>
  </si>
  <si>
    <t>공급업체 위험분석에서 식별되는 위험 유형에 해당하지 않는 것은?</t>
  </si>
  <si>
    <t>가격 위험 — 원자재·환율 변동으로 인한 원가 상승</t>
  </si>
  <si>
    <t>공급 위험 — 공급선 단절·품질 불량 발생</t>
  </si>
  <si>
    <t>법규 위험 — 입찰 자격 변경·규격 기준 강화</t>
  </si>
  <si>
    <t>기상 위험 — 모든 공공조달의 일상적 기상 변동</t>
  </si>
  <si>
    <t>* 정답 (④): 공공조달 공급업체의 위험분석 5가지 유형은 ① 가격 위험, ② 공급 위험, ③ 수요 위험, ④ 법규 위험, ⑤ 관계 위험이다. 일상적 기상 변동은 별도 위험 유형이 아니며, 공사 등 특수 사업에서 환경 위험으로 일부 반영될 수 있다.</t>
  </si>
  <si>
    <t>공급자 선호 매트릭스(Supplier Preference Matrix)에 관한 설명으로 옳은 것은?</t>
  </si>
  <si>
    <t>수요기관이 공급업체를 평가하는 주관적 선호도 분석 도구이다.</t>
  </si>
  <si>
    <t>공급업체 관점에서 수요기관을 매력도·경쟁력 두 축으로 분류하여 차별화된 관계 전략을 수립하는 도구이다.</t>
  </si>
  <si>
    <t>모든 공급업체와 동일한 거래 관계를 유지해야 한다는 원칙이다.</t>
  </si>
  <si>
    <t>입찰가격 결정에만 사용되는 단일 목적 분석 도구이다.</t>
  </si>
  <si>
    <t>* 정답 (②): 공급자 선호 매트릭스는 공급업체 관점에서 수요기관을 매력도(거래 가치)·경쟁력(자사 강점) 두 축으로 분류하여, 핵심 수요기관·일반 수요기관 등에 차별화된 관계 전략을 수립하는 포트폴리오 분석 도구이다.</t>
  </si>
  <si>
    <t>2-2. 조달요구 응대 및 제안</t>
  </si>
  <si>
    <t>공공입찰 참여를 위해 가장 먼저 해야 할 절차는?</t>
  </si>
  <si>
    <t>사전규격공개 의견 제출</t>
  </si>
  <si>
    <t>입찰보증금 납부</t>
  </si>
  <si>
    <t>제안서 작성</t>
  </si>
  <si>
    <t>나라장터 경쟁입찰참가자격 등록</t>
  </si>
  <si>
    <t>* 정답 (④): 공공입찰 참여를 위해서는 먼저 나라장터(KONEPS)에 경쟁입찰참가자격을 등록해야 함.</t>
  </si>
  <si>
    <t>[상황] A사는 특정 물품의 '공급업체'로만 나라장터에 등록되어 있다. 해당 물품 입찰이 '제조입찰'로 참가자격이 제한된 경우 A사의 참가 가능 여부는?</t>
  </si>
  <si>
    <t>참가 가능</t>
  </si>
  <si>
    <t>참가 불가</t>
  </si>
  <si>
    <t>발주기관 승인 시 참가 가능</t>
  </si>
  <si>
    <t>조건부 참가 가능</t>
  </si>
  <si>
    <t>* 정답 (②): 제조입찰로 참가자격이 제한된 경우 해당 물품의 제조업체로 등록해야만 참가 가능함.</t>
  </si>
  <si>
    <t>나라장터 등록정보(대표자 등) 변경 후 갱신하지 않고 입찰에 참가한 경우 발생할 수 있는 불이익은?</t>
  </si>
  <si>
    <t>해당 입찰의 무효 처리</t>
  </si>
  <si>
    <t>과태료 부과</t>
  </si>
  <si>
    <t>형사처벌</t>
  </si>
  <si>
    <t>영업정지</t>
  </si>
  <si>
    <t>* 정답 (①): 등록정보 변경신고 없이 입찰서를 제출한 입찰은 무효 사유에 해당함.</t>
  </si>
  <si>
    <t>중소기업자간 경쟁제품에 해당하는 물품 입찰에 참가하기 위해 반드시 갖춰야 하는 것을 모두 고르면? (ㄱ.중소기업확인서 ㄴ.직접생산확인증명서 ㄷ.우수조달물품 지정서)</t>
  </si>
  <si>
    <t>ㄱ,ㄴ</t>
  </si>
  <si>
    <t>ㄱ,ㄴ,ㄷ</t>
  </si>
  <si>
    <t>ㄱ</t>
  </si>
  <si>
    <t>ㄴ,ㄷ</t>
  </si>
  <si>
    <t>* 정답 (①): 중소기업자간 경쟁제품 입찰 참가에는 중소기업확인서와 직접생산확인증명서가 필요하며, 우수조달물품 지정서는 별도 제도로 필수 요건이 아님.</t>
  </si>
  <si>
    <t>공동수급체에 대한 설명으로 옳지 않은 것은?</t>
  </si>
  <si>
    <t>공동수급협정서는 입찰마감 전일까지 제출해야 한다</t>
  </si>
  <si>
    <t>분담이행방식도 구성원 전원이 전체 계약에 연대책임을 진다</t>
  </si>
  <si>
    <t>공동이행방식은 구성원 전원이 연대책임을 진다</t>
  </si>
  <si>
    <t>2개 이상 사업자가 공동입찰을 위해 결성한 조직이다</t>
  </si>
  <si>
    <t>* 정답 (②): 분담이행방식은 각 구성원이 분담 내용에 따라 자기 책임하에 이행하며, 전체 계약에 대한 연대책임은 공동이행방식의 특징임.</t>
  </si>
  <si>
    <t>공동계약 운용요령</t>
  </si>
  <si>
    <t>공동이행방식 공동수급체에 대한 설명으로 옳은 것은?</t>
  </si>
  <si>
    <t>각 구성원이 분담한 부분만 책임진다</t>
  </si>
  <si>
    <t>주로 복합공종 사업에 활용된다</t>
  </si>
  <si>
    <t>구성원이 공동으로 자본·인력을 투자해 계약을 이행하고 손익도 공동 계산한다</t>
  </si>
  <si>
    <t>대표사 출자비율에 최소요건이 없다</t>
  </si>
  <si>
    <t>* 정답 (③): 공동이행방식은 구성원이 공동으로 자본·인력을 투자해 이행하고 손익도 공동 계산함. ①④는 분담이행방식의 특징.</t>
  </si>
  <si>
    <t>나라장터 등록정보 중 대표자가 변경됐음에도 갱신하지 않고 입찰서를 제출한 경우의 효력은?</t>
  </si>
  <si>
    <t>발주기관 재량으로 결정된다</t>
  </si>
  <si>
    <t>계약체결 시 갱신하면 유효하다</t>
  </si>
  <si>
    <t>입찰 무효 사유에 해당한다</t>
  </si>
  <si>
    <t>과태료만 부과되고 입찰은 유효하다</t>
  </si>
  <si>
    <t>* 정답 (③): 등록사항 변경신고를 하지 않고 한 입찰은 무효 사유에 해당함.</t>
  </si>
  <si>
    <t>국가계약법 시행규칙 제44조제1항제5호</t>
  </si>
  <si>
    <t>공동수급체 구성원 중 1인이 입찰참가자격을 갖추지 못한 경우에 대한 설명으로 옳은 것은?</t>
  </si>
  <si>
    <t>해당 구성원만 제외하고 나머지로 진행 가능하다</t>
  </si>
  <si>
    <t>구성원 전원이 자격을 갖춰야 하므로, 전체 입찰이 무효 처리될 수 있다</t>
  </si>
  <si>
    <t>대표사만 자격을 갖췄으면 유효하다</t>
  </si>
  <si>
    <t>출자비율만 조정하면 된다</t>
  </si>
  <si>
    <t>* 정답 (②): 공동수급체의 모든 구성원은 각각 입찰참가자격을 갖추어야 하며, 한 구성원이라도 미달이면 전체 입찰이 무효 처리될 수 있음.</t>
  </si>
  <si>
    <t>국가계약법 시행규칙 제44조</t>
  </si>
  <si>
    <t>「국가를 당사자로 하는 계약에 관한 법률」상 계약 체결 방식에 대한 설명으로 가장 옳지 않은 것은?</t>
  </si>
  <si>
    <t>공공계약은 원칙적으로 일반경쟁입찰에 붙여야 한다.</t>
  </si>
  <si>
    <t>제한경쟁입찰, 지명경쟁입찰, 수의계약은 법령이 정한 특별한 사유가 있는 경우에만 예외적으로 허용된다.</t>
  </si>
  <si>
    <t>계약담당공무원은 업무 편의성을 위해 법령 규정과 상관없이 수의계약을 원칙으로 채택할 수 있다.</t>
  </si>
  <si>
    <t>경쟁입찰에 부칠 때 입찰 참가 자격을 특정한 기준(실적, 기술 등)으로 제한하는 것은 제한경쟁입찰에 해당한다.</t>
  </si>
  <si>
    <t>* 정답 (③): 국가계약법 제7조에 따라 공공조달은 일반경쟁이 원칙입니다. 계약담당공무원이 임의로 수의계약을 원칙으로 채택할 수 없으며, 수의계약은 법령에 명시된 특수 사유(소액, 천재지변, 국가안보 등)에 한해서만 제한적으로 적용됩니다.</t>
  </si>
  <si>
    <t>공공계약 방식 중 법률에 명시된 예외적 사유(천재지변, 국가안보, 재공고입찰 유찰, 소액계약 등)가 발생했을 때 경쟁 입찰 절차를 거치지 않고 특정 공급자와 직접 계약을 체결하는 방식은?</t>
  </si>
  <si>
    <t>일반경쟁</t>
  </si>
  <si>
    <t>제한경쟁</t>
  </si>
  <si>
    <t>* 정답 (②): 수의계약은 경쟁을 거치지 않고 특정한 자를 지정하여 계약을 체결하는 예외적 방식입니다.</t>
  </si>
  <si>
    <t>국가계약법 제7조 및 시행령 제26조</t>
  </si>
  <si>
    <t>「국가계약법」상 경쟁입찰의 종류 및 계약 방식에 관한 설명으로 가장 옳은 것은?</t>
  </si>
  <si>
    <t>지명경쟁은 불특정 다수의 모든 업체가 제한 없이 자유롭게 참여하는 기본 방식이다.</t>
  </si>
  <si>
    <t>수의계약은 공공조달 계약에서 가장 우선적으로 적용해야 하는 원칙적인 방식이다.</t>
  </si>
  <si>
    <t>제한경쟁은 시공능력, 유사실적, 기술자격 등 법령이 정한 요건을 갖춘 자로 입찰 자격을 제한하여 경쟁시키는 방식이다.</t>
  </si>
  <si>
    <t>일반경쟁은 특정한 신용이나 실적을 갖춘 특정 인원만을 지정하여 입찰에 참가시키는 방식이다.</t>
  </si>
  <si>
    <t>* 정답 (③): 제한경쟁은 사업장 소재지, 실적, 기술 자격 등으로 입찰 참가 자격을 제한하는 경쟁 방식입니다. ①은 일반경쟁, ②는 수의계약이 아닌 일반경쟁이 원칙, ④는 지명경쟁에 대한 설명입니다.</t>
  </si>
  <si>
    <t>입찰참가자격 등록 절차 및 필요 서류에 관한 설명으로 가장 옳은 것은?</t>
  </si>
  <si>
    <t>매각 등 세입 원인이 되는 계약에 입찰 참가 시에는 조달청 자격 등록이 면제된다.</t>
  </si>
  <si>
    <t>물품 제조 입찰에서는 참가자격을 증명하기 위해 공장등록증이나 직접생산증명서가 필요하다.</t>
  </si>
  <si>
    <t>지정정보처리장치를 통한 전자입찰 등록 시 인감증명서는 모든 업종에서 필수 제출서류이다.</t>
  </si>
  <si>
    <t>공사 입찰과 용역 입찰에서 참가자격을 증명하기 위해 요구되는 기본 면허 서류는 동일하다.</t>
  </si>
  <si>
    <t>정답 (②) 제조업체 확인을 위해 필수임 / ① 세입 원인도 등록 필요 / ③ 인감증명서는 본인서명사실확인서 등으로 대체 가능하여 모든 업종 필수는 아님 / ④ 업종별 면허 서류가 다름</t>
  </si>
  <si>
    <t>입찰등록규정</t>
  </si>
  <si>
    <t>RFI(정보제공요청서)에 대한 설명으로 옳지 않은 것은?</t>
  </si>
  <si>
    <t>시장 기술수준·가격동향 파악이 목적이다</t>
  </si>
  <si>
    <t>공급자가 자사 역량을 알릴 기회가 된다</t>
  </si>
  <si>
    <t>사업 기획 초기 단계에 활용된다</t>
  </si>
  <si>
    <t>응답업체에 계약체결 의무가 발생한다</t>
  </si>
  <si>
    <t>* 정답 (④): RFI는 비구속적 문서로 응답업체에 계약체결 의무를 부과하지 않음.</t>
  </si>
  <si>
    <t>사업 진행 순서로 옳은 것은?</t>
  </si>
  <si>
    <t>RFI→RFQ→RFP</t>
  </si>
  <si>
    <t>RFP→RFI→RFQ</t>
  </si>
  <si>
    <t>RFQ→RFI→RFP</t>
  </si>
  <si>
    <t>RFI→RFP→RFQ</t>
  </si>
  <si>
    <t>* 정답 (①): 시장정보수집(RFI)→가격확인(RFQ)→종합제안요청(RFP) 순으로 진행됨.</t>
  </si>
  <si>
    <t>발주기관이 조달 초기 단계에서 시장 정보를 수집하기 위해 활용하는 문서로, 응답업체에 입찰참가 의무를 부과하지 않는 것은?</t>
  </si>
  <si>
    <t>RFP(제안요청서)</t>
  </si>
  <si>
    <t>RFI(정보요청서)</t>
  </si>
  <si>
    <t>입찰공고문</t>
  </si>
  <si>
    <t>RFQ(견적요청서)</t>
  </si>
  <si>
    <t>* 정답 (②): RFI(Request for Information)는 사업 초기 시장 동향·기술 수준·예산 추정 등을 파악하기 위해 활용되는 비구속적 문서로, 응답업체에 입찰참가 의무를 부여하지 않습니다.</t>
  </si>
  <si>
    <t>표준교재 2권 p.17</t>
  </si>
  <si>
    <t>조달청에 계약 체결을 위탁하는 '중앙조달요청' 문서를 새롭게 작성하기 위해 나라장터(수요기관용) 시스템에서 거쳐야 하는 올바른 메뉴 이동 경로는?</t>
  </si>
  <si>
    <t>계약 → 계약서작성 → 신규</t>
  </si>
  <si>
    <t>공고 → 입찰공고 → 신규</t>
  </si>
  <si>
    <t>발주 → 발주목록 → 신규</t>
  </si>
  <si>
    <t>물품 → 견적요청 → 신규</t>
  </si>
  <si>
    <t>* 정답 (③): 수요기관이 조달청에 계약을 의뢰(발주)하는 것이므로, 나라장터 메인 메뉴의 [발주] → [발주목록] → [신규] 순으로 진입하여 작성해야 합니다.</t>
  </si>
  <si>
    <t>조달 관련 법령(시행령·시행규칙 등)의 제·개정에 대해 의견을 제시하려 할 때, 관련 법제업무 운영규정상 입법예고 기간의 원칙으로 옳은 것은?</t>
  </si>
  <si>
    <t>30일 이상</t>
  </si>
  <si>
    <t>60일 이상</t>
  </si>
  <si>
    <t>20일 이상</t>
  </si>
  <si>
    <t>40일 이상</t>
  </si>
  <si>
    <t>* 정답 (④): 조달담당자는 관련 법령의 입법예고 내용을 검색해 필요시 의견을 제시할 수 있으며, 법제업무 운영규정상 입법예고 기간은 원칙적으로 40일 이상(행정예고는 20일 이상)임.</t>
  </si>
  <si>
    <t>법제업무 운영규정 제18조</t>
  </si>
  <si>
    <t>사전규격 검토 시 확인하는 핵심사항이 아닌 것은?</t>
  </si>
  <si>
    <t>예산 적정성</t>
  </si>
  <si>
    <t>관련 법규 준수 여부</t>
  </si>
  <si>
    <t>입찰참가 예정업체의 재무상태</t>
  </si>
  <si>
    <t>특정 상표·규격으로 인한 경쟁제한 여부</t>
  </si>
  <si>
    <t>* 정답 (③): 입찰참가 예정업체의 재무상태는 적격심사 단계에서 확인하는 사항으로, 사전규격 검토 사항이 아님.</t>
  </si>
  <si>
    <t>사전규격공개 제도의 주된 목적으로 가장 적절한 것은?</t>
  </si>
  <si>
    <t>특정 업체에 대한 사전 통보</t>
  </si>
  <si>
    <t>예산 절감</t>
  </si>
  <si>
    <t>입찰 절차의 신속한 진행</t>
  </si>
  <si>
    <t>경쟁 제한 방지 및 다양한 의견 반영을 통한 공정한 규격 확정</t>
  </si>
  <si>
    <t>* 정답 (④): 사전규격공개는 경쟁 제한 방지와 다양한 공급자 의견 반영을 통해 공정한 규격을 확정하는 것이 목적임.</t>
  </si>
  <si>
    <t>규격서 작성 방식 중, 제품이 어떻게 만들어져야 하는지가 아니라 달성해야 할 결과와 기능을 중심으로 기술하는 방식은?</t>
  </si>
  <si>
    <t>상표규격(특정 업체 기술표준 기준)</t>
  </si>
  <si>
    <t>모델규격(특정 모델·사양 명시)</t>
  </si>
  <si>
    <t>성능규격(Performance Specification)</t>
  </si>
  <si>
    <t>설계규격(제조방법 상세 지정)</t>
  </si>
  <si>
    <t>* 정답 (③): 성능규격은 '무엇을' 달성해야 하는지, 즉 요구되는 성능·기능을 결과 중심으로 기술하는 방식으로, 다양한 업체의 참여와 혁신적 대안을 유도함.</t>
  </si>
  <si>
    <t>다음 중 구매사양서 작성의 SMART 원칙에 대한 설명으로 가장 옳지 않은 것은?</t>
  </si>
  <si>
    <t>S (Specific): 요구하는 물품이나 서비스의 특성을 구체적이고 명확하게 기술해야 한다.</t>
  </si>
  <si>
    <t>M (Measurable): 검수 및 평가가 가능하도록 정량적 지표나 측정 가능한 기준을 제시해야 한다.</t>
  </si>
  <si>
    <t>A (Achievable): 시장의 기술 수준과 관계없이 발주기관이 원하는 최상의 성능만을 무조건 요구해야 한다.</t>
  </si>
  <si>
    <t>T (Time-bound): 납기, 이행 일정 또는 추적 가능성(Traceable)을 명확히 설정해야 한다.</t>
  </si>
  <si>
    <t>* 정답 (③): A는 Achievable(달성가능성)로, 해당 산업 및 시장에서 기술적으로 실행 가능한 요구사항을 제시해야 함을 의미합니다. 현실적으로 이행 불가능한 과도한 사양 설정은 유찰이나 부실 이행을 초래할 수 있습니다.</t>
  </si>
  <si>
    <t>표준교재 2권 p.24</t>
  </si>
  <si>
    <t>구매사양서 작성 시 "납품된 물품의 성능이나 품질이 계약 기준에 부합하는지 정량적으로 검증 및 평가할 수 있도록 객관적 기준을 제시해야 한다"는 SMART 원칙 요소는?</t>
  </si>
  <si>
    <t>S (Specific)</t>
  </si>
  <si>
    <t>M (Measurable)</t>
  </si>
  <si>
    <t>R (Relevant)</t>
  </si>
  <si>
    <t>T (Time-bound)</t>
  </si>
  <si>
    <t>* 정답 (②): 정량적 수치나 객관적 측정 기준을 제시하여 납품 후 검수 및 평가를 가능하게 하는 것은 M(Measurable, 측정가능성)에 해당합니다.</t>
  </si>
  <si>
    <t>구매사양서 작성의 SMART 원칙 구성 요소와 영문 구성의 연결이 올바르지 않은 것은?</t>
  </si>
  <si>
    <t>S - Specific (구체성)</t>
  </si>
  <si>
    <t>M - Measurable (측정가능성)</t>
  </si>
  <si>
    <t>R - Reasonable (합리적인 가격)</t>
  </si>
  <si>
    <t>T - Time-bound (기한성)</t>
  </si>
  <si>
    <t>* 정답 (③): SMART 원칙에서 R은 Realistic(현실성)을 의미합니다. 해당 조달 사업의 목적과 직접 연관되고 현실적이어야 함을 뜻하며, 합리적인 가격(Reasonable)을 의미하지 않습니다.</t>
  </si>
  <si>
    <t>조달 요구사항(Procurement Requirement) 정의 및 과업명세서 작성 시 고려하는 항목과 세부 질문의 연결로 가장 옳지 않은 것은?</t>
  </si>
  <si>
    <t>조달 배경 및 목표 - 상품, 서비스 및 공사가 필요한 이유는 무엇인가?</t>
  </si>
  <si>
    <t>이행 장소 및 방법 - 배송지(수행/시공장소)는 어디이며 어떻게 수행되는가?</t>
  </si>
  <si>
    <t>의사결정 체계 - 제안서 평가위원회의 개별 평가위원 명단은 누구인가?</t>
  </si>
  <si>
    <t>스펙 및 요구량 - 어떤 구체적인 품질 또는 수량 요구 사항을 고려해야 하는가?</t>
  </si>
  <si>
    <t>* 정답 (③): 조달 요구사항 정의 시 승인 요소(8번)는 '조달요구 실행을 위해 필요한 주요 승인 및 승인권자(내부 의사결정 절차)'를 의미합니다. 평가위원 명단은 보안 사항이자 별도 평가 절차 관리 항목으로 조달 요구사항 정의 및 SOW 항목에 해당하지 않습니다.</t>
  </si>
  <si>
    <t>표준교재 2권 p.23</t>
  </si>
  <si>
    <t>다음 중 조달 요구사항을 분석하고 명확히 하기 위한 주요 확인 항목에 대한 설명으로 가장 적절하지 않은 것은?</t>
  </si>
  <si>
    <t>조달 대상이 충족해야 하는 핵심 기능을 정의하여 불필요한 과도한 스펙 설정을 방지한다.</t>
  </si>
  <si>
    <t>구체적인 품질 및 수량 요구사항은 계약 이행 후 정산 단계에서 결정하므로 초기 작성 시 생략할 수 있다.</t>
  </si>
  <si>
    <t>배송지, 수행 장소, 배송 방식을 사전에 명확히 하여 물류 및 이행상의 차질을 예방한다.</t>
  </si>
  <si>
    <t>구매에 영향을 미치는 외부·내부 요인 및 필요한 승인권자를 식별하여 조달 위험을 관리한다.</t>
  </si>
  <si>
    <t>* 정답 (②): 어떤 구체적인 품질 또는 수량 요구사항을 고려해야 하는지(9번)는 계약 체결 전 조달 요구사항 정의 단계에서 반드시 명확히 검토되어 반영되어야 적정한 예산 산정 및 검수가 가능해집니다.</t>
  </si>
  <si>
    <t>사전규격공개의 일반적인 공개 기간에 대한 설명으로 가장 적절한 것은?</t>
  </si>
  <si>
    <t>통상 수일(3~7일 수준)이며, 긴급 시 더 짧게, 대형 SW사업은 더 길게 운영된다</t>
  </si>
  <si>
    <t>예외 없이 항상 10일이다</t>
  </si>
  <si>
    <t>공개 기간이라는 개념 자체가 없다</t>
  </si>
  <si>
    <t>30일이 원칙이다</t>
  </si>
  <si>
    <t>* 정답 (①): 사전규격공개 기간은 기관·사업유형별로 상이하며 통상 수일 수준으로 운영됨.</t>
  </si>
  <si>
    <t>조달청 소프트웨어사업(사업규모 5억원 이상)의 사전규격공개 기간에 대한 설명으로 가장 적절한 것은?</t>
  </si>
  <si>
    <t>긴급 시에도 동일하게 운영된다</t>
  </si>
  <si>
    <t>공개 자체가 면제된다</t>
  </si>
  <si>
    <t>일반 물품과 동일하게 운영된다</t>
  </si>
  <si>
    <t>일반 규격보다 더 긴 기간(10일 수준)으로 운영된다</t>
  </si>
  <si>
    <t>* 정답 (④): 조달청 SW사업(5억원 이상)은 일반 규격보다 더 긴 기간(10일 수준)으로 사전규격을 공개함.</t>
  </si>
  <si>
    <t>규격을 외부에 투명하게 검증받기 위한 '구매규격 사전공개' 절차의 예외적 생략 사유로 어긋나는 것은?</t>
  </si>
  <si>
    <t>구매 예상 예산이 1억 원 이하인 내자 물품 소액 구매의 경우 전면 생략할 수 있다.</t>
  </si>
  <si>
    <t>안보와 직결된 비밀물자나 수요가 매우 긴급한 구매 건의 경우 생략할 수 있다.</t>
  </si>
  <si>
    <t>당해 연도에 이미 1회 이상 동일한 규격으로 사전공개를 실시한 경우 생략할 수 있다.</t>
  </si>
  <si>
    <t>시급한 재난 복구 등 특정 목적 달성을 위한 수의계약 대상 물품인 경우 생략할 수 있다.</t>
  </si>
  <si>
    <t>* 정답 (①): 내자 물품 소액 구매의 경우, 규격 사전공개를 생략할 수 있는 예산 기준은 1억 원 '이하'가 아니라 '미만'으로 엄격히 규정되어 있습니다.</t>
  </si>
  <si>
    <t>입찰 공고를 내기 전, 수요기관이 구매하려는 물품의 세부 규격이나 과업지시서를 나라장터에 미리 '사전규격공개' 하는 가장 주된 이유는?</t>
  </si>
  <si>
    <t>행정 절차 지연 시 입찰서 제출 기한을 합법적으로 연장할 수 있는 근거를 마련하기 위해</t>
  </si>
  <si>
    <t>특정 업체에 유리한 독소 조항이 있는지 미리 의견을 수렴하여 공정성 논란을 줄이기 위해</t>
  </si>
  <si>
    <t>입찰 경쟁률을 낮추기 위해 불특정 다수의 접근을 막고 제한된 업체에만 정보를 제공하기 위해</t>
  </si>
  <si>
    <t>사전 공개 기간 동안 업체들이 제출한 단가 정보를 취합하여 예정가격을 낮게 산정하기 위해</t>
  </si>
  <si>
    <t>* 정답 (②): 발주기관이 특정 규격을 '알박기'하여 특정 업체에 특혜를 주는 것을 방지하고, 입찰 참여 희망 업체들의 이의제기 및 의견을 미리 수렴하여 조달 행정의 투명성과 공정성을 확보하기 위한 제도입니다.</t>
  </si>
  <si>
    <t>정부 입찰·계약 집행기준 제77조</t>
  </si>
  <si>
    <t>정식 입찰 공고를 내기 전에, 국가종합전자조달시스템을 통해 구매하려는 품목의 세부 사양이나 과업지시서를 일정 기간 동안 업체들에게 미리 공개하여 이의를 제기할 수 있게 하는 제도는?</t>
  </si>
  <si>
    <t>실적증명 사전발급</t>
  </si>
  <si>
    <t>입찰참가자격 사전심사(PQ)</t>
  </si>
  <si>
    <t>구매 규격 사전공개</t>
  </si>
  <si>
    <t>지명경쟁 대상자 사전예고</t>
  </si>
  <si>
    <t>* 정답 (③): 특정 업체에 유리한 스펙(규격 알박기)이 포함되는 것을 막고, 다수 업체의 의견을 들어 공정한 경쟁을 유도하기 위해 필수적으로 거쳐야 하는 '사전규격공개' 제도입니다.</t>
  </si>
  <si>
    <t>사전규격공개 후 의견이 접수된 경우 계약담당자의 대응으로 가장 옳은 것은?</t>
  </si>
  <si>
    <t>조달사업의 목적을 저해하지 않는 한 적극적으로 검토해 반영 여부를 결정한다</t>
  </si>
  <si>
    <t>제출자에게 통보할 의무는 없다</t>
  </si>
  <si>
    <t>의견을 무시해도 무방하다</t>
  </si>
  <si>
    <t>모든 의견을 반드시 수용해야 한다</t>
  </si>
  <si>
    <t>* 정답 (①): 계약담당자는 조달사업의 목적·취지를 저해하지 않는 한 적극적으로 의견을 수렴해 구매규격에 반영 여부를 결정해야 함.</t>
  </si>
  <si>
    <t>사전규격공개 면제 대상에 해당하지 않는 것은?</t>
  </si>
  <si>
    <t>비밀 구매가 필요한 용역</t>
  </si>
  <si>
    <t>추정가격 1억원 이상 물품</t>
  </si>
  <si>
    <t>해당 연도 1회 이상 사전공개 실시 물품</t>
  </si>
  <si>
    <t>추정가격 5천만원 미만 물품</t>
  </si>
  <si>
    <t>* 정답 (②): 추정가격 1억원 이상 물품은 면제 대상이 아니라 오히려 사전규격공개가 필요한 대상임.</t>
  </si>
  <si>
    <t>입찰공고 내용에 법령위반 사항이 발견되어 정정공고를 하는 경우, 남은 공고기간에 추가로 확보해야 하는 최소 기간은?</t>
  </si>
  <si>
    <t>3일 이상</t>
  </si>
  <si>
    <t>7일 이상</t>
  </si>
  <si>
    <t>추가 기간 없이 즉시 정정 가능</t>
  </si>
  <si>
    <t>5일 이상</t>
  </si>
  <si>
    <t>* 정답 (④): 입찰공고 내용에 오류·법령위반이 있어 정정이 필요한 경우, 남은 공고기간에 5일 이상을 더하여 공고해야 함.</t>
  </si>
  <si>
    <t>국가계약법 시행령 제33조제2항</t>
  </si>
  <si>
    <t>입찰공고 및 정정 절차에 대한 설명으로 가장 옳은 것은?</t>
  </si>
  <si>
    <t>국가계약법 시행령상 입찰공고 내용에 오류나 법령위반사항이 발견되어 정정공고할 경우 남은 공고기간에 5일 이상을 더한다.</t>
  </si>
  <si>
    <t>물품 및 용역의 구매규격은 특정 업체와의 유착을 방지하기 위해 입찰공고 전 사전공개가 원칙적으로 금지된다.</t>
  </si>
  <si>
    <t>입찰공고는 긴급한 재해예방·복구 등 특별한 사유가 있더라도 예외 없이 반드시 입찰서 제출마감일 전일부터 7일 전에 공고해야 한다.</t>
  </si>
  <si>
    <t>지정정보처리장치의 게시 내용과 첨부된 입찰공고문 내용이 다르면 게시된 내용이 우선한다.</t>
  </si>
  <si>
    <t>정답 (①) 국가계약법 시행령 제33조제2항: 오류·법령위반 시 남은 공고기간에 5일 이상 가산 / ② 시행령 제32조의2에 따라 사전공개가 오히려 원칙(의무)임 / ③ 시행령 제35조제4항에 따라 긴급 시 5일 전 공고 가능한 예외가 있어 "예외 없이"는 틀림 / ④ 지방계약법 시행규칙 제36조 본문에 따라 게시 내용이 아닌 "공고문" 내용이 우선함</t>
  </si>
  <si>
    <t>국가계약법 시행령 및 지방계약법 시행령</t>
  </si>
  <si>
    <t>입찰공고에 반드시 포함되어야 하는 사항이 아닌 것은?</t>
  </si>
  <si>
    <t>입찰참가자격에 관한 사항</t>
  </si>
  <si>
    <t>입찰에 부치는 사항</t>
  </si>
  <si>
    <t>낙찰자 결정방법</t>
  </si>
  <si>
    <t>낙찰자의 재무제표</t>
  </si>
  <si>
    <t>* 정답 (④): 낙찰자의 재무제표는 입찰공고 필수 포함사항이 아님.</t>
  </si>
  <si>
    <t>국가계약법 시행령 제36조</t>
  </si>
  <si>
    <t>국가계약법 적용 입찰에서 예정가격 산정(복수예비가격) 범위로 옳은 것은?</t>
  </si>
  <si>
    <t>기초금액 ±5%</t>
  </si>
  <si>
    <t>기초금액 ±2%</t>
  </si>
  <si>
    <t>기초금액 ±1%</t>
  </si>
  <si>
    <t>기초금액 ±3%</t>
  </si>
  <si>
    <t>* 정답 (②): 국가계약법 적용기관은 기초금액 ±2% 범위에서 복수예비가격을 작성함(지방계약법은 ±3%).</t>
  </si>
  <si>
    <t>조달청 내자구매업무처리규정</t>
  </si>
  <si>
    <t>제한경쟁입찰의 참가자격 제한 사유로 보기 어려운 것은?</t>
  </si>
  <si>
    <t>동일 물품 공급실적</t>
  </si>
  <si>
    <t>특수 기술·공법 보유</t>
  </si>
  <si>
    <t>대표자의 학력</t>
  </si>
  <si>
    <t>시공능력평가액</t>
  </si>
  <si>
    <t>* 정답 (③): 대표자의 학력은 제한경쟁입찰의 참가자격 제한 사유에 해당하지 않음.</t>
  </si>
  <si>
    <t>다음 중 입찰공고 필수 포함사항을 모두 고르면? (ㄱ.입찰에 부치는 사항 ㄴ.낙찰자결정방법 ㄷ.입찰참가자 신용등급 ㄹ.입찰보증금 관련사항)</t>
  </si>
  <si>
    <t>ㄱ,ㄷ,ㄹ</t>
  </si>
  <si>
    <t>ㄱ,ㄴ,ㄹ</t>
  </si>
  <si>
    <t>ㄴ,ㄷ,ㄹ</t>
  </si>
  <si>
    <t>* 정답 (②): 입찰에 부치는 사항, 낙찰자결정방법, 입찰보증금 관련사항이 필수 포함사항이며, 입찰참가자 신용등급은 아님.</t>
  </si>
  <si>
    <t>지방계약법 적용 입찰에서 예정가격 산정 범위로 옳은 것은?</t>
  </si>
  <si>
    <t>* 정답 (③): 지방계약법 적용기관은 기초금액 ±3% 범위에서 복수예비가격을 작성함(국가계약법은 ±2%).</t>
  </si>
  <si>
    <t>예정가격 결정에 대한 설명으로 옳은 것은?</t>
  </si>
  <si>
    <t>기초금액 ±2%(국가계약법 기준) 범위에서 생성된 15개 복수예비가격 중 최다 추첨된 4개를 산술평균해 확정한다</t>
  </si>
  <si>
    <t>예정가격은 기초금액과 동일하다</t>
  </si>
  <si>
    <t>예정가격은 입찰공고 시 사전 공개된다</t>
  </si>
  <si>
    <t>국가계약법은 기초금액 ±3% 범위이다</t>
  </si>
  <si>
    <t>* 정답 (①): 예정가격은 기초금액 ±2%(국가계약법) 범위에서 생성된 15개 복수예비가격 중 최다 추첨 4개를 산술평균해 확정하며, 개찰 시 결정되어 사전 비공개임.</t>
  </si>
  <si>
    <t>복수예비가격 방식의 예정가격 결정 절차를 순서대로 나열하면? (ㄱ.최다추첨4개 산술평균 ㄴ.±2%범위 15개 예비가격 생성 ㄷ.기초금액 공개 ㄹ.업체별 2개씩 추첨)</t>
  </si>
  <si>
    <t>ㄷ→ㄹ→ㄴ→ㄱ</t>
  </si>
  <si>
    <t>ㄷ→ㄴ→ㄹ→ㄱ</t>
  </si>
  <si>
    <t>ㄴ→ㄷ→ㄹ→ㄱ</t>
  </si>
  <si>
    <t>ㄴ→ㄹ→ㄷ→ㄱ</t>
  </si>
  <si>
    <t>* 정답 (②): 기초금액 공개→복수예비가격 생성→업체별 추첨→최다추첨분 산술평균 순으로 진행됨.</t>
  </si>
  <si>
    <t>낙찰하한율에 대한 설명으로 옳지 않은 것은?</t>
  </si>
  <si>
    <t>과도한 저가투찰(덤핑) 방지 제도이다</t>
  </si>
  <si>
    <t>하한율 미만 투찰업체는 적격심사 대상에서 제외된다</t>
  </si>
  <si>
    <t>예정가격 대비 낙찰 가능 최저 투찰비율을 뜻한다</t>
  </si>
  <si>
    <t>모든 조달대상물에 동일하게 적용된다</t>
  </si>
  <si>
    <t>* 정답 (④): 낙찰하한율은 물품·용역·공사 등 대상별로 차등 적용됨.</t>
  </si>
  <si>
    <t>입찰공고 기간에 대한 설명으로 가장 옳은 것은?</t>
  </si>
  <si>
    <t>국제입찰의 경우 관련 법령에 따른 입찰공고기간 규정을 전혀 적용받지 않는다.</t>
  </si>
  <si>
    <t>입찰공고는 원칙적으로 제출마감일 7일 전이며 공사는 추정가격에 따라 차등 적용된다.</t>
  </si>
  <si>
    <t>일반경쟁입찰의 경우 사업 금액과 관계없이 공고기간은 항상 30일 이상이어야 한다.</t>
  </si>
  <si>
    <t>수의계약은 모든 경우에 예외 없이 입찰공고 절차를 반드시 거친 후 진행해야 한다.</t>
  </si>
  <si>
    <t>* 정답 (②): 입찰공고는 원칙적으로 7일 전이며 공사는 금액별 차등 적용됨.
① 국제입찰: 최소 40일 이상  ③ 일반경쟁: 원칙 7일 전  ④ 수의계약: 공고 생략</t>
  </si>
  <si>
    <t>국가계약법 시행령 제35조</t>
  </si>
  <si>
    <t>입찰설명회 질의응답 중 공고내용에 중대한 변경이 필요한 사항이 발생한 경우 수요기관의 조치는?</t>
  </si>
  <si>
    <t>설명회 참석자에게만 구두 안내한다</t>
  </si>
  <si>
    <t>기존 공고대로 진행한다</t>
  </si>
  <si>
    <t>공고 내용을 정정·보완해 다시 공고한다</t>
  </si>
  <si>
    <t>입찰을 취소하고 새 입찰을 공고한다</t>
  </si>
  <si>
    <t>* 정답 (③): 중대한 변경사항 발생 시 공고를 정정·보완해 다시 공고하여 모든 참가자에게 공평한 기회를 보장해야 함.</t>
  </si>
  <si>
    <t>입찰설명회가 주로 시행되는 경우로 가장 적절한 것은?</t>
  </si>
  <si>
    <t>규격이 확정된 표준물품 입찰</t>
  </si>
  <si>
    <t>복잡하지 않은 소규모 용역</t>
  </si>
  <si>
    <t>기술적 전문성이 요구되는 대규모 공사 입찰</t>
  </si>
  <si>
    <t>단순 물품구매 입찰</t>
  </si>
  <si>
    <t>* 정답 (③): 입찰설명회는 기술적 전문성이 요구되는 용역·대규모 공사 입찰에서 주로 활용됨.</t>
  </si>
  <si>
    <t>입찰설명회의 일반적인 개최 시기로 가장 적절한 것은?</t>
  </si>
  <si>
    <t>입찰마감 3일 전</t>
  </si>
  <si>
    <t>개찰일 이후</t>
  </si>
  <si>
    <t>입찰공고 후 일정 기간 내, 입찰마감일보다 충분히 앞선 시점</t>
  </si>
  <si>
    <t>입찰공고 당일 즉시</t>
  </si>
  <si>
    <t>* 정답 (③): 참가자의 공고 숙지·질의 준비·제안서 작성 시간 확보를 위해 입찰마감일보다 충분히 앞선 시점에 개최함.</t>
  </si>
  <si>
    <t>[상황] 발주기관이 특정 용역 입찰공고문에 '입찰설명회 참석은 필수이며, 불참 업체는 입찰에서 배제한다'고 명시했다. 이 경우 입찰설명회의 성격에 대한 설명으로 가장 옳은 것은?</t>
  </si>
  <si>
    <t>설명회 질의응답 내용은 참석자 개인만 알면 되고 공유 의무가 없다</t>
  </si>
  <si>
    <t>공고문에 참석 의무가 명시된 경우, 불참하면 해당 업체의 입찰이 무효 처리될 수 있다</t>
  </si>
  <si>
    <t>설명회는 경쟁사 파악과는 무관한 절차다</t>
  </si>
  <si>
    <t>참석 여부는 낙찰자 결정에 전혀 영향을 주지 않는다</t>
  </si>
  <si>
    <t>* 정답 (②): 입찰공고문에 참석 의무가 명시된 경우 불참 시 해당 입찰이 무효 처리될 수 있음. 설명회 질의응답 내용은 문서화해 모든 잠재적 참가자와 공유하는 것이 원칙(④는 오답).</t>
  </si>
  <si>
    <t>공동계약의 이행방법으로 보기 어려운 것은?</t>
  </si>
  <si>
    <t>위탁이행</t>
  </si>
  <si>
    <t>공동이행</t>
  </si>
  <si>
    <t>분담이행</t>
  </si>
  <si>
    <t>공동+분담 혼합이행</t>
  </si>
  <si>
    <t>* 정답 (①): 공동계약의 이행방법은 공동이행·분담이행·공동+분담 혼합이행 3가지이며, 위탁이행은 해당하지 않음.</t>
  </si>
  <si>
    <t>※ 공동계약 운용요령(재정경제부 계약예규)</t>
  </si>
  <si>
    <t>효과적인 제안서 작성 절차에서 가장 먼저 수행해야 할 단계로 가장 적절한 것은?</t>
  </si>
  <si>
    <t>전략적 실행계획 설계</t>
  </si>
  <si>
    <t>제안요청서(RFP)의 목표·요구사항·마감일·제출지침을 포괄적으로 검토</t>
  </si>
  <si>
    <t>핵심 시사점 확보 연구</t>
  </si>
  <si>
    <t>맞춤형 제안 작성</t>
  </si>
  <si>
    <t>* 정답 (②): 효과적인 제안서 작성의 첫 단계는 RFP를 포괄적으로 검토해 고객의 목표·요구사항 등을 명확히 이해하는 것임.</t>
  </si>
  <si>
    <t>견적요청서(RFQ) 대응 시 확인해야 할 사항으로 가장 거리가 먼 것은?</t>
  </si>
  <si>
    <t>견적의 형식·구조</t>
  </si>
  <si>
    <t>제출 마감일</t>
  </si>
  <si>
    <t>평가절차의 선정기준</t>
  </si>
  <si>
    <t>경쟁사의 견적가격</t>
  </si>
  <si>
    <t>* 정답 (④): 경쟁사의 견적가격 파악은 불공정행위 소지가 있어 RFQ 대응의 핵심사항이 아님.</t>
  </si>
  <si>
    <t>공동수급협정서에 반드시 포함되어야 하는 사항이 아닌 것은?</t>
  </si>
  <si>
    <t>각 구성원의 과거 3년간 매출액</t>
  </si>
  <si>
    <t>출자비율 또는 분담 내용</t>
  </si>
  <si>
    <t>공동수급체 명칭 및 구성원 정보</t>
  </si>
  <si>
    <t>대표자(대표사) 선정</t>
  </si>
  <si>
    <t>* 정답 (①): 과거 매출액은 공동수급협정서 필수 기재사항이 아님.</t>
  </si>
  <si>
    <t>입찰 준비 시 식별할 핵심 정보 중 '계약·법적 측면'에 해당하는 것은?</t>
  </si>
  <si>
    <t>사업기간·상세일정</t>
  </si>
  <si>
    <t>요구 기술사양·성능수준</t>
  </si>
  <si>
    <t>평가항목 및 배점</t>
  </si>
  <si>
    <t>지체상금률 및 하자보수 책임</t>
  </si>
  <si>
    <t>* 정답 (④): 지체상금률·하자보수 책임은 계약·법적 측면 정보이며, ①은 기술적 측면, ②는 사업관리 측면, ④는 평가 측면임.</t>
  </si>
  <si>
    <t>제안요청(RFP)에 의한 입찰에서 기술평가와 가격평가의 일반적 비중으로 가장 적절한 것은?</t>
  </si>
  <si>
    <t>기술 7~9 : 가격 1~3 수준(기술평가에 더 높은 가중치)</t>
  </si>
  <si>
    <t>기술3:가격7</t>
  </si>
  <si>
    <t>기술1:가격9</t>
  </si>
  <si>
    <t>기술5:가격5</t>
  </si>
  <si>
    <t>* 정답 (①): 일반적으로 기술 7~9 : 가격 1~3 수준으로 기술평가에 더 높은 가중치를 부여함.</t>
  </si>
  <si>
    <t>견적요청(RFQ)에 의한 입찰의 특징으로 옳은 것은?</t>
  </si>
  <si>
    <t>제안서평가와 가격평가를 종합해 낙찰자를 정한다</t>
  </si>
  <si>
    <t>기술역량을 중점 심사한다</t>
  </si>
  <si>
    <t>가격 비중이 절대적이며(원칙적으로 100%), 최저가 투찰자가 낙찰된다</t>
  </si>
  <si>
    <t>주로 전문용역·SW사업에 적용된다</t>
  </si>
  <si>
    <t>* 정답 (③): RFQ는 규격이 확정된 물품 등에 대한 가격 견적 요청으로, 가격 비중이 절대적이며 최저가 투찰자가 낙찰됨. ①③은 RFP, ④는 ITB의 특징.</t>
  </si>
  <si>
    <t>입찰보증금에 대한 설명으로 옳은 것은?</t>
  </si>
  <si>
    <t>계약 미체결 시에도 반환된다</t>
  </si>
  <si>
    <t>전자입찰에서는 납부이행각서로 갈음할 수 있다</t>
  </si>
  <si>
    <t>입찰금액의 10% 이상 납부</t>
  </si>
  <si>
    <t>현금으로만 납부 가능</t>
  </si>
  <si>
    <t>* 정답 (②): 입찰보증금은 입찰금액의 5% 이상이며, 전자입찰에서는 납부이행각서로 갈음할 수 있음.</t>
  </si>
  <si>
    <t>국가계약법 시행령 제37조</t>
  </si>
  <si>
    <t>공동계약 허용 입찰에서 공동수급협정서 제출 시한으로 가장 적절한 것은?</t>
  </si>
  <si>
    <t>계약체결 시</t>
  </si>
  <si>
    <t>입찰마감일 당일</t>
  </si>
  <si>
    <t>입찰마감 전일까지(사전 제출)</t>
  </si>
  <si>
    <t>* 정답 (④): 공동수급협정서는 통상 입찰마감 전일까지 사전에 제출해야 함.</t>
  </si>
  <si>
    <t>[상황] 입찰마감 10분을 앞두고 나라장터 시스템 접속 장애가 발생해 B사가 입찰서를 제출하지 못했다. B사가 발주기관에 마감시간 이후 제출을 요청할 경우 인정 여부로 가장 옳은 것은?</t>
  </si>
  <si>
    <t>시스템 오류는 정당한 사유이므로 항상 인정된다</t>
  </si>
  <si>
    <t>유선으로 사전 통보했다면 인정된다</t>
  </si>
  <si>
    <t>전자입찰은 마감시간이 지나면 시스템 오류 등 사유와 무관하게 제출이 불가능한 것이 원칙이다</t>
  </si>
  <si>
    <t>발주기관 재량으로 자유롭게 연장해줄 수 있다</t>
  </si>
  <si>
    <t>* 정답 (③): 전자입찰은 마감시간 이후에는 시스템 오류·인터넷 장애 등 어떠한 사유로도 제출이 불가능한 것이 원칙이므로, 여유를 두고 제출해야 함.</t>
  </si>
  <si>
    <t>제출된 입찰서의 취소가 예외적으로 허용되는 경우로 가장 옳은 것은?</t>
  </si>
  <si>
    <t>계약담당자가 임의로 취소해주는 경우</t>
  </si>
  <si>
    <t>입찰보증금을 포기하겠다고 밝히면 언제든지</t>
  </si>
  <si>
    <t>입찰자가 중요부분의 오기를 이유로 개찰현장에서 취소의사를 표시하고, 발주기관이 이를 인정하는 경우</t>
  </si>
  <si>
    <t>입찰자가 마감 전 아무 때나 변경을 요청하는 경우</t>
  </si>
  <si>
    <t>* 정답 (③): 제출된 입찰서는 원칙적으로 교환·변경·취소가 불가하나, 중요부분의 오기를 이유로 개찰현장에서 입찰자가 취소의사를 표시하고 발주기관이 이를 인정하는 경우에 한해 예외적으로 취소가 가능함.</t>
  </si>
  <si>
    <t>국가계약법 시행령 제39조제4항</t>
  </si>
  <si>
    <t>입찰보증금의 금액 기준으로 옳은 것은?</t>
  </si>
  <si>
    <t>입찰금액의 5% 이상</t>
  </si>
  <si>
    <t>추정가격의 3% 이상</t>
  </si>
  <si>
    <t>계약금액의 5% 이상</t>
  </si>
  <si>
    <t>예정가격의 10% 이상</t>
  </si>
  <si>
    <t>* 정답 (①): 입찰보증금은 입찰금액의 100분의 5 이상을 납부하는 것이 원칙임.</t>
  </si>
  <si>
    <t>입찰참가 신청 절차 및 보증금 규정에 대한 설명으로 가장 옳은 것은?</t>
  </si>
  <si>
    <t>참가자격등록자는 입찰보증금 납부 여부와 무관하게 모든 관련 신청 서류를 제출해야 한다.</t>
  </si>
  <si>
    <t>입찰참가자의 서류 접수마감일은 평가 공정성을 위해 통상 입찰서 제출마감일 3일 전이다.</t>
  </si>
  <si>
    <t>정부 공공입찰에서의 입찰보증금은 공고상 추정가격을 기준으로 최소 100분의 10 이상이다.</t>
  </si>
  <si>
    <t>입찰공고에 따라 지급확약서를 제출하면 특정 요건 하에 입찰보증금을 현금 납부하지 않을 수 있다.</t>
  </si>
  <si>
    <t>정답 (④) 신용 상태 등에 따라 보증서나 지급각서로 대체 허용 / ① 서류 생략 가능 / ② 전일 마감 / ③ 통상 5/100</t>
  </si>
  <si>
    <t>국가계약법 시행령</t>
  </si>
  <si>
    <t>입찰보증금이 국고에 귀속되는 사유로 옳은 것은?</t>
  </si>
  <si>
    <t>낙찰자가 정당한 이유 없이 계약을 체결하지 않은 경우</t>
  </si>
  <si>
    <t>입찰가격이 예정가격을 초과한 경우</t>
  </si>
  <si>
    <t>비낙찰자인 경우</t>
  </si>
  <si>
    <t>단순 입찰 불참</t>
  </si>
  <si>
    <t>* 정답 (①): 낙찰자가 정당한 이유 없이 계약을 체결하지 않으면 입찰보증금이 국고에 귀속됨.</t>
  </si>
  <si>
    <t>허위 정보로 입찰에 참여해 낙찰·계약체결 후 그 사실이 확인된 경우 받을 수 있는 제재를 모두 고르면? (ㄱ.계약해제·해지 ㄴ.손해배상 ㄷ.부정당업자제재)</t>
  </si>
  <si>
    <t>ㄱ,ㄷ</t>
  </si>
  <si>
    <t>* 정답 (①): 허위정보로 계약체결 후 확인되면 계약해제·해지, 손해배상, 부정당업자제재가 모두 가능함.</t>
  </si>
  <si>
    <t>국가계약법 시행령 제75조·제76조, 민법 제750조</t>
  </si>
  <si>
    <t>입찰 무효 사유에 해당하지 않는 것은?</t>
  </si>
  <si>
    <t>예정가격보다 높은 금액으로 투찰한 입찰</t>
  </si>
  <si>
    <t>마감시간까지 입찰보증금 미납</t>
  </si>
  <si>
    <t>동일인이 동일 건에 2통의 입찰서를 제출한 입찰</t>
  </si>
  <si>
    <t>입찰참가자격이 없는 자의 입찰</t>
  </si>
  <si>
    <t>* 정답 (①): 예정가격보다 높은 금액 투찰은 무효사유가 아니라 낙찰대상 제외사유임.</t>
  </si>
  <si>
    <t>담합에 의한 입찰에 대한 설명으로 옳지 않은 것은?</t>
  </si>
  <si>
    <t>공정거래법상 과징금이 부과될 수 있다</t>
  </si>
  <si>
    <t>부정당업자로 제재되어 참가자격이 제한될 수 있다</t>
  </si>
  <si>
    <t>담합 가담자라도 최저가 투찰업체는 낙찰자로 인정된다</t>
  </si>
  <si>
    <t>담합 참여업체 전원의 입찰이 무효 처리된다</t>
  </si>
  <si>
    <t>* 정답 (③): 담합이 확인되면 최저가로 투찰했더라도 낙찰자로 인정되지 않음.</t>
  </si>
  <si>
    <t>국가계약법 시행령 제76조, 독점규제 및 공정거래에 관한 법률</t>
  </si>
  <si>
    <t>전자입찰에서 입찰보증금 납부이행각서를 제출하지 않고 입찰서만 제출한 경우의 효력은?</t>
  </si>
  <si>
    <t>유효하며 낙찰대상에 포함된다</t>
  </si>
  <si>
    <t>개찰 후 추가납부하면 유효해진다</t>
  </si>
  <si>
    <t>입찰보증금 미납에 해당해 무효 처리된다</t>
  </si>
  <si>
    <t>* 정답 (④): 납부이행각서 제출이 입찰보증금 납부에 갈음되므로, 미제출은 입찰보증금 미납으로 무효 처리됨.</t>
  </si>
  <si>
    <t>입찰 무효와 유찰의 차이에 대한 설명으로 옳은 것은?</t>
  </si>
  <si>
    <t>무효는 성립 후 효력을 잃는 것, 유찰은 처음부터 무효인 것이다</t>
  </si>
  <si>
    <t>무효는 입찰의 성립요건 자체를 갖추지 못한 것이고, 유찰은 유효하게 성립했으나 낙찰자를 정할 수 없는 상태이다</t>
  </si>
  <si>
    <t>두 개념은 동일하다</t>
  </si>
  <si>
    <t>유찰된 입찰은 재입찰이 불가능하다</t>
  </si>
  <si>
    <t>* 정답 (②): 무효는 성립요건 자체 미비, 유찰은 유효하게 성립했으나 낙찰자를 정할 수 없는 상태로 구분됨.</t>
  </si>
  <si>
    <t>국가계약법 시행령 제20조</t>
  </si>
  <si>
    <t>국가계약법 시행규칙 제44조상 입찰 무효 사유가 아닌 것은?</t>
  </si>
  <si>
    <t>등록사항 변경신고 없이 한 입찰</t>
  </si>
  <si>
    <t>담합하거나 타인의 경쟁참가를 방해한 자의 입찰</t>
  </si>
  <si>
    <t>입찰자의 기명날인이 없는 입찰</t>
  </si>
  <si>
    <t>예정가격을 초과해 투찰한 입찰</t>
  </si>
  <si>
    <t>* 정답 (④): 예정가격 초과 투찰은 낙찰대상 제외사유이지 무효사유가 아님.</t>
  </si>
  <si>
    <t>[상황] A사 대표이사가 아닌 직원 B가 정당한 위임장 없이 A사 명의로 입찰서를 제출했다. 이 입찰의 효력으로 옳은 것은?</t>
  </si>
  <si>
    <t>사후에 위임장을 제출받으면 유효해진다</t>
  </si>
  <si>
    <t>입찰참가자격이 없는 자가 한 입찰에 해당해 무효이다</t>
  </si>
  <si>
    <t>유효하며 A사가 낙찰대상이 된다</t>
  </si>
  <si>
    <t>B 개인의 입찰로 간주되어 B가 낙찰대상이 된다</t>
  </si>
  <si>
    <t>* 정답 (②): 정당한 위임장 없는 대리인의 입찰참가는 무효이며, 사후 위임장 제출로도 소급하여 유효화되지 않음.</t>
  </si>
  <si>
    <t>경쟁입찰의 성립 요건으로 옳은 것은?</t>
  </si>
  <si>
    <t>유효 입찰자 수와 무관하게 항상 성립</t>
  </si>
  <si>
    <t>2인 이상의 유효한 입찰로 성립한다</t>
  </si>
  <si>
    <t>3인 이상 유효 입찰로 성립</t>
  </si>
  <si>
    <t>1인 이상 유효 입찰로 성립</t>
  </si>
  <si>
    <t>* 정답 (②): 경쟁입찰은 2인 이상의 유효한 입찰로 성립함.</t>
  </si>
  <si>
    <t>국가계약법 시행령 제11조</t>
  </si>
  <si>
    <t>제출된 입찰서를 정해진 일시·장소에서 공개적으로 열어, 각 입찰자의 투찰가격 등을 확인하는 절차를 가리키는 용어는?</t>
  </si>
  <si>
    <t>개찰</t>
  </si>
  <si>
    <t>낙찰</t>
  </si>
  <si>
    <t>유찰</t>
  </si>
  <si>
    <t>응찰</t>
  </si>
  <si>
    <t>* 정답 (①): 개찰은 제출된 입찰서를 공개적으로 열어 투찰내용을 확인하는 절차이며, 낙찰은 최종 계약상대자 선정, 유찰은 입찰 불성립, 투찰은 입찰서 제출행위 자체를 의미함.</t>
  </si>
  <si>
    <t>복수예비가격 제도에서 작성하는 예비가격의 총 개수와, 최종 예정가격 산출을 위해 추첨·선정하는 개수의 조합으로 가장 옳은 것은?</t>
  </si>
  <si>
    <t>10개 작성, 4개 추첨</t>
  </si>
  <si>
    <t>15개 작성, 2개 추첨</t>
  </si>
  <si>
    <t>15개 작성, 4개 추첨</t>
  </si>
  <si>
    <t>15개 작성, 5개 추첨</t>
  </si>
  <si>
    <t>* 정답 (③): 복수예비가격 제도는 기초금액을 기준으로 15개의 예비가격을 작성하고, 입찰 참가자들이 추첨한 번호 중 가장 많이 선택된 4개의 예비가격을 산술평균하여 최종 예정가격을 결정하는 방식입니다.</t>
  </si>
  <si>
    <t>예정가격작성기준 제44조의3, 국가종합전자조달시스템 전자입찰특별유의서 제7조, 제12조</t>
  </si>
  <si>
    <t>전자조달시스템을 통한 복수예비가격 및 예정가격 결정 기준에 대한 설명으로 가장 옳지 않은 것은?</t>
  </si>
  <si>
    <t>전자입찰자는 복수예비가격 적용 입찰 시 예비가격번호 중 2개를 반드시 추첨해야 한다.</t>
  </si>
  <si>
    <t>동일 빈도로 추첨된 예비가격번호가 2개 이상인 경우 그중 높은 번호부터 우선 선택한다.</t>
  </si>
  <si>
    <t>추첨된 예비가격번호가 4개 미만일 때는 부족한 번호를 난수발생기로 선택한다.</t>
  </si>
  <si>
    <t>산술평균 결과값은 일반입찰의 경우 소수점 첫째자리에서 절상함을 원칙으로 한다.</t>
  </si>
  <si>
    <t>* 정답 (②): 동일 빈도로 추첨된 예비가격번호가 2개 이상인 경우에는 '낮은 번호'부터 선택합니다.</t>
  </si>
  <si>
    <t>전자입찰 진행 중 최초 입찰에 유효한 참가자가 없거나 낙찰자가 나오지 않아 '재입찰'을 실시해야 하는 법적 상황으로 옳은 것은?</t>
  </si>
  <si>
    <t>최초 개찰 결과 예정가격 이하로 투찰한 유효 입찰자가 단 1명도 존재하지 않는 경우</t>
  </si>
  <si>
    <t>단독 응찰로 유찰되었으나 수의계약으로 전환하기 전 재확인을 위해 공고를 내는 경우</t>
  </si>
  <si>
    <t>1순위 낙찰예정자가 정당한 이유 없이 계약 체결을 포기하여 차순위로 넘어가야 하는 경우</t>
  </si>
  <si>
    <t>투찰 마감 시간 이전에 전산 장애가 발생하여 다수의 업체가 입찰서를 제출하지 못한 경우</t>
  </si>
  <si>
    <t>* 정답 (①): 유효한 입찰자가 없거나 낙찰자가 결정되지 않은 경우, 기존 참가자들을 대상으로 조건을 변경하지 않고 다시 입찰을 부치는 것이 '재입찰'입니다.</t>
  </si>
  <si>
    <t>전자입찰의 전체 진행 사이클에서 가장 먼저 완료되어야 하며, 개찰(가격 개봉) 단계 직전에 반드시 이루어지는 핵심 절차는 무엇인가?</t>
  </si>
  <si>
    <t>참가 업체의 적격심사 서류 보완 및 제출 완료</t>
  </si>
  <si>
    <t>입찰 참가 자격을 갖춘 업체의 입찰서 제출(투찰)</t>
  </si>
  <si>
    <t>우선협상대상자에 대한 가격 및 기술 협상 완료</t>
  </si>
  <si>
    <t>수요기관의 최종 낙찰자 결정 및 계약 보증금 납부</t>
  </si>
  <si>
    <t>* 정답 (②): 전자입찰은 [공고 → 업체의 투찰(입찰서 제출) → 개찰(가격 개봉) → 낙찰자 선정 → 계약]의 순서로 진행되므로, 개찰 전에는 투찰이 완료되어야 합니다.</t>
  </si>
  <si>
    <t>전자입찰 투찰이 마감된 직후, 개찰결과(개찰보고서) 화면을 통해 즉시 확인할 수 없는 정보는 무엇인가?</t>
  </si>
  <si>
    <t>투찰 업체들의 입찰 참가자격 정상 부여 여부</t>
  </si>
  <si>
    <t>입찰에 참여하여 유효하게 투찰한 참가자 명단</t>
  </si>
  <si>
    <t>1순위로 선정된 낙찰예정자의 투찰 금액 및 순위</t>
  </si>
  <si>
    <t>적격심사가 모두 완료되어 최종 확정된 낙찰자 정보</t>
  </si>
  <si>
    <t>* 정답 (④): 개찰 직후에는 단순히 '가격'을 기준으로 한 순위(낙찰예정자)만 확인 가능하며, 실적이나 경영상태 등을 평가하는 적격심사를 통과해야만 최종 낙찰자로 확정됩니다.</t>
  </si>
  <si>
    <t>조달요구 응답 절차의 기본 개념/원칙으로 가장 적절한 것은?</t>
  </si>
  <si>
    <t>다음 중 조달요구 응답 절차 관련 실무통제(리스크 관리)로 가장 적절한 것은?</t>
  </si>
  <si>
    <t>다음 중 조달요구 응답 절차에 관한 설명으로 옳은 것은?</t>
  </si>
  <si>
    <t>정보제공요청서(RFI: Request for Information)에 관한 설명으로 옳은 것은?</t>
  </si>
  <si>
    <t>규격이 확정된 물품에 대해 복수 업체로부터 가격 견적을 받아 비교하기 위한 문서이다.</t>
  </si>
  <si>
    <t>조달계획 수립 초기 단계에서 시장의 공급 가능성·기술 동향·가격 수준 등을 파악하기 위해 발행하는 문서이다.</t>
  </si>
  <si>
    <t>RFI에 성실하게 응답하면 해당 계약의 낙찰이 자동으로 보장된다.</t>
  </si>
  <si>
    <t>기술 해결방안과 가격을 포함한 종합 제안을 요청하는 공식 문서이다.</t>
  </si>
  <si>
    <t>* 정답 (②): RFI는 수요기관이 조달계획 수립 초기 단계에서 시장의 공급 가능성, 기술 동향, 가격 수준 등을 파악하기 위해 잠재적 공급업체에 정보를 요청하는 문서이다. RFI 응답 자체는 계약이나 수주를 보장하지 않으나, 성실한 대응은 이후 실제 입찰 과정에서 유리한 위치를 확보하는 데 도움이 된다. '④'는 RFP(제안요청서)의 설명이다.</t>
  </si>
  <si>
    <t>견적요청서(RFQ: Request for Quotation)에 관한 설명으로 옳은 것은?</t>
  </si>
  <si>
    <t>수요기관이 조달계획 초기에 시장 정보 수집과 공급 가능성 탐색을 위해 발행하는 문서이다.</t>
  </si>
  <si>
    <t>이미 규격이 확정된 물품이나 표준화된 용역에 대해 복수 업체로부터 가격 견적을 받아 비교하기 위한 요청이다.</t>
  </si>
  <si>
    <t>잠재적 입찰참가업체를 사전에 파악하기 위해 발행하는 입찰참가의향서이다.</t>
  </si>
  <si>
    <t>* 정답 (③): RFQ는 수요기관이 이미 규격이 확정된 물품이나 표준화된 용역에 대해 복수 업체로부터 가격 견적을 받아 비교하기 위한 요청이다. 기술적 요구사항보다는 가격 경쟁력이 핵심 판단 기준이 된다. '①'은 RFI, '②'는 RFP, '④'는 입찰참가의향서(EOI)에 대한 설명이다.</t>
  </si>
  <si>
    <t>조달요청 단계별 유형과 그 특성이 올바르게 연결된 것은?</t>
  </si>
  <si>
    <t>정보제공요청서(RFI) — 입찰·낙찰 단계에서 공식적인 입찰 참여를 요청하는 문서</t>
  </si>
  <si>
    <t>제안요청서(RFP) — 입찰 이전 단계에서 규격의 공정성·적정성을 사전 검증하는 절차</t>
  </si>
  <si>
    <t>사전규격 공개 — 입찰 이전 단계에서 규격의 공정성·적정성을 사전 검증하는 절차</t>
  </si>
  <si>
    <t>입찰초청서 — 입찰 준비 단계에서 시장 정보를 수집하고 공급 가능성을 탐색하는 문서</t>
  </si>
  <si>
    <t>* 정답 (③): 사전규격 공개는 발주기관이 입찰 공고 전에 조달물자의 규격 등을 미리 공개하여 공급업체의 의견을 수렴하는 절차로, '입찰 이전' 단계에 해당한다. 정보제공요청서(RFI)는 입찰 준비 단계, 입찰초청서는 입찰·낙찰 단계, 제안요청서(RFP)는 기술·가격 종합 제안을 요청하는 입찰·낙찰 단계 문서이다.</t>
  </si>
  <si>
    <t>제안서 작성 시 흔한 5가지 실수에 해당하지 않는 것은?</t>
  </si>
  <si>
    <t>과거에 작성한 기존 제안 내용을 새로운 요구사항에 맞게 수정하지 않고 그대로 재활용한다.</t>
  </si>
  <si>
    <t>배점 체계(평가기준)를 무시하고 자사 강점 위주로만 서술한다.</t>
  </si>
  <si>
    <t>실적·자격·인력 등의 증빙 자료를 충실하게 준비하여 첨부한다.</t>
  </si>
  <si>
    <t>핵심에서 벗어난 불필요한 정보를 과다하게 포함한다.</t>
  </si>
  <si>
    <t>* 정답 (③): 증빙 자료를 충실하게 준비하여 첨부하는 것은 올바른 제안서 작성 행동이며, 흔한 실수가 아니다. 제안서 작성의 5가지 흔한 실수는 ① 기존 제안 내용 재활용, ② 평가기준 간과, ③ 증빙자료 부실·누락, ④ 불완전·제출 지연(필수 서류 누락·마감 초과), ⑤ 과도한 내용 제시이다.</t>
  </si>
  <si>
    <t>나라장터 경쟁입찰 참가 자격 등록 시 필수 서류에 해당하지 않는 것은?</t>
  </si>
  <si>
    <t>사업자등록증 사본(세무서 발행)</t>
  </si>
  <si>
    <t>납세증명서(국세·지방세 완납 증명)</t>
  </si>
  <si>
    <t>최근 3년간 연도별 매출액 실적 증명서</t>
  </si>
  <si>
    <t>인감증명서 및 사용인감계</t>
  </si>
  <si>
    <t>* 정답 (③): 경쟁입찰 참가 자격 등록의 필수 서류는 ① 사업자등록증 사본, ② 납세증명서(국세·지방세 완납), ③ 법인등기부등본(법인)/주민등록등본(개인), ④ 인감증명서 및 사용인감계이며, 중소기업자 간 경쟁제품 해당 시 직접생산확인증명서가 추가된다. 최근 3년간 매출액 실적 증명서는 참가자격 등록 필수 서류가 아니다.</t>
  </si>
  <si>
    <t>조달 관련 입법·행정예고 검색 및 의견 제시에 관한 설명으로 옳은 것은?</t>
  </si>
  <si>
    <t>법령 개정이 완전히 완료된 이후에야 공급업체가 해당 변경 사항을 파악할 수 있다.</t>
  </si>
  <si>
    <t>법제처의 입법예고와 관련 부처의 행정예고를 통해 법령 개정·제도 변경을 선제적으로 파악하고, 이해관계가 있는 사안에 의견을 제출할 수 있다.</t>
  </si>
  <si>
    <t>공급업체는 입법예고 단계에서 의견을 제출할 법적 권리가 없다.</t>
  </si>
  <si>
    <t>행정예고는 발주기관 내부 행정 절차로서 공급업체와 무관하다.</t>
  </si>
  <si>
    <t>* 정답 (②): 법제처의 입법예고와 관련 부처의 행정예고를 모니터링하면 조달 관련 법령 개정, 제도 변경, 기준 변동 사항을 선제적으로 파악할 수 있다. 이해관계가 있는 사안에 대해서는 정해진 절차에 따라 의견을 제시할 수 있으며, 이를 통해 제도 개선에 참여하고 사업 환경 변화에 대비하는 것이 공급업체의 중요한 역량이다.</t>
  </si>
  <si>
    <t>제안요청서(RFP) 수신 후 제안서를 작성하는 5단계를 올바른 순서로 나열한 것은?</t>
  </si>
  <si>
    <t>참가 여부 결정 → 제안요청서 검토 → 작성 계획 수립 → 실제 작성 → 검토·편집·제출</t>
  </si>
  <si>
    <t>제안요청서 검토 → 참가 여부 결정 → 제안서 작성 계획 수립 → 실제 작성 → 검토·편집·제출</t>
  </si>
  <si>
    <t>실제 작성 → 제안요청서 검토 → 참가 여부 결정 → 작성 계획 수립 → 검토·편집·제출</t>
  </si>
  <si>
    <t>제안요청서 검토 → 실제 작성 → 참가 여부 결정 → 작성 계획 수립 → 검토·편집·제출</t>
  </si>
  <si>
    <t>* 정답 (②): 제안서 작성 5단계는 ① 제안요청서 검토(RFP 요구사항·평가기준·제출 조건 분석) → ② 참가 여부 결정(자사 역량·경쟁 환경·수익성 고려) → ③ 제안서 작성 계획 수립(일정·역할 분담·필요 자원 계획) → ④ 실제 작성(기술제안서·가격제안서 작성) → ⑤ 검토·편집·제출(최종 교정 후 기한 내 제출) 순서이다.</t>
  </si>
  <si>
    <t>조달요청 6가지 유형 중 단계별 분류로 옳지 않은 것은?</t>
  </si>
  <si>
    <t>정보제공요청서(RFI) — 입찰 준비 단계</t>
  </si>
  <si>
    <t>입찰참가의향서 — 입찰 준비 단계</t>
  </si>
  <si>
    <t>사전규격 공개 — 입찰 이전 단계</t>
  </si>
  <si>
    <t>견적요청서(RFQ) — 입찰 준비 단계 전용</t>
  </si>
  <si>
    <t>* 정답 (④): 견적요청서(RFQ)는 입찰·낙찰 단계에서 가격 중심 비교를 위해 발행되는 문서이며, 입찰 준비 단계 전용이 아니다. ① RFI, ② 입찰참가의향서는 입찰 준비 단계, ③ 사전규격 공개는 입찰 이전 단계에 해당한다.</t>
  </si>
  <si>
    <t>RFI(정보제공요청서)의 주된 목적으로 옳은 것은?</t>
  </si>
  <si>
    <t>수요기관이 조달계획 초기 단계에서 시장 정보 수집과 공급 가능성을 탐색하는 것이다.</t>
  </si>
  <si>
    <t>이미 규격이 확정된 표준 물품에 대해 가격 견적을 받는 절차이다.</t>
  </si>
  <si>
    <t>잠재적 입찰참가업체를 사전에 파악하기 위해 발행하는 의향서이다.</t>
  </si>
  <si>
    <t>* 정답 (①): RFI(Request for Information)는 조달계획 초기 단계에서 시장 정보 수집·공급 가능성 탐색을 위해 발행하는 문서이다. ②는 RFP(제안요청서), ③은 RFQ(견적요청서), ④는 입찰참가의향서에 해당한다.</t>
  </si>
  <si>
    <t>제안서 작성 5단계의 순서로 옳은 것은?</t>
  </si>
  <si>
    <t>실제 작성 → 제안요청서 검토 → 참가 여부 결정 → 검토·편집·제출 → 제안서 작성 계획</t>
  </si>
  <si>
    <t>참가 여부 결정 → 실제 작성 → 제안요청서 검토 → 제안서 작성 계획 → 검토·편집·제출</t>
  </si>
  <si>
    <t>검토·편집·제출 → 실제 작성 → 제안서 작성 계획 → 제안요청서 검토 → 참가 여부 결정</t>
  </si>
  <si>
    <t>* 정답 (①): 제안서 작성 5단계는 ① RFP 검토(요구사항·평가기준·제출 조건 분석) → ② 참가 여부 결정(역량·경쟁·수익성 고려) → ③ 작성 계획 수립(일정·역할·자원) → ④ 실제 작성(기술제안서·가격제안서) → ⑤ 검토·편집·제출(기한 내) 순서이다.</t>
  </si>
  <si>
    <t>제안서 작성 시 흔한 실수에 해당하지 않는 것은?</t>
  </si>
  <si>
    <t>기존 제안 내용을 새 요구사항에 맞지 않게 그대로 재활용한다.</t>
  </si>
  <si>
    <t>평가기준의 배점 체계를 면밀히 분석하지 않고 작성한다.</t>
  </si>
  <si>
    <t>평가기준을 면밀히 분석하고 배점 체계에 맞춰 차별화 포인트를 구성한다.</t>
  </si>
  <si>
    <t>기한 임박까지 작성을 미뤄 검토·교정 시간을 확보하지 못한다.</t>
  </si>
  <si>
    <t>* 정답 (③): ③은 제안서 작성의 모범 사례이며 흔한 실수에 해당하지 않는다. 흔한 실수는 ① 기존 자료 재활용, ② 평가기준 간과, ④ 시간 부족, ⑤ 차별화 부족 등이다.</t>
  </si>
  <si>
    <t>조달 관련 입법·행정예고 모니터링에 관한 설명으로 옳은 것은?</t>
  </si>
  <si>
    <t>법령 개정이 완료된 이후에야 공급업체가 변경 사항을 파악할 수 있다.</t>
  </si>
  <si>
    <t>법제처의 입법예고와 각 부처의 행정예고 단계를 통해 변경 사항을 파악할 수 있다.</t>
  </si>
  <si>
    <t>공급업체는 입법·행정예고에 의견을 제시할 권한이 없다.</t>
  </si>
  <si>
    <t>입법·행정예고는 공급업체에 공개되지 않는다.</t>
  </si>
  <si>
    <t>* 정답 (②): 법제처 입법예고와 각 부처 행정예고는 일반에 공개되며, 공급업체를 포함한 이해관계자는 예고 기간 중 의견을 제출할 수 있다. 사전 모니터링을 통해 법령 변경에 선제 대응할 수 있다.</t>
  </si>
  <si>
    <t>사전규격 공개 분석의 기본 개념/원칙으로 가장 적절한 것은?</t>
  </si>
  <si>
    <t>다음 중 사전규격 공개 분석 관련 실무통제(리스크 관리)로 가장 적절한 것은?</t>
  </si>
  <si>
    <t>다음 중 사전규격 공개 분석에 관한 설명으로 옳은 것은?</t>
  </si>
  <si>
    <t>사전규격 공개 제도의 주요 목적으로 옳은 것은?</t>
  </si>
  <si>
    <t>입찰 참가 업체 수를 사전에 제한하여 행정 효율을 높이기 위한 것이다.</t>
  </si>
  <si>
    <t>특정 업체에 편향된 규격, 과다·과소 예산, 법규 위반 요소 등을 사전에 걸러내기 위한 것이다.</t>
  </si>
  <si>
    <t>낙찰자를 사전에 결정하여 계약 절차를 신속히 진행하기 위한 것이다.</t>
  </si>
  <si>
    <t>입찰 참가 업체에 대한 사전 자격심사(PQ)를 대체하기 위한 것이다.</t>
  </si>
  <si>
    <t>* 정답 (②): 사전규격 공개 제도는 발주기관이 입찰 공고에 앞서 규격·과업 내용 등을 나라장터에 사전 게시하여 잠재적 공급업체와 이해관계자로부터 의견을 수렴하는 제도이다. 특정 업체에 편향된 규격, 과다·과소 예산, 법규 위반 요소를 사전에 걸러내는 것이 핵심 목적이며, PQ를 대체하거나 참가자 수를 제한하는 것과는 무관하다.</t>
  </si>
  <si>
    <t>사전규격 공개 제도의 법적 근거로 옳지 않은 것은?</t>
  </si>
  <si>
    <t>「국가계약법」 — 「정부 입찰·계약 집행기준(계약예규)」 제77조</t>
  </si>
  <si>
    <t>「지방계약법」 — 「지방계약법」 제9조의2</t>
  </si>
  <si>
    <t>「조달청 — 내자구매업무 처리규정」(조달청 훈령) 제9조</t>
  </si>
  <si>
    <t>공정거래위원회 — 공공조달시장 경쟁촉진에 관한 고시</t>
  </si>
  <si>
    <t>* 정답 (④): 사전규격 공개의 법적 근거는 ① 「국가계약법」(정부 입찰·계약 집행기준 계약예규, 제77조), ② 「지방계약법」(제9조의2), ③ 「조달청 내자구매업무 처리규정」(조달청 훈령 제9조)이다. 공정거래위원회 고시는 사전규격 공개 제도의 법적 근거에 해당하지 않는다.</t>
  </si>
  <si>
    <t>나라장터를 통한 사전규격 공개의 법정 최소 공개 기간으로 옳은 것은?</t>
  </si>
  <si>
    <t>1일 이상</t>
  </si>
  <si>
    <t>14일 이상</t>
  </si>
  <si>
    <t>* 정답 (②): 사전규격 공개는 원칙적으로 5일간 진행해야 하나, 긴급한 경우 3일간 공개할 수 있으므로 법정 최소 기간은 3일이다(「정부 입찰·계약 집행기준」 제77조)</t>
  </si>
  <si>
    <t>사전규격 공개 검토 항목 중 '과업내용 적정성' 검토에서 확인해야 할 사항으로 옳지 않은 것은?</t>
  </si>
  <si>
    <t>과업 범위가 명확하게 기술되어 있는지 확인한다.</t>
  </si>
  <si>
    <t>공급업체가 이행 가능한 수준의 요건으로 설정되어 있는지 확인한다.</t>
  </si>
  <si>
    <t>특정 업체에 유리한 조건이 포함되어 있는지 점검한다.</t>
  </si>
  <si>
    <t>발주기관 담당자의 개인 성과 평가 기준이 규격서에 반영되었는지 확인한다.</t>
  </si>
  <si>
    <t>* 정답 (④): 과업내용 적정성 검토는 과업 범위의 명확성, 이행 가능 수준, 특정 업체 유리 조건 여부를 중심으로 점검한다. 발주기관 담당자의 개인 성과 평가 기준은 과업내용 적정성 검토 대상이 아니다. 오히려 이러한 요소가 규격서에 반영되는 것은 공정경쟁 원칙에 위배될 수 있다.</t>
  </si>
  <si>
    <t>사전규격 공개 검토 항목 중 '사업예산 적정성' 검토에서 확인해야 할 사항으로 옳은 것은?</t>
  </si>
  <si>
    <t>추정가격이 시장 시세를 적절히 반영하는지, 과소(덤핑 유발)·과다(예산 낭비) 예산 여부를 확인한다.</t>
  </si>
  <si>
    <t>입찰에 참가 가능한 업체 수가 충분한지 확인한다.</t>
  </si>
  <si>
    <t>입찰 공고 기간이 법정 기준 이상으로 설정되었는지 확인한다.</t>
  </si>
  <si>
    <t>낙찰자 결정 방법이 관련 법령에 적합한지 확인한다.</t>
  </si>
  <si>
    <t>* 정답 (①): 사업예산 적정성 검토는 추정가격이 시장 시세를 적절히 반영하는지를 핵심적으로 검토한다. 예산이 과소하면 덤핑 수주를 유발하여 계약 불이행 또는 품질 저하로 이어질 수 있고, 예산이 과다하면 국고 낭비가 발생할 수 있다. '②'~'④'는 각각 참가자격 적정성, 공고기간 준수, 낙찰방법 검토에 해당하는 별도 항목이다.</t>
  </si>
  <si>
    <t>용역(서비스) 입찰집행 업무흐름에서 '사전규격 공개' 이후 진행되는 단계를 순서대로 올바르게 나열한 것은?</t>
  </si>
  <si>
    <t>입찰공고(예정가격 작성) → 입찰 참가 등록(보증금 납부) → 입찰서 제출 → 입찰집행(기술평가) → 낙찰자 선정</t>
  </si>
  <si>
    <t>입찰 참가 등록(보증금 납부) → 입찰공고 → 입찰서 제출 → 낙찰자 선정 → 입찰집행</t>
  </si>
  <si>
    <t>낙찰자 선정 → 입찰공고 → 입찰 참가 등록 → 입찰서 제출 → 입찰집행</t>
  </si>
  <si>
    <t>입찰공고 → 입찰서 제출 → 입찰 참가 등록 → 입찰집행(기술평가) → 낙찰자 선정</t>
  </si>
  <si>
    <t>* 정답 (①): 용역 입찰집행 업무흐름의 6단계는 ① 사전규격 공개 → ② 입찰공고(예정가격 작성) → ③ 입찰 참가 등록(보증금 납부) → ④ 입찰서 제출 → ⑤ 입찰집행(기술평가) → ⑥ 낙찰자 선정 순서이다. 사전규격 공개가 가장 먼저 이루어지고, 입찰 참가 등록은 입찰공고 이후에 이루어지는 점을 주의해야 한다.</t>
  </si>
  <si>
    <t>사전규격 공개 분석 후 개선보완 의견 제시에 관한 설명으로 옳은 것은?</t>
  </si>
  <si>
    <t>공급업체는 문제점을 발견하더라도 입찰 공고 전에는 의견을 제시할 권리가 없다.</t>
  </si>
  <si>
    <t>나라장터를 통해 개선 의견을 제시하고, 발주기관의 처리 결과를 확인해야 한다.</t>
  </si>
  <si>
    <t>공급업체가 의견을 제시하면 발주기관은 해당 의견을 반드시 모두 수용해야 한다.</t>
  </si>
  <si>
    <t>개선 의견은 반드시 서면 우편으로만 제출해야 한다.</t>
  </si>
  <si>
    <t>* 정답 (②): 사전규격 공개 단계에서 문제점을 발견한 공급업체는 나라장터를 통해 개선 의견을 제시하고, 발주기관의 처리 결과를 확인하는 것이 적절한 대응이다. 발주기관은 제시된 의견을 검토한 후 반영 여부를 결정하며, 모든 의견을 반드시 수용해야 하는 것은 아니다. 의견 제시 방법은 나라장터 온라인 등록이나 발주기관 직접 접수로 가능하다.</t>
  </si>
  <si>
    <t>사전규격 공개의 적용 의무 기준에 관한 설명으로 옳은 것은?</t>
  </si>
  <si>
    <t>추정가격 1억 원 이상 물품·용역 발주 시 의무 시행이 원칙이다(일부 예외 존재).</t>
  </si>
  <si>
    <t>모든 금액의 입찰에 의무적으로 적용된다.</t>
  </si>
  <si>
    <t>5천만 원 이상 모든 입찰에 의무 적용된다.</t>
  </si>
  <si>
    <t>사전규격 공개는 권고 사항으로 의무 사항이 아니다.</t>
  </si>
  <si>
    <t>* 정답 (①): 사전규격 공개는 추정가격 1억 원 이상의 물품·용역 발주 시 의무 시행이 원칙이며, 긴급성·국가안전보장 등 일부 사유에 한해 예외가 인정된다.</t>
  </si>
  <si>
    <t>사전규격 공개 기간에 관한 설명으로 옳지 않은 것은?</t>
  </si>
  <si>
    <t>원칙적으로 7일 이상 공개해야 한다.</t>
  </si>
  <si>
    <t>긴급 사유가 있는 경우 공개 기간을 단축할 수 있다.</t>
  </si>
  <si>
    <t>나라장터 사전규격 공개시스템에 게시한다.</t>
  </si>
  <si>
    <t>공개 기간은 발주기관 담당자 재량으로 자유롭게 단축할 수 있다.</t>
  </si>
  <si>
    <t>* 정답 (④): 사전규격 공개 기간은 원칙적으로 7일 이상이며, 단축은 긴급성 등 정당한 사유가 있을 때 한정적으로 인정된다. 담당자 재량으로 자유롭게 단축할 수 없다.</t>
  </si>
  <si>
    <t>사전규격 공개에서 과업내용 적정성 검토 항목으로 옳지 않은 것은?</t>
  </si>
  <si>
    <t>과업의 범위가 명확히 정의되었는지 여부</t>
  </si>
  <si>
    <t>과업 수행 기간이 합리적으로 설정되었는지 여부</t>
  </si>
  <si>
    <t>특정 업체·제품에 편향된 규격이 포함되어 있는지 여부</t>
  </si>
  <si>
    <t>입찰 참가 업체의 이전 매출액 순위</t>
  </si>
  <si>
    <t>* 정답 (④): 과업내용 적정성 검토는 ① 과업 범위 명확성, ② 수행 기간 합리성, ③ 특정 업체 편향 여부, ④ 평가기준 명확성 등을 점검한다. 입찰 참가 업체의 이전 매출액은 검토 대상이 아니다.</t>
  </si>
  <si>
    <t>사전규격 공개에서 사업예산 적정성 검토에 관한 설명으로 옳은 것은?</t>
  </si>
  <si>
    <t>예산 규모와 과업 범위가 균형을 이루는지, 시장 가격과 부합하는지 검토한다.</t>
  </si>
  <si>
    <t>사업예산의 적정성은 발주기관만 검토하고 공급업체는 검토할 수 없다.</t>
  </si>
  <si>
    <t>예산 적정성은 입찰공고 후에만 의견을 제출할 수 있다.</t>
  </si>
  <si>
    <t>예산 규모는 검토 대상이 아니며 발주기관이 일방적으로 결정한다.</t>
  </si>
  <si>
    <t>* 정답 (①): 사업예산 적정성 검토는 예산 규모와 과업 범위의 균형, 시장 가격 부합 여부, 예산 과다/과소 등을 점검하며, 공급업체도 사전규격 공개 기간 중 의견을 제출할 수 있다.</t>
  </si>
  <si>
    <t>사전규격 공개에 대한 의견 제시·처리 절차에 관한 설명으로 옳지 않은 것은?</t>
  </si>
  <si>
    <t>공급업체는 사전규격 공개 기간 중 의견을 나라장터 시스템에 제출할 수 있다.</t>
  </si>
  <si>
    <t>발주기관은 제출된 의견을 검토하고 합리적 사유가 있는 경우 규격을 보완한다.</t>
  </si>
  <si>
    <t>의견 제출 결과는 공개되며 처리 사유와 함께 기록·보관된다.</t>
  </si>
  <si>
    <t>공급업체의 모든 의견은 발주기관이 의무적으로 수용해야 한다.</t>
  </si>
  <si>
    <t>* 정답 (④): 발주기관은 합리적 사유가 있는 의견을 보완 반영하지만, 모든 의견을 의무적으로 수용해야 하는 것은 아니다. 검토 결과(수용·일부수용·미수용)와 사유는 기록·공개된다.</t>
  </si>
  <si>
    <t>입찰공고문 분석의 기본 개념/원칙으로 가장 적절한 것은?</t>
  </si>
  <si>
    <t>다음 중 입찰공고문 분석 관련 실무통제(리스크 관리)로 가장 적절한 것은?</t>
  </si>
  <si>
    <t>다음 중 입찰공고문 분석에 관한 설명으로 옳은 것은?</t>
  </si>
  <si>
    <t>나라장터를 통해 입찰 정보를 공고할 때, 입찰서 제출마감일의 전일부터 기산한 원칙적인 최소 공고 기간은?</t>
  </si>
  <si>
    <t>3일 전까지(긴급 시 1일 전)</t>
  </si>
  <si>
    <t>5일 전까지(긴급 시 3일 전)</t>
  </si>
  <si>
    <t>7일 전까지(긴급 시 5일 전)</t>
  </si>
  <si>
    <t>14일 전까지(긴급 시 7일 전)</t>
  </si>
  <si>
    <t>* 정답 (③): 입찰공고는 입찰서 제출마감일의 전일부터 기산하여 7일 전까지 공고하는 것이 원칙이며, 긴급한 경우 5일 전까지 단축 공고가 가능하다. 협상계약의 경우에는 40일 이전에 공고해야 하는 별도 기준이 적용된다.</t>
  </si>
  <si>
    <t>협상계약 방식으로 진행하는 입찰의 경우 적용되는 최소 공고 기간은?</t>
  </si>
  <si>
    <t>7일 이전</t>
  </si>
  <si>
    <t>14일 이전</t>
  </si>
  <si>
    <t>30일 이전</t>
  </si>
  <si>
    <t>40일 이전</t>
  </si>
  <si>
    <t>* 정답 (④): 협상계약은 일반경쟁입찰(7일 전)보다 훨씬 긴 40일 이전에 공고해야 한다. 이는 잠재적 참가 업체가 기술제안서와 가격제안서를 충분히 준비할 수 있는 시간을 보장하기 위한 규정이다. 사전규격 공개(3일 이상)·일반 공고(7일)·협상계약(40일)의 기간 차이를 구분하여 기억해야 한다.</t>
  </si>
  <si>
    <t>예정가격 산정 시 복수예비가격의 기초금액 대비 적용 범위에 관한 설명으로 옳은 것은?</t>
  </si>
  <si>
    <t>「국가계약법」과 「지방계약법」 모두 기초금액의 ±2% 범위에서 결정한다.</t>
  </si>
  <si>
    <t>「국가계약법」은 기초금액의 ±2% 범위, 「지방계약법」은 ±3% 범위에서 결정한다.</t>
  </si>
  <si>
    <t>「국가계약법」은 기초금액의 ±3% 범위, 「지방계약법」은 ±2% 범위에서 결정한다.</t>
  </si>
  <si>
    <t>「국가계약법」과 「지방계약법」 모두 기초금액의 ±3% 범위에서 결정한다.</t>
  </si>
  <si>
    <t>* 정답 (②): 「국가계약법」과 「지방계약법」은 예정가격 산정 시 복수예비가격 범위에서 차이가 있다. 「국가계약법」은 기초금액 대비 ±2% 범위에서, 「지방계약법」은 ±3% 범위에서 복수예비가격을 작성하여 추첨으로 예정가격을 결정한다. 입찰공고문에서 어떤 법령이 적용되는지를 먼저 확인해야 한다.</t>
  </si>
  <si>
    <t>입찰보증금에 관한 설명으로 옳은 것은?</t>
  </si>
  <si>
    <t>입찰금액의 10% 이상을 납부하는 것이 원칙이다.</t>
  </si>
  <si>
    <t>입찰보증금은 반드시 현금으로만 납부해야 하며 다른 방법은 허용되지 않는다.</t>
  </si>
  <si>
    <t>입찰금액의 5% 이상을 납부하는 것이 원칙이며, 현금·보증보험증권·은행 지급보증서 등으로 납부할 수 있다.</t>
  </si>
  <si>
    <t>면제 대상에 해당하더라도 납부이행각서로의 대체는 허용되지 않는다.</t>
  </si>
  <si>
    <t>* 정답 (③): 입찰보증금은 입찰금액의 5% 이상을 납부하는 것이 원칙이며(「지방계약법 시행령」 제37조), 현금·보증보험증권·은행 지급보증서 등으로 납부할 수 있다. 면제 대상에 해당하는 경우 납부이행각서로 대체가 가능하나, 이후 계약을 체결하지 않을 경우 납부이행각서에 따라 해당 금액을 현금으로 납부해야 하므로 주의가 필요하다.</t>
  </si>
  <si>
    <t>입찰 무효 사유에 해당하는 것은?</t>
  </si>
  <si>
    <t>자격을 갖춘 업체가 기한 내에 1건의 입찰서를 적법하게 제출한 경우</t>
  </si>
  <si>
    <t>면제 대상 업체가 납부이행각서를 제출한 경우</t>
  </si>
  <si>
    <t>동일인이 동일 입찰 건에 2건 이상의 입찰서를 중복 제출한 경우</t>
  </si>
  <si>
    <t>공동수급체를 구성하여 대표자가 입찰서를 제출한 경우</t>
  </si>
  <si>
    <t>* 정답 (③): 입찰 무효 사유에는 ① 입찰 참가 자격 미충족, ② 입찰보증금 미납, ③ 동일인의 중복 투찰(동일 건에 2건 이상 제출) 등이 포함된다(「국가계약법 시행규칙」 제44조, 「지방계약법 시행규칙」 제39조). 자격을 갖춘 업체의 적법한 1건 제출, 면제 대상의 납부이행각서 제출, 공동수급체 대표자 제출은 무효 사유에 해당하지 않는다.</t>
  </si>
  <si>
    <t>「국가계약법」 적용 기관과 「지방계약법」 적용 기관의 차이에 관한 설명으로 옳지 않은 것은?</t>
  </si>
  <si>
    <t>심사서류 미제출 시 「국가계약법」은 부정당업자 제재 처분, 「지방계약법」은 제재 처분 부과 사유로 규정한다.</t>
  </si>
  <si>
    <t>입찰무효 사유는 「국가계약법 시행규칙」 제44조와 「지방계약법 시행령」 제39조·시행규칙 제42조에 각각 규정되어 있다.</t>
  </si>
  <si>
    <t>「국가계약법」 적용 기관과 「지방계약법」 적용 기관은 동일한 복수예비가격 범위(±2%)를 적용한다.</t>
  </si>
  <si>
    <t>「지방계약법」 적용 시 계약이행능력심사는 중소벤처기업부가 고시한 세부기준에 따라 진행될 수 있다.</t>
  </si>
  <si>
    <t>* 정답 (③): 예정가격 산정 시 복수예비가격 범위는 「국가계약법」이 기초금액의 ±2%, 「지방계약법」이 ±3%로 서로 다르다. 이처럼 두 법령은 세부 기준에서 차이가 있으므로, 입찰공고문에서 어떤 법령이 적용되는지를 먼저 확인하는 것이 중요하다.</t>
  </si>
  <si>
    <t>입찰공고문에 명시되는 공동계약의 이행방법 유형으로 옳지 않은 것은?</t>
  </si>
  <si>
    <t>공동 이행 — 공동수급체 구성원 전원이 공동으로 계약을 이행하는 방식</t>
  </si>
  <si>
    <t>분담 이행 — 공동수급체 구성원이 각자의 분담 부분을 나누어 이행하는 방식</t>
  </si>
  <si>
    <t>공동+분담 이행 — 공동 이행과 분담 이행을 결합한 방식</t>
  </si>
  <si>
    <t>단독 이행 — 공동수급체 대표사가 전체 계약을 단독으로 이행하는 방식</t>
  </si>
  <si>
    <t>* 정답 (④): 공동계약 이행 방법은 ① 공동 이행, ② 분담 이행, ③ 공동+분담 이행의 3가지 유형으로 구분된다. 단독 이행은 공동수급체가 구성된 공동계약의 이행 방법이 아니라, 단일 업체가 계약을 수행하는 일반적 계약 형태이다. 공동수급체를 구성하여 참여할 경우 입찰공고문에서 허용하는 이행 유형을 반드시 확인해야 한다.</t>
  </si>
  <si>
    <t>입찰공고문 기재항목과 분석 포인트의 연결로 옳지 않은 것은?</t>
  </si>
  <si>
    <t>입찰에 부치는 사항 — 조달대상물 유형·품명·규격·수량·납품장소·기한 등 기본 정보</t>
  </si>
  <si>
    <t>입찰·개찰 장소와 일시 — 투명한 절차 보장을 위한 공개 정보</t>
  </si>
  <si>
    <t>현장설명 일시·장소 — 공사입찰의 경우 해당</t>
  </si>
  <si>
    <t>입찰 참가 자격 — 발주기관 담당자의 학력·경력 정보</t>
  </si>
  <si>
    <t>* 정답 (④): 입찰 참가 자격은 일반경쟁·제한경쟁·지명경쟁 등 계약방법에 따른 참가업체의 자격 요건을 명시하는 항목이다. 발주기관 담당자의 학력·경력 정보가 아니다.</t>
  </si>
  <si>
    <t>입찰공고문의 효력 우선순위에 관한 설명으로 옳은 것은?</t>
  </si>
  <si>
    <t>전자조달시스템에 게시된 내용과 첨부 파일 내용이 다르면 시스템 게시 내용이 우선 적용된다.</t>
  </si>
  <si>
    <t>첨부 파일이 항상 시스템 게시 내용보다 우선한다.</t>
  </si>
  <si>
    <t>양자 간 차이가 있으면 발주기관이 임의로 적용한다.</t>
  </si>
  <si>
    <t>양자는 효력이 동일하며 어느 것이 우선인지 정해져 있지 않다.</t>
  </si>
  <si>
    <t>* 정답 (①): 「전자조달법」상 입찰공고의 효력 우선순위는 시스템에 직접 게시된 내용이 우선 적용된다. 입찰 참가자는 첨부 파일과 시스템 게시 내용을 반드시 대조 확인해야 한다.</t>
  </si>
  <si>
    <t>입찰공고문 정정·재공고 사유에 해당하지 않는 것은?</t>
  </si>
  <si>
    <t>공고 기간 미준수 등 절차적 하자 발견</t>
  </si>
  <si>
    <t>규격서·과업지시서의 중대한 오류·누락 발견</t>
  </si>
  <si>
    <t>법령 위반 사안 발견</t>
  </si>
  <si>
    <t>입찰 참가 업체 수가 발주기관 예상보다 적은 경우</t>
  </si>
  <si>
    <t>* 정답 (④): 입찰공고 정정·재공고 사유는 ① 절차적 하자, ② 규격·과업의 중대 오류, ③ 법령 위반 등이다. 단순히 입찰 참가 업체 수가 적다는 사유만으로는 정정·재공고가 이루어지지 않으며, 재공고는 입찰자가 1인 이하인 경우 등 별도 사유가 필요하다.</t>
  </si>
  <si>
    <t>입찰공고문의 법령 위반 사안 식별에 관한 설명으로 옳은 것은?</t>
  </si>
  <si>
    <t>공고 기간이 법정 최소 기간보다 짧게 설정된 경우 법령 위반에 해당한다.</t>
  </si>
  <si>
    <t>참가자격 제한이 「국가계약법 시행령」상 합리적 범위를 벗어나 특정 업체를 사실상 배제하는 경우 법령 위반 소지가 있다.</t>
  </si>
  <si>
    <t>보증금·예정가격·낙찰방법 등 법령상 의무 기재사항이 누락된 경우 법령 위반에 해당한다.</t>
  </si>
  <si>
    <t>①, ②, ③ 모두 법령 위반 사안에 해당한다.</t>
  </si>
  <si>
    <t>* 정답 (④): 입찰공고문의 법령 위반 사안은 ① 공고 기간 미준수, ② 부당한 참가자격 제한, ③ 의무 기재사항 누락 등 다양하며, 모두 정정·재공고 또는 이의신청 대상이 된다.</t>
  </si>
  <si>
    <t>입찰공고일 산정 기준에 관한 설명으로 옳은 것은?</t>
  </si>
  <si>
    <t>입찰공고일은 전자조달시스템에 게시한 날을 기준으로 한다.</t>
  </si>
  <si>
    <t>입찰공고일은 첨부 파일 작성일을 기준으로 한다.</t>
  </si>
  <si>
    <t>입찰공고일은 발주기관이 임의로 결정한다.</t>
  </si>
  <si>
    <t>입찰공고일은 입찰참가업체가 신청한 날이다.</t>
  </si>
  <si>
    <t>* 정답 (①): 「전자조달법」상 입찰공고일은 전자조달시스템에 게시한 날을 기준으로 산정한다. 첨부 파일 작성일이나 임의의 지정일이 기준이 되지 않는다.</t>
  </si>
  <si>
    <t>입찰 및 제안요청 설명회의 기본 개념/원칙으로 가장 적절한 것은?</t>
  </si>
  <si>
    <t>다음 중 입찰 및 제안요청 설명회 관련 실무통제(리스크 관리)로 가장 적절한 것은?</t>
  </si>
  <si>
    <t>다음 중 입찰 및 제안요청 설명회에 관한 설명으로 옳은 것은?</t>
  </si>
  <si>
    <t>입찰설명회(Pre Bid Conference)의 주요 목적으로 옳은 것은?</t>
  </si>
  <si>
    <t>낙찰자를 공개적으로 선정하고 발표하기 위한 행사이다.</t>
  </si>
  <si>
    <t>입찰공고문에 기재된 구매사양·제안요청 내용·설계도·시방서 등의 세부 사항을 직접 설명하기 위한 공식 행사이다.</t>
  </si>
  <si>
    <t>입찰 참가 업체를 사전에 심사하여 부적격 업체를 배제하는 자격심사 절차이다.</t>
  </si>
  <si>
    <t>발주기관이 입찰 결과를 내부적으로 검토하고 계약 조건을 수정하는 회의이다.</t>
  </si>
  <si>
    <t>* 정답 (②): 입찰설명회는 입찰 공고 후 해당 입찰에서 요구하는 제안요청 등과 관련하여 사전에 대면으로 설명하고 안내하기 위한 공식 행사이다. 구매사양·제안요청 내용·설계도·시방서 등의 세부 사항을 직접 설명하는 것이 핵심 목적이며, 낙찰자 선정이나 자격심사와는 무관하다.</t>
  </si>
  <si>
    <t>입찰설명회의 참가 의무에 관한 설명으로 옳은 것은?</t>
  </si>
  <si>
    <t>모든 입찰설명회는 법령상 의무 참가이며, 미참석 시 입찰 참가 자격이 박탈된다.</t>
  </si>
  <si>
    <t>입찰공고문에 '의무적 참석'으로 명시된 경우에만 필수이며, 그 외에는 선택적으로 참가할 수 있다.</t>
  </si>
  <si>
    <t>입찰설명회 참가 여부가 낙찰자 결정 점수에 직접 반영된다.</t>
  </si>
  <si>
    <t>설명회에 참가 신청하면 자동으로 경쟁입찰 참가 자격이 등록된다.</t>
  </si>
  <si>
    <t>* 정답 (②): 입찰설명회 참가는 공고문에 '의무적 참석'으로 명시된 경우에만 필수이며, 그 외에는 선택적으로 참가할 수 있다. 의무 참석이 아닌 경우 미참석 시 입찰 참가 자격이 박탈되지는 않으나, 핵심 정보를 놓쳐 낙찰 가능성에 불리하게 작용할 수 있다.</t>
  </si>
  <si>
    <t>입찰설명회에 참석하지 않은 경우의 영향으로 옳은 것은?</t>
  </si>
  <si>
    <t>미참석 시 해당 입찰에 참가하는 것이 법적으로 금지된다.</t>
  </si>
  <si>
    <t>참가 자체가 제한되지는 않으나, 핵심 정보를 놓칠 수 있어 낙찰 가능성에 불리하게 작용할 수 있다.</t>
  </si>
  <si>
    <t>미참석 업체가 제출한 입찰서는 자동으로 무효 처리된다.</t>
  </si>
  <si>
    <t>미참석 업체는 해당 발주기관의 차기 입찰에 5년간 참가할 수 없다.</t>
  </si>
  <si>
    <t>* 정답 (②): 입찰설명회에 참석하지 않더라도 입찰 참가 자격이 제한되지는 않는다(의무 참석이 명시된 경우 제외). 그러나 설명회에서 제공되는 구매사양·과업 내용·기술적 세부 사항 등 핵심 정보를 놓칠 수 있어, 실질적으로 낙찰 가능성에 불리하게 작용할 수 있다.</t>
  </si>
  <si>
    <t>입찰설명회의 일반적인 진행 순서로 옳은 것은?</t>
  </si>
  <si>
    <t>개회사 → 기술적 측면 발표 → 참석자 소개 → 조달 절차 발표 → 질의응답 → 마무리</t>
  </si>
  <si>
    <t>개회사 → 참석자 소개 → 조달 절차 측면 발표 → 조달 절차 질의응답 → 기술적 측면 발표 → 기술적 측면 질의응답 → 종합 안내·마무리</t>
  </si>
  <si>
    <t>기술적 측면 발표 → 개회사 → 참석자 소개 → 조달 절차 발표 → 마무리</t>
  </si>
  <si>
    <t>참석자 소개 → 개회사 → 기술적 측면 발표 → 조달 절차 발표 → 마무리</t>
  </si>
  <si>
    <t>* 정답 (②): 입찰설명회의 일반적 진행 순서는 ① 개회사 → ② 참석자 소개(수요기관) → ③ 요구사항의 조달 절차 측면 발표 → ④ 조달 절차 질의응답 → ⑤ 요구사항의 기술적 측면 발표 → ⑥ 기술적 측면 질의응답 → ⑦ 종합 안내·마무리 순이다. 조달 절차 측면을 먼저 발표하고 기술적 측면을 나중에 다루는 점이 특징이다.</t>
  </si>
  <si>
    <t>입찰설명회의 일반적인 진행 시기로 옳은 것은?</t>
  </si>
  <si>
    <t>입찰공고 전에 잠재적 공급업체와 사전 협의 목적으로 개최된다.</t>
  </si>
  <si>
    <t>일반적으로 입찰마감일을 기준으로 최소 2주 전, 입찰공고 후 7일 내외에 진행된다.</t>
  </si>
  <si>
    <t>낙찰자가 결정된 이후 계약 체결을 위해 개최된다.</t>
  </si>
  <si>
    <t>개찰 당일 개찰과 동시에 진행되는 것이 원칙이다.</t>
  </si>
  <si>
    <t>* 정답 (②): 입찰설명회는 일반적으로 입찰마감일을 기준으로 최소 2주 전, 입찰공고 후 7일 내외에 진행된다. 진행 장소와 일시는 수요기관이 입찰공고문에 명시하며, 참가자들이 충분한 준비 시간을 확보할 수 있도록 입찰마감 이전에 개최된다.</t>
  </si>
  <si>
    <t>입찰설명회에서 제기된 질문과 답변의 처리 방법으로 옳은 것은?</t>
  </si>
  <si>
    <t>질문과 답변은 발주기관 내부에서만 보관하며 공급업체와 공유하지 않는다.</t>
  </si>
  <si>
    <t>문서화하여 참석한 잠재적 공급업체와 공유하고, 필수적이고 중요한 내용은 입찰 공고문 등에 반영한다.</t>
  </si>
  <si>
    <t>질의응답 내용은 점수화하여 해당 공급업체의 낙찰자 결정 평가에 반영된다.</t>
  </si>
  <si>
    <t>공급업체의 질문이 많을수록 해당 업체의 입찰 참가 자격이 제한될 수 있다.</t>
  </si>
  <si>
    <t>* 정답 (②): 설명회에서 제기된 질문과 답변은 문서화하여 참석한 잠재적 공급업체와 공유해야 한다. 필수적이고 중요한 내용을 누락하여 공유하거나 반영하지 않으면 입찰공고문 등에 반영하여 중요 사안의 누락이나 오류를 예방한다. 공급업체는 개선 의견을 제시하여 입찰공고문 내용을 수정할 수 있는 기회를 확보할 수도 있다.</t>
  </si>
  <si>
    <t>기술 중심의 용역(서비스) 입찰에서 제안요청 방법으로 진행되는 설명회를 지칭하는 명칭으로 옳은 것은?</t>
  </si>
  <si>
    <t>현장설명회 — 공사입찰 시 현장을 직접 확인하는 설명회</t>
  </si>
  <si>
    <t>입찰설명회 — 일반적인 경쟁입찰의 세부사항을 설명하는 공식 행사</t>
  </si>
  <si>
    <t>사전제안회의 — 기술 중심 용역입찰에서 제안요청 방법으로 진행되는 설명회</t>
  </si>
  <si>
    <t>사전규격 공개 — 입찰 이전 단계에서 규격을 공개하는 절차</t>
  </si>
  <si>
    <t>* 정답 (③): 기술 중심의 용역(서비스) 입찰에서 제안요청의 방법으로 진행되는 경우 '사전제안회의'라는 명칭이 사용된다. 국내에서는 일반적으로 '입찰설명회' 또는 '현장설명회'(주로 공사입찰)라는 용어가 사용되며, 사전제안회의는 기술 평가 비중이 높은 용역 입찰에 특화된 설명회 형태이다.</t>
  </si>
  <si>
    <t>입찰 설명회의 목적에 관한 설명으로 옳은 것은?</t>
  </si>
  <si>
    <t>발주기관이 입찰참가업체에게 과업 내용·평가기준·계약조건을 설명하고 질의응답을 통해 정보 비대칭을 해소하는 것이다.</t>
  </si>
  <si>
    <t>발주기관이 특정 업체에게 입찰 정보를 사전에 제공하기 위한 절차이다.</t>
  </si>
  <si>
    <t>설명회는 형식적 절차이며 실질적 정보 교환 기능은 없다.</t>
  </si>
  <si>
    <t>설명회는 낙찰자 결정 후에 진행된다.</t>
  </si>
  <si>
    <t>* 정답 (①): 입찰 설명회는 발주기관이 모든 잠재 참가업체에게 동시에 과업 내용·평가기준·계약조건 등을 설명하고 질의응답을 진행하여 정보 비대칭을 해소하는 절차이다. 특정 업체에 사전 정보 제공은 공정성에 위배된다.</t>
  </si>
  <si>
    <t>설명회 질의응답 처리에 관한 설명으로 옳지 않은 것은?</t>
  </si>
  <si>
    <t>설명회에서 제출된 질의는 발주기관이 답변하고 답변 내용은 모든 참가업체에 공개된다.</t>
  </si>
  <si>
    <t>답변 내용은 입찰공고의 일부로 간주되어 효력을 가진다.</t>
  </si>
  <si>
    <t>질의응답으로 인해 공고 내용이 변경되는 경우 적절한 절차를 거쳐 정정 공고된다.</t>
  </si>
  <si>
    <t>질의응답은 비공개로 처리되어 질의한 업체에게만 답변이 전달된다.</t>
  </si>
  <si>
    <t>* 정답 (④): 설명회 질의응답은 공정성 확보를 위해 모든 참가업체에 공개되어야 한다. 비공개 처리는 정보 비대칭을 발생시켜 공정성에 위배되며, 일반적으로 나라장터 등 시스템에 답변이 게시된다.</t>
  </si>
  <si>
    <t>입찰 설명회 참가자의 의무에 관한 설명으로 옳지 않은 것은?</t>
  </si>
  <si>
    <t>설명회 일정을 사전에 확인하고 참석한다.</t>
  </si>
  <si>
    <t>설명회에서 제공되는 정보를 비밀로 유지하고 외부에 누설하지 않는다.</t>
  </si>
  <si>
    <t>설명회 내용에 대한 질의를 사전에 준비하여 효과적으로 활용한다.</t>
  </si>
  <si>
    <t>설명회에 참가하지 않아도 다른 참가업체로부터 정보를 자유롭게 입수할 수 있다.</t>
  </si>
  <si>
    <t>* 정답 (④): 설명회 참가는 입찰 참여의 핵심 절차로, 일부 입찰(특히 공사·제안형 입찰)에서는 설명회 참가 입찰 참가의 필수 조건일 수 있다. 다른 업체와의 정보 공유는 담합 소지가 있어 부적절하다.</t>
  </si>
  <si>
    <t>제안요청 설명회에서 발주기관의 공정성 의무에 관한 설명으로 옳은 것은?</t>
  </si>
  <si>
    <t>발주기관은 모든 참가업체에 동일한 정보를 동일한 시점에 제공해야 한다.</t>
  </si>
  <si>
    <t>발주기관은 특정 업체와의 사전 면담을 통해 추가 정보를 제공할 수 있다.</t>
  </si>
  <si>
    <t>발주기관은 설명회 후 일부 업체에게만 별도 자료를 제공할 수 있다.</t>
  </si>
  <si>
    <t>발주기관은 설명회 참석 업체와 미참석 업체를 차등 대우할 수 있다.</t>
  </si>
  <si>
    <t>* 정답 (①): 발주기관은 공정성 의무에 따라 모든 참가업체에 동일한 정보를 동일한 시점에 제공해야 한다. 특정 업체에 사전 면담·별도 자료 제공·차등 대우는 공정성 위반에 해당한다.</t>
  </si>
  <si>
    <t>협상에 의한 계약의 제안요청 설명회 특징에 관한 설명으로 옳지 않은 것은?</t>
  </si>
  <si>
    <t>일반 입찰 설명회보다 과업 내용·평가기준에 대한 상세 설명이 이루어진다.</t>
  </si>
  <si>
    <t>기술제안서 평가 항목별 평가 방식과 배점이 설명된다.</t>
  </si>
  <si>
    <t>가격제안서 작성 방법과 가격 평가 방식이 설명된다.</t>
  </si>
  <si>
    <t>설명회에서 발주기관이 특정 업체의 제안 방향을 사전 코칭하는 것이 일반적이다.</t>
  </si>
  <si>
    <t>* 정답 (④): 발주기관이 특정 업체의 제안 방향을 사전 코칭하는 것은 공정성에 정면으로 반하는 부적절한 행위이다. 협상에 의한 계약 설명회는 모든 참가업체에 동일한 정보·기준을 제공하는 자리이다.</t>
  </si>
  <si>
    <t>투찰과 개찰의 기본 개념/원칙으로 가장 적절한 것은?</t>
  </si>
  <si>
    <t>* 정답 (④): 원칙(사전확정·공개·기록·동일적용)은 감사·분쟁 리스크를 줄이는 핵심이다.</t>
  </si>
  <si>
    <t>다음 중 투찰과 개찰 관련 실무통제(리스크 관리)로 가장 적절한 것은?</t>
  </si>
  <si>
    <t>다음 중 투찰과 개찰에 관한 설명으로 옳은 것은?</t>
  </si>
  <si>
    <t>'투찰(投札)'의 의미로 옳은 것은?</t>
  </si>
  <si>
    <t>다수의 업체가 가장 유리한 조건을 제시하고 참여하는 과정 전반</t>
  </si>
  <si>
    <t>입찰에 응하는 행위 전반을 포괄하는 넓은 의미의 호응 행위</t>
  </si>
  <si>
    <t>입찰 조건에 따라 가격을 제출하는 구체적 행위</t>
  </si>
  <si>
    <t>투찰된 가격을 공개적으로 개봉·비교하는 행위</t>
  </si>
  <si>
    <t>* 정답 (③): 투찰은 입찰 조건에 따라 가격을 제출하는 구체적 행위이다. '①'은 입찰(入札), '②'는 응찰(應札), '④'는 개찰(開札)의 정의이다. 입찰·응찰·투찰·개찰·낙찰·유찰은 서로 다른 단계를 나타내는 개념이므로 각각의 정의를 정확히 구분해야 한다.</t>
  </si>
  <si>
    <t>유찰(流札)에 관한 설명으로 옳은 것은?</t>
  </si>
  <si>
    <t>가장 유리한 조건의 업체를 계약 대상으로 선정하는 행위이다.</t>
  </si>
  <si>
    <t>개찰 결과 낙찰자를 선정할 수 없어 입찰이 무효화되는 상태이다.</t>
  </si>
  <si>
    <t>입찰 조건에 따라 가격을 제출하는 구체적 행위이다.</t>
  </si>
  <si>
    <t>투찰된 가격을 공개적으로 개봉·비교하는 행위이다.</t>
  </si>
  <si>
    <t>* 정답 (②): 유찰은 개찰 결과 낙찰자를 선정할 수 없어 입찰이 무효화되는 상태이다. 적합한 투찰가격이 없거나 투찰업체 자체가 없어 입찰이 성립되지 못하는 경우에 발생한다. 유찰 시 수요기관은 동일 조건으로 재입찰하거나 조건을 수정하여 새로운 입찰을 진행할 수 있다.</t>
  </si>
  <si>
    <t>입찰서 제출 방법에 관한 설명으로 옳지 않은 것은?</t>
  </si>
  <si>
    <t>나라장터(G2B)를 통해 전자적으로 제출하는 것이 원칙이다.</t>
  </si>
  <si>
    <t>입찰 마감 시각까지 전자서명을 첨부한 입찰서를 전송해야 한다.</t>
  </si>
  <si>
    <t>마감 이후에도 오류가 있는 경우 수정·취소가 가능하다.</t>
  </si>
  <si>
    <t>투찰 시 투찰금액은 암호화되어 개찰 시까지 비공개 상태가 유지된다.</t>
  </si>
  <si>
    <t>* 정답 (③): 입찰 마감 이후에는 입찰서의 제출·수정·취소가 일체 불가하다. 이는 공정한 경쟁을 보장하기 위한 원칙이다. 나라장터를 통해 전자적으로 제출하며, 투찰금액은 암호화되어 개찰 시까지 비공개 상태로 유지된다.</t>
  </si>
  <si>
    <t>주요 무효입찰 사유에 해당하지 않는 것은?</t>
  </si>
  <si>
    <t>참가자격 미등록 또는 자격 미달 업체의 투찰</t>
  </si>
  <si>
    <t>동일인이 2통 이상의 입찰서를 제출한 경우</t>
  </si>
  <si>
    <t>자격을 갖춘 업체가 기한 내에 전자서명을 첨부하여 적법하게 1건 제출한 경우</t>
  </si>
  <si>
    <t>입찰 마감 이후에 제출된 입찰서</t>
  </si>
  <si>
    <t>* 정답 (③): 자격을 갖춘 업체가 기한 내에 전자서명을 첨부하여 적법하게 1건의 입찰서를 제출하는 것은 정상적인 입찰 행위이며 무효 사유에 해당하지 않는다. 주요 무효입찰 사유는 ① 참가자격 미달, ② 입찰보증금 미납·부족, ③ 주요 기재사항 누락·오기, ④ 동일인 2통 이상 제출, ⑤ 담합, ⑥ 전자서명 누락, ⑦ 마감 이후 제출 등이다.</t>
  </si>
  <si>
    <t>견적서 제출 방법에 의한 낙찰자 선정 기준으로 옳은 것은?</t>
  </si>
  <si>
    <t>제안서 평가점수와 가격평가점수의 합산 점수가 가장 높은 업체가 낙찰자로 선정된다.</t>
  </si>
  <si>
    <t>최저가격으로 투찰한 업체가 낙찰자로 선정되어 계약 체결을 요청받는다.</t>
  </si>
  <si>
    <t>투찰가격에 관계없이 기술 역량 심사를 통해 낙찰자가 선정된다.</t>
  </si>
  <si>
    <t>예정가격의 낙찰하한율 이상 중 가장 높은 가격을 제출한 업체가 낙찰자로 선정된다.</t>
  </si>
  <si>
    <t>* 정답 (②): 견적서 제출 방법에서는 최저가격으로 투찰한 업체가 낙찰자로 선정되어 계약 체결을 요청받는다. '①'은 제안서 제출 방법(종합평가), '③'은 기술 중심 평가 방식, '④'는 최저가 방식과 반대되는 설명이다. 견적서 방식은 표준화된 물품의 가격 중심 비교에 적합하다.</t>
  </si>
  <si>
    <t>제안서 제출 방법에 의한 낙찰 절차에 관한 설명으로 옳은 것은?</t>
  </si>
  <si>
    <t>가격 개찰을 먼저 실시한 후 제안서 평가를 진행한다.</t>
  </si>
  <si>
    <t>가격 개찰 전 제안서를 평가하여 점수를 확정하고, 이후 개찰을 통한 가격평가점수와 합산하여 최고 점수 업체를 낙찰자로 선정한다.</t>
  </si>
  <si>
    <t>제안서와 가격평가의 비중은 항상 5:5로 동일하게 적용된다.</t>
  </si>
  <si>
    <t>최저가격을 제출한 업체가 자동으로 낙찰자로 선정된다.</t>
  </si>
  <si>
    <t>* 정답 (②): 제안서 제출 방법에서는 가격 개찰 전에 제안서를 평가하여 점수를 확정하고, 이후 개찰을 통해 투찰가격에 따른 가격평가점수를 산정한 후 합산하여 최고 점수를 받은 업체를 낙찰자로 선정한다. 제안서와 가격평가의 비중은 일반적으로 7:3~9:1 수준으로 제안서 비중이 훨씬 높다.</t>
  </si>
  <si>
    <t>유찰이 발생했을 때 수요기관의 후속 처리 방법으로 옳지 않은 것은?</t>
  </si>
  <si>
    <t>동일한 입찰조건으로 재입찰을 시행할 수 있다.</t>
  </si>
  <si>
    <t>입찰조건·과업 내용·예산 등을 재검토하여 수정된 조건으로 새로운 입찰을 진행할 수 있다.</t>
  </si>
  <si>
    <t>기존 입찰조건을 유지한 채 새로운 입찰을 진행할 수 있다.</t>
  </si>
  <si>
    <t>유찰이 발생하면 해당 사업은 법령상 영구히 재입찰이 금지된다.</t>
  </si>
  <si>
    <t>* 정답 (④): 유찰이 발생하더라도 해당 사업의 재입찰이 영구히 금지되지는 않는다. 수요기관은 ① 동일 입찰조건으로 재입찰을 시행하거나, ② 입찰조건·과업 내용·예산 등을 재검토하여 수정된 조건으로 새로운 입찰을 진행하거나, ③ 기존 입찰조건을 유지한 채 새로운 입찰을 진행하는 방법 중 상황에 적합한 방식을 선택하여 진행할 수 있다.</t>
  </si>
  <si>
    <t>전자입찰서 제출 절차에 관한 설명으로 옳지 않은 것은?</t>
  </si>
  <si>
    <t>나라장터에서 「전자서명법」에 따른 전자서명을 첨부하여 제출한다.</t>
  </si>
  <si>
    <t>입찰서는 입찰 마감 시각 이전에 시스템에 도달해야 한다.</t>
  </si>
  <si>
    <t>전자서명이 첨부된 전자문서는 서면 입찰서와 동일한 법적 효력을 가진다.</t>
  </si>
  <si>
    <t>전자입찰서는 마감 시각 이후에도 24시간 내에는 자유롭게 수정·재제출할 수 있다.</t>
  </si>
  <si>
    <t>* 정답 (④): 입찰서는 입찰 마감 시각이 지나면 수정·재제출이 불가능하다. 마감 시각 이전이라도 일단 제출된 입찰서는 일정 절차를 거쳐야 수정·취소가 가능하며, 자유로운 수정은 허용되지 않는다.</t>
  </si>
  <si>
    <t>입찰보증금의 납부 방식에 해당하지 않는 것은?</t>
  </si>
  <si>
    <t>현금 납부</t>
  </si>
  <si>
    <t>보증서(보증보험증권 또는 이행보증서) 제출</t>
  </si>
  <si>
    <t>국채·지방채 등 유가증권 납부</t>
  </si>
  <si>
    <t>입찰참가업체 임직원의 개인 신용 보증</t>
  </si>
  <si>
    <t>* 정답 (④): 입찰보증금 납부 방식은 ① 현금, ② 보증서(보증보험증권·이행보증서), ③ 국채·지방채 등 유가증권으로 한정된다. 임직원 개인 신용 보증은 인정되지 않는다.</t>
  </si>
  <si>
    <t>개찰 절차에 관한 설명으로 옳은 것은?</t>
  </si>
  <si>
    <t>개찰은 입찰 마감 시각 이후 입찰공고에 명시된 일시·장소에서 실시된다.</t>
  </si>
  <si>
    <t>개찰은 입찰 참가업체의 임의 시점에 진행할 수 있다.</t>
  </si>
  <si>
    <t>개찰 결과는 비공개로 처리되어 입찰 참가업체에 알리지 않는다.</t>
  </si>
  <si>
    <t>개찰은 발주기관 담당자 1인의 단독 판단으로 진행한다.</t>
  </si>
  <si>
    <t>* 정답 (①): 개찰은 입찰공고에 명시된 일시·장소에서 입찰 마감 시각 이후에 실시되며, 결과는 입찰참가업체에 통지·공개된다. 단독 판단이 아닌 적법한 개찰 절차에 따라 진행된다.</t>
  </si>
  <si>
    <t>입찰의 성립 요건에 관한 설명으로 옳지 않은 것은?</t>
  </si>
  <si>
    <t>유효한 입찰은 입찰 참가 자격을 갖추고 절차에 따라 적법하게 제출된 입찰을 의미한다.</t>
  </si>
  <si>
    <t>입찰 무효 사유에 해당하는 입찰은 유효한 입찰에 포함되지 않는다.</t>
  </si>
  <si>
    <t>입찰자가 1인뿐인 경우 즉시 그 입찰을 적격으로 인정하여 낙찰자로 결정한다.</t>
  </si>
  <si>
    <t>* 정답 (④): 입찰자가 1인뿐인 경우 즉시 적격으로 인정되지 않으며, 재공고입찰을 거친 후에도 자격을 갖춘 자가 1인밖에 없음이 명백한 경우에 한해 수의계약 등의 후속 절차로 진행될 수 있다.</t>
  </si>
  <si>
    <t>입찰서 제출 시 유의사항에 관한 설명으로 옳지 않은 것은?</t>
  </si>
  <si>
    <t>입찰서 작성 내용이 입찰공고문·규격서·과업지시서에 부합하는지 확인한다.</t>
  </si>
  <si>
    <t>첨부 서류의 누락 여부를 점검하여 무효 사유 발생을 방지한다.</t>
  </si>
  <si>
    <t>시스템 장애를 대비해 마감 시각 직전에 제출한다.</t>
  </si>
  <si>
    <t>마감 시각 이전에 충분한 여유를 두고 제출하여 시스템 장애 등 돌발 변수에 대응한다.</t>
  </si>
  <si>
    <t>* 정답 (③): 마감 시각 직전 제출은 시스템 장애·네트워크 지연 등 돌발 변수로 입찰서가 마감 시각을 도과해 무효 처리될 위험이 크다. 충분한 여유를 두고 제출하는 것이 권장된다.</t>
  </si>
  <si>
    <t>국가를 당사자로 하는 계약에 관한 법령상 입찰공고 명시 사항으로 규정하고 있지 않은 것은?</t>
  </si>
  <si>
    <t>계약의 중간보고일</t>
  </si>
  <si>
    <t>계약하고자 하는 조건을 공시하는 장소</t>
  </si>
  <si>
    <t>입찰 관련 비리의 신고에 관한 사항</t>
  </si>
  <si>
    <t>입찰보증금의 국고귀속에 관한 사항</t>
  </si>
  <si>
    <t>* 정답 (①): 「국가계약법 시행령」 제36조(입찰공고의 내용)에 따르면 계약 조건을 공시하는 장소, 입찰보증금 국고귀속, 입찰 비리 신고 등에 관한 사항은 필수 명시 사항이나 '계약의 중간보고일'은 포함되지 않는다.</t>
  </si>
  <si>
    <t>공공조달관리사 수험자용 예제문제 / 「국가계약법 시행령」 제36조</t>
  </si>
  <si>
    <t>공공조달계획 수립 및 분석 - 3. 입찰·제안평가 및 계약체결</t>
  </si>
  <si>
    <t>협상에 의한 계약에서 발주기관이 밟는 절차의 순서로 옳은 것은?</t>
  </si>
  <si>
    <t>협상을 먼저 진행한 뒤 그 결과에 따라 입찰공고 여부를 정한다</t>
  </si>
  <si>
    <t>입찰을 공고하고 제안서를 접수한 뒤 이를 평가하여 협상대상자와 협상 후 계약을 체결한다</t>
  </si>
  <si>
    <t>제안서를 먼저 받은 뒤 이를 근거로 입찰공고를 작성한다</t>
  </si>
  <si>
    <t>제안서 평가와 입찰공고를 동시에 진행한다</t>
  </si>
  <si>
    <t>* 정답 (②): 협상에 의한 계약은 입찰공고 → 제안서 접수 → 제안서 평가 → 협상대상자 선정·협상 → 계약체결 순으로 진행됨.</t>
  </si>
  <si>
    <t>협상에 의한 계약에서 기술능력 평가와 입찰가격 평가의 기본 배점 한도로 옳은 것은?</t>
  </si>
  <si>
    <t>기술 40점, 가격 60점</t>
  </si>
  <si>
    <t>기술 70점, 가격 30점(사업 특성에 따라 일정 범위 내 조정 가능)</t>
  </si>
  <si>
    <t>기술 50점, 가격 50점</t>
  </si>
  <si>
    <t>기술 90점, 가격 10점</t>
  </si>
  <si>
    <t>* 정답 (②): 협상에 의한 계약의 기본 배점 한도는 기술 70점·가격 30점이며, 사업 특성에 따라 조정될 수 있음.</t>
  </si>
  <si>
    <t>(계약예규) 협상에 의한 계약체결기준</t>
  </si>
  <si>
    <t>[상황] 평가위원이 제안서의 유사 사업 수행 실적, 보유 기술인력 등급 등을 증빙서류에 근거해 정해진 배점표에 따라 채점했다. 이러한 방식의 평가를 무엇이라 하는가?</t>
  </si>
  <si>
    <t>정량적 평가</t>
  </si>
  <si>
    <t>절대 평가</t>
  </si>
  <si>
    <t>상대 평가</t>
  </si>
  <si>
    <t>정성적 평가</t>
  </si>
  <si>
    <t>* 정답 (①): 정량적 평가는 실적·경영상태·인력등급 등 객관적 증빙자료를 기준으로 정해진 배점표에 따라 점수를 산정하는 방식임.</t>
  </si>
  <si>
    <t>협상에 의한 계약에서 '협상적격자'로 선정되기 위한 기술능력 평가점수 기준으로 옳은 것은?</t>
  </si>
  <si>
    <t>해당 분야 배점 한도의 95% 이상</t>
  </si>
  <si>
    <t>해당 분야 배점 한도의 75% 이상</t>
  </si>
  <si>
    <t>해당 분야 배점 한도의 85% 이상</t>
  </si>
  <si>
    <t>해당 분야 배점 한도의 60% 이상</t>
  </si>
  <si>
    <t>* 정답 (③): 기술능력 평가점수가 배점 한도의 85% 이상인 자만 협상적격자가 되며, 미달 시 가격점수와 무관하게 협상대상에서 제외됨.</t>
  </si>
  <si>
    <t>다음 중 성격이 다른 평가 항목 하나를 고르면?</t>
  </si>
  <si>
    <t>유사 사업 수행 실적</t>
  </si>
  <si>
    <t>업체의 재무상태</t>
  </si>
  <si>
    <t>사업 추진 전략의 타당성</t>
  </si>
  <si>
    <t>보유 기술인력의 등급</t>
  </si>
  <si>
    <t>* 정답 (③): 사업 추진 전략의 타당성은 평가위원의 전문적 판단이 필요한 정성평가 항목이며, 나머지는 증빙자료 기반의 정량평가 항목임.</t>
  </si>
  <si>
    <t>[상황] 협상계약에서 A업체는 배점한도 대비 기술평가 82%, B업체는 87%를 받았다. 배점한도의 85% 기준을 적용할 때 협상적격자 선정 결과로 가장 옳은 것은?</t>
  </si>
  <si>
    <t>두 업체 모두 협상적격자가 된다</t>
  </si>
  <si>
    <t>가격점수를 합산해 더 높은 업체가 협상적격자가 된다</t>
  </si>
  <si>
    <t>두 업체 모두 협상대상에서 제외된다</t>
  </si>
  <si>
    <t>A업체는 가격점수와 무관하게 협상대상에서 제외되고, B업체만 협상적격자가 된다</t>
  </si>
  <si>
    <t>* 정답 (④): 기술평가 85% 미만인 A업체는 협상적격자 기준에 미달해 가격점수와 무관하게 제외됨.</t>
  </si>
  <si>
    <t>가격평가 산식에서 최저입찰가격을 기준(분모 또는 분자)으로 삼아 점수를 계산하도록 설계한 주된 목적은?</t>
  </si>
  <si>
    <t>저가 투찰을 적극적으로 유도하기 위해</t>
  </si>
  <si>
    <t>가격이 낮을수록 점수가 지나치게 급격히 오르는 것을 제한해 과도한 저가 경쟁을 막기 위해</t>
  </si>
  <si>
    <t>기술력이 높은 업체를 우대하기 위해</t>
  </si>
  <si>
    <t>계산 절차를 단순화하기 위해</t>
  </si>
  <si>
    <t>* 정답 (②): 가격평가 산식은 최저가에 근접할수록 점수가 오르되, 상승폭을 제한해 과도한 저가 경쟁(덤핑)을 방지하는 구조로 설계됨.</t>
  </si>
  <si>
    <t>[상황] 지방계약법이 적용되는 발주기관과 국가계약법이 적용되는 발주기관이 각각 협상에 의한 계약을 발주하면서 배점 비율을 다르게 정했다. 이에 대한 설명으로 가장 적절한 것은?</t>
  </si>
  <si>
    <t>국가계약법은 가격만으로 평가하도록 정한다</t>
  </si>
  <si>
    <t>두 법령 모두 배점 비율을 전혀 조정할 수 없다</t>
  </si>
  <si>
    <t>지방계약법은 가격 비중을 항상 더 높게 정한다</t>
  </si>
  <si>
    <t>두 법령 모두 기술평가 비중을 가격평가보다 높게 설정하는 것이 원칙이나, 구체적인 배점 비율과 조정 범위는 근거 법령·예규에 따라 다르게 정해질 수 있다</t>
  </si>
  <si>
    <t>* 정답 (④): 국가계약법령과 지방계약법령 모두 기술평가에 더 높은 비중을 두는 것이 공통 원칙이나, 구체적 배점 비율·조정범위는 각 법령·예규에 따라 다르게 정해질 수 있음(정확한 수치는 해당 법령 시행규칙 원문 확인 필요).</t>
  </si>
  <si>
    <t>[상황] 제안발표에 정당한 사유 없이 불참한 업체가 있다. 이 업체에 대한 조치로 가장 적절한 것은?</t>
  </si>
  <si>
    <t>아무 불이익 없이 정상적으로 평가받는다</t>
  </si>
  <si>
    <t>즉시 부정당업자로 제재된다</t>
  </si>
  <si>
    <t>즉시 해당 업체의 입찰이 무효 처리된다</t>
  </si>
  <si>
    <t>제출된 제안서만으로 서면 평가하되, 감점 등 불이익이 있을 수 있다</t>
  </si>
  <si>
    <t>* 정답 (④): 제안발표 불참은 즉시 입찰무효 사유는 아니며, 서면평가와 감점 등의 불이익을 받는 데 그침.</t>
  </si>
  <si>
    <t>제안서 평가점수를 집계할 때, 최고점수와 최저점수가 각각 2개 이상씩 나온 경우의 처리방식으로 옳은 것은?</t>
  </si>
  <si>
    <t>위원장이 임의로 하나를 선택해 제외한다</t>
  </si>
  <si>
    <t>최고·최저점수를 제외하지 않고 전부 포함해 평균한다</t>
  </si>
  <si>
    <t>모든 최고·최저점수를 전부 제외한다</t>
  </si>
  <si>
    <t>최고·최저점수를 각각 1개씩만 제외하고 나머지를 산술평균한다</t>
  </si>
  <si>
    <t>* 정답 (④): 최고·최저점수가 복수라도 각각 1개씩만 제외하고 나머지 점수를 산술평균함.</t>
  </si>
  <si>
    <t>제안서 평가 항목 중 하나의 세부 항목이 가질 수 있는 배점의 상한으로 옳은 것은?</t>
  </si>
  <si>
    <t>40점</t>
  </si>
  <si>
    <t>30점</t>
  </si>
  <si>
    <t>50점</t>
  </si>
  <si>
    <t>20점</t>
  </si>
  <si>
    <t>* 정답 (②): 특정 세부 항목의 배점이 지나치게 커서 평가 결과가 왜곡되지 않도록, 한 항목의 배점은 30점을 초과할 수 없음.</t>
  </si>
  <si>
    <t>정성평가의 특징으로 가장 적절한 것은?</t>
  </si>
  <si>
    <t>제안서의 논리성·명확성·설득력이 평가 결과에 중요한 영향을 미친다</t>
  </si>
  <si>
    <t>평가 결과를 사전에 정확히 예측할 수 있다</t>
  </si>
  <si>
    <t>평가위원의 주관적 판단이 완전히 배제된다</t>
  </si>
  <si>
    <t>오직 객관적 증빙서류만으로 채점한다</t>
  </si>
  <si>
    <t>* 정답 (①): 정성평가는 평가위원의 전문성·경험을 바탕으로 제안 내용의 논리성·설득력 등을 주관적으로 평가하는 방식임.</t>
  </si>
  <si>
    <t>공정한 제안서 평가를 위해 진행되는 절차 중, 외부와 차단된 상태에서 가장 먼저 이루어지는 것은?</t>
  </si>
  <si>
    <t>공급업체의 제안 발표</t>
  </si>
  <si>
    <t>위원장 선출</t>
  </si>
  <si>
    <t>평가위원 선정</t>
  </si>
  <si>
    <t>사업 설명</t>
  </si>
  <si>
    <t>* 정답 (③): 사전 유출·접촉을 막기 위해 외부와 차단된 상태에서 평가위원을 먼저 선정하는 절차가 가장 먼저 진행됨.</t>
  </si>
  <si>
    <t>평가위원에게 부여되는 제안서 사전 검토 시간이 사업마다 다르게 정해지는 주된 기준은?</t>
  </si>
  <si>
    <t>입찰 규모(추정가격)</t>
  </si>
  <si>
    <t>입찰참가업체의 수</t>
  </si>
  <si>
    <t>제안서의 표지 디자인</t>
  </si>
  <si>
    <t>평가위원의 개인 경력</t>
  </si>
  <si>
    <t>* 정답 (①): 사업 규모가 클수록 검토할 내용이 많아지므로, 입찰 규모(추정가격)에 따라 사전 검토 시간이 차등 부여됨.</t>
  </si>
  <si>
    <t>제안서 평가에서 최고점수와 최저점수를 제외하고 나머지를 평균하는 방식을 채택하는 이유로 가장 적절한 것은?</t>
  </si>
  <si>
    <t>평가 시간을 단축하기 위해</t>
  </si>
  <si>
    <t>특정 평가위원의 극단적인 점수가 전체 결과를 왜곡하는 것을 막아 공정성·신뢰성을 확보하기 위해</t>
  </si>
  <si>
    <t>평가위원의 업무 부담을 줄이기 위해</t>
  </si>
  <si>
    <t>계산을 더 간편하게 만들기 위해</t>
  </si>
  <si>
    <t>* 정답 (②): 극단치를 제외함으로써 개별 위원의 편향이 전체 결과에 미치는 영향을 최소화해 공정성·신뢰성을 높임.</t>
  </si>
  <si>
    <t>고시금액 미만의 소액 기술용역 입찰 중, 다자간 경쟁을 거치지 않고 '1인 견적서 제출을 통한 수의계약'으로 신속히 진행할 수 있는 금액적 기준은?</t>
  </si>
  <si>
    <t>추정가격 기준 2천만 원 미만</t>
  </si>
  <si>
    <t>추정가격 기준 5천만 원 미만</t>
  </si>
  <si>
    <t>추정가격 기준 1억 원 미만</t>
  </si>
  <si>
    <t>추정가격 기준 2.3억 원 미만</t>
  </si>
  <si>
    <t>* 정답 (①): 영세 업체 보호 및 행정 효율을 위해 추정가격 '2천만 원 미만'의 소액 용역은 1인 수의계약이 가능하며, 이를 초과하여 1억 원 미만인 경우에는 2인 이상 견적을 받아야 합니다.</t>
  </si>
  <si>
    <t>국가계약법 시행령 제26조 제1항 제5호 가목 5)</t>
  </si>
  <si>
    <t>[상황] 발주기관이 제안서 평가위원회를 구성하면서, 위원장을 수요기관 소속 내부 직원 중에서 임의로 지정했다. 이 방식에 대한 평가로 가장 적절한 것은?</t>
  </si>
  <si>
    <t>평가의 공정성 확보 원칙에 부합하지 않을 소지가 있다</t>
  </si>
  <si>
    <t>위원장은 항상 내부 직원이어야 하므로 적절하다</t>
  </si>
  <si>
    <t>가장 표준적인 방식으로 아무 문제가 없다</t>
  </si>
  <si>
    <t>위원장 선출 방식에는 특별한 원칙이 없다</t>
  </si>
  <si>
    <t>* 정답 (①): 평가의 공정성·객관성 확보를 위해 위원장은 통상 외부 평가위원 중에서 호선 또는 추첨으로 선출하는 것이 원칙이며, 내부 직원을 임의 지정하는 방식은 이 원칙에 반할 소지가 있음.</t>
  </si>
  <si>
    <t>제안서 평가위원회의 역할로 보기 어려운 것은?</t>
  </si>
  <si>
    <t>입찰가격의 적정성 심사</t>
  </si>
  <si>
    <t>제안 내용의 기술적 검토</t>
  </si>
  <si>
    <t>정성적 항목 평가</t>
  </si>
  <si>
    <t>제안 발표 청취 및 질의응답</t>
  </si>
  <si>
    <t>* 정답 (①): 입찰가격(가격평가) 산정·심사는 정해진 산식에 따라 계약담당자가 수행하는 영역으로, 평가위원회의 주된 역할은 기술적·정성적 측면 평가임.</t>
  </si>
  <si>
    <t>[상황] 조달청이 추정가격 70억원 규모의 소프트웨어 사업을 발주하며 제안서 평가위원회를 구성하려 한다. 최소 위원 수 기준으로 가장 옳은 것은?</t>
  </si>
  <si>
    <t>5명 이상</t>
  </si>
  <si>
    <t>12명 이상</t>
  </si>
  <si>
    <t>9명 이상</t>
  </si>
  <si>
    <t>7명 이상</t>
  </si>
  <si>
    <t>* 정답 (③): 조달청 기준으로 추정가격 50억원 이상 사업은 최소 9명 이상의 평가위원으로 위원회를 구성함.</t>
  </si>
  <si>
    <t>제안서 평가위원회 구성 및 운영 절차에 대한 설명으로 가장 옳은 것은?</t>
  </si>
  <si>
    <t>재정경제부 규정에 따라 공정성 확보를 위해 평가위원회의 과반수와 위원장은 내부 관계자로 구성한다.</t>
  </si>
  <si>
    <t>행정안전부 기준에 따르면 지방자치단체의 협상에 의한 계약 시 평가위원은 금액에 따라 차등 구성된다.</t>
  </si>
  <si>
    <t>조달청은 평가위원 사전 접촉 및 정보 유출을 방지하기 위해 제안서 평가 30분 전에 명단을 공개한다.</t>
  </si>
  <si>
    <t>추정가격 1억 원 이상인 재정경제부 적용 사업의 경우 최소 5명 이상의 평가위원으로 구성하여야 한다.</t>
  </si>
  <si>
    <t>* 정답 (③): 조달청은 평가위원과의 사전 접촉 및 정보 유출을 예방하기 위해 제안서 평가 30분 전에 시스템에서 명단을 확인할 수 있도록 정하고 있음.① 과반수 및 위원장은 외부 전문가로 선정함② 행안부는 금액과 관계없이 7~10명으로 구성함④ 1억 원 이상은 7명 이상(1억 미만이 5명 이상)임</t>
  </si>
  <si>
    <t>표준교재 2권 p.206</t>
  </si>
  <si>
    <t>기관별·금액별 제안서 평가위원회 구성 인원 기준에 대한 설명으로 가장 옳지 않은 것은?</t>
  </si>
  <si>
    <t>재정경제부 규정상 추정가격 1억 원 미만 사업은 최소 5명 이상으로 구성한다.</t>
  </si>
  <si>
    <t>재정경제부 규정상 추정가격 1억 원 이상 사업은 최소 7명 이상으로 구성한다.</t>
  </si>
  <si>
    <t>행정안전부 예규에 따르면 지방자치단체 사업은 금액 규모와 관계없이 7~10명으로 구성한다.</t>
  </si>
  <si>
    <t>조달청 기준에 따르면 추정가격 50억 원 이상 사업은 최소 15명 이상으로 구성해야 한다.</t>
  </si>
  <si>
    <t>* 정답 (④): 조달청 기준에 따르면 추정가격 50억 원 이상 사업의 최소 평가위원 수는 9명 이상임.①·② 기재부: 1억 미만 5명 이상, 1억 이상 7명 이상③ 행안부: 금액 무관 7~10명</t>
  </si>
  <si>
    <t>기술용역 제안서 평가 등에서 주관적 개입을 막고 '기술평가의 공정성'을 확보하기 위해 주로 도입하는 시스템적 장치는?</t>
  </si>
  <si>
    <t>외부 전문가로 구성된 평가위원 풀(Pool) 운영 및 ARS를 통한 무작위 자동 선정 방식</t>
  </si>
  <si>
    <t>발주기관이 지정한 특정 평가위원 명단을 입찰 공고일 10일 전까지 전면 사전 공개하는 방식</t>
  </si>
  <si>
    <t>제안서를 제출한 입찰 참가 업체가 가장 선호하는 평가위원을 직접 투표하여 추천하는 방식</t>
  </si>
  <si>
    <t>평가위원의 실명은 철저히 비공개하되 최종 평가 점수 결과만 합산하여 홈페이지에 공개하는 방식</t>
  </si>
  <si>
    <t>* 정답 (①): 평가의 투명성을 위해 다수의 전문가 풀(Pool)을 구성하고, 시스템(ARS 등)을 통해 무작위로 위원을 교차 선정하여 사전 로비를 차단합니다.</t>
  </si>
  <si>
    <t>[상황] 평가위원 D가 평가 대상 업체 임원의 친형제라는 사실이 확인되어, 별도 신청 없이도 자동으로 평가에서 배제되었다. 이처럼 법률이 정한 사유에 해당하면 당연히 배제되는 제도의 명칭은?</t>
  </si>
  <si>
    <t>회피</t>
  </si>
  <si>
    <t>위촉</t>
  </si>
  <si>
    <t>기피</t>
  </si>
  <si>
    <t>제척</t>
  </si>
  <si>
    <t>* 정답 (④): 제척은 법률이 정한 특정 사유(친족관계 등)에 해당하는 위원을 신청 없이도 당연히 배제하는 제도임.</t>
  </si>
  <si>
    <t>※ 이해충돌 방지 제도</t>
  </si>
  <si>
    <t>입찰참가업체가 특정 평가위원에 대해 공정한 평가를 기대하기 어렵다고 판단해 그 위원의 배제를 신청하는 절차의 명칭은?</t>
  </si>
  <si>
    <t>이의신청</t>
  </si>
  <si>
    <t>* 정답 (①): 기피는 참가업체가 특정 위원에 대한 공정성 우려를 이유로 배제를 신청하는 제도임.</t>
  </si>
  <si>
    <t>[상황] 평가위원 E는 제척 사유에는 해당하지 않지만, 스스로 판단하기에 공정한 평가가 어렵다고 느껴 자진해서 평가위원직에서 물러났다. 이러한 행위를 가리키는 용어는?</t>
  </si>
  <si>
    <t>사퇴</t>
  </si>
  <si>
    <t>* 정답 (①): 회피는 위원 스스로 공정한 평가가 어렵다고 판단해 자발적으로 평가를 포기하는 행위임.</t>
  </si>
  <si>
    <t>다음 중 평가위원의 제척 사유에 해당하지 않는 것은?</t>
  </si>
  <si>
    <t>최근 3년 이내에 평가 대상 업체에 재직한 경우</t>
  </si>
  <si>
    <t>평가 대상 업체의 경쟁사에 재직 중인 경우</t>
  </si>
  <si>
    <t>평가 대상 업체의 임직원과 친족 관계인 경우</t>
  </si>
  <si>
    <t>해당 평가 용역과 관련해 자문을 수행한 경우</t>
  </si>
  <si>
    <t>* 정답 (②): 경쟁사 재직은 직접적인 이해관계로 보기 어려워 제척 사유는 아니며, 다만 기피 신청 대상이 되거나 스스로 회피할 수는 있음.</t>
  </si>
  <si>
    <t>[상황] 발주기관이 평가위원 명단을 평가 시작 직전까지 비공개로 유지하다가 평가 당일에서야 공개했다. 이러한 운영방식의 주된 목적은?</t>
  </si>
  <si>
    <t>평가 절차를 신속하게 진행하기 위해</t>
  </si>
  <si>
    <t>평가위원의 개인정보를 완전히 숨기기 위해</t>
  </si>
  <si>
    <t>평가위원과 입찰참가업체 간의 사전접촉을 차단해 공정성을 확보하기 위해</t>
  </si>
  <si>
    <t>입찰참가업체의 편의를 높이기 위해</t>
  </si>
  <si>
    <t>* 정답 (③): 명단을 사전에 공개하지 않는 것은 평가위원과 참가업체 간 사전접촉을 원천 차단해 공정성을 확보하기 위함임.</t>
  </si>
  <si>
    <t>평가위원이 청렴서약서를 작성하는 가장 주된 목적은?</t>
  </si>
  <si>
    <t>평가위원 위촉에 동의하기 위해</t>
  </si>
  <si>
    <t>이해충돌 관계가 없음을 사전에 확인하고 공정한 평가를 약속하기 위해</t>
  </si>
  <si>
    <t>평가 수당을 지급받기 위해</t>
  </si>
  <si>
    <t>제안 내용에 대한 비밀유지를 서약하기 위해</t>
  </si>
  <si>
    <t>* 정답 (②): 청렴서약서는 위원이 해당 입찰과 이해관계가 없으며 공정·청렴하게 평가할 것을 서약하는 문서로, 이해충돌 방지 제도의 핵심 요소임.</t>
  </si>
  <si>
    <t>입찰참가업체가 평가위원에게 사전접촉을 시도한 사실이 확인된 경우, 그 업체가 받을 수 있는 제재로 보기 어려운 것은?</t>
  </si>
  <si>
    <t>해당 평가위원의 자격 영구 박탈</t>
  </si>
  <si>
    <t>부정당업자 입찰참가자격 제한</t>
  </si>
  <si>
    <t>공정거래법상 과징금 부과</t>
  </si>
  <si>
    <t>해당 입찰에서의 배제</t>
  </si>
  <si>
    <t>* 정답 (①): 평가위원 자격 박탈은 위원 본인에게 가해지는 조치이지, 사전접촉을 시도한 업체에 대한 제재가 아님.</t>
  </si>
  <si>
    <t>[상황] 협상에 의한 계약에서 A업체와 B업체의 종합평점(기술+가격)이 동일하다. 우선순위를 결정하는 방법으로 옳지 않은 것은?</t>
  </si>
  <si>
    <t>기술능력 평가항목 중 배점이 큰 항목에서 더 높은 점수를 받은 업체를 우선한다</t>
  </si>
  <si>
    <t>모든 조건이 동일하면 추첨으로 결정할 수 있다</t>
  </si>
  <si>
    <t>가격 점수가 더 높은 업체를 최우선 기준으로 삼는다</t>
  </si>
  <si>
    <t>기술능력 평가점수가 더 높은 업체를 우선한다</t>
  </si>
  <si>
    <t>* 정답 (③): 협상에 의한 계약은 기술 중심의 평가 방식이므로, 동점자 처리 시 가격보다 기술능력 평가점수를 우선적으로 고려함.</t>
  </si>
  <si>
    <t>협상에 의한 계약에서 우선협상대상자를 선정하는 기준으로 가장 옳은 것은?</t>
  </si>
  <si>
    <t>기술능력 평가점수가 배점 한도의 85% 이상인 자 중에서 종합평점(기술+가격)이 가장 높은 자</t>
  </si>
  <si>
    <t>가장 먼저 제안서를 제출한 자</t>
  </si>
  <si>
    <t>단순히 입찰가격이 가장 낮은 자</t>
  </si>
  <si>
    <t>추첨으로 결정된 자</t>
  </si>
  <si>
    <t>* 정답 (①): 기술평가 85% 이상이라는 최소 기준을 통과한 업체들 중 기술·가격을 종합한 평점이 가장 높은 업체를 우선협상대상자로 선정함.</t>
  </si>
  <si>
    <t>[상황] 1순위 우선협상대상자와의 협상이 최종 결렬되었다. 발주기관이 가장 먼저 취해야 할 조치로 옳은 것은?</t>
  </si>
  <si>
    <t>입찰을 처음부터 다시 공고한다</t>
  </si>
  <si>
    <t>1순위 업체에게 조건을 완화해 재협상을 요청한다</t>
  </si>
  <si>
    <t>모든 협상적격자로부터 가격을 다시 제출받는다</t>
  </si>
  <si>
    <t>동일한 기준과 절차에 따라 2순위 협상적격자와 협상을 개시한다</t>
  </si>
  <si>
    <t>* 정답 (④): 선순위 업체와의 협상이 결렬되면 별도 절차 없이 동일한 기준·절차로 차순위 협상적격자와 협상을 진행함.</t>
  </si>
  <si>
    <t>[상황] 협상에 의한 계약에서 A업체와 B업체의 종합평점, 기술능력 평가점수까지 모두 동일하다. 이 경우 최종적으로 우선협상대상자를 정하는 기준으로 가장 적절한 것은?</t>
  </si>
  <si>
    <t>사업 수행 경력이 더 긴 업체</t>
  </si>
  <si>
    <t>업체명의 가나다 순</t>
  </si>
  <si>
    <t>입찰가격이 더 낮은 업체</t>
  </si>
  <si>
    <t>무작위 추첨</t>
  </si>
  <si>
    <t>* 정답 (③): 종합평점과 기술능력 평가점수까지 동일하다면 그 다음 기준으로 입찰가격이 낮은 업체를 우선함.</t>
  </si>
  <si>
    <t>지식 기반 용역 등에서 기술력을 중시하는 '협상에 의한 계약' 방식으로 낙찰자를 정할 때, 제안서 평가 중 심사위원의 주관이 개입되지 않는 '정량적 평가(객관적 지표)' 항목에 해당하는 것은?</t>
  </si>
  <si>
    <t>수행 업체의 투입 인력 이력 및 교육 지원 계획의 우수성</t>
  </si>
  <si>
    <t>업체의 재정 상태 건전성을 보여주는 경영상태 및 과거 수행 실적</t>
  </si>
  <si>
    <t>제안 요청 사항을 충족하기 위한 구체적인 사업 수행 계획서</t>
  </si>
  <si>
    <t>프로젝트 완료 후 무상 유지보수 및 기술 지원의 적정성</t>
  </si>
  <si>
    <t>* 정답 (②): 수행 계획, 기술 지원 등은 심사위원의 주관적 판단이 들어가는 '정성 평가' 항목이며, 과거 납품 실적 건수나 신용평가등급(경영상태) 등은 수치로 명확히 떨어지는 '정량 평가' 항목입니다.</t>
  </si>
  <si>
    <t>조달청 협상에 의한 계약 제안서평가 세부기준 제9조</t>
  </si>
  <si>
    <t>협상에 의한 계약 절차에서 국가기관이 협상 대상자를 선정하고 협상을 진행하는 법적 기준으로 명백히 틀린 것은?</t>
  </si>
  <si>
    <t>제안서 평가 결과, 기술능력평가 점수가 배점한도의 일정 비율(85% 등) 이상인 자만을 협상 적격자로 선정한다.</t>
  </si>
  <si>
    <t>최종 협상 대상자를 선정할 때는 기술능력평가 점수와 입찰가격평가 점수를 합산하여 고득점 순으로 정한다.</t>
  </si>
  <si>
    <t>1순위 우선협상대상자와의 협상이 최종 결렬되거나 업체가 포기할 경우, 차순위자와는 절대 협상할 수 없고 즉시 재공고를 내야 한다.</t>
  </si>
  <si>
    <t>협상 순위는 합산 점수 고득점 순으로 결정되며, 순위에 따라 차례대로 순차적인 협상을 진행하여 낙찰자를 정한다.</t>
  </si>
  <si>
    <t>* 정답 (③): 국가계약법 시행령에 따라, 1순위 우선협상대상자와의 협상이 결렬되거나 포기하더라도 입찰을 취소하지 않고, 합산 점수 차순위자(2순위, 3순위...)와 순차적으로 협상을 계속 진행할 수 있습니다.</t>
  </si>
  <si>
    <t>국가계약법 시행령 제43조</t>
  </si>
  <si>
    <t>협상에 의한 계약에서 기술협상과 가격협상을 진행하는 순서 및 그 이유로 가장 적절한 것은?</t>
  </si>
  <si>
    <t>기술협상을 통해 과업 내용을 먼저 확정한 뒤, 이를 바탕으로 가격협상을 진행한다</t>
  </si>
  <si>
    <t>발주기관이 매번 임의로 순서를 정한다</t>
  </si>
  <si>
    <t>가격협상을 먼저 진행해 예산을 확정한 뒤 기술협상을 진행한다</t>
  </si>
  <si>
    <t>기술협상과 가격협상을 항상 동시에 진행한다</t>
  </si>
  <si>
    <t>* 정답 (①): 과업 내용이 확정되어야 정확한 가격 산정이 가능하므로, 기술협상을 먼저 완료한 뒤 가격협상을 진행하는 것이 원칙임.</t>
  </si>
  <si>
    <t>기술협상에서 다룰 수 있는 범위에 해당하지 않는 것은?</t>
  </si>
  <si>
    <t>제안 내용 중 불명확한 부분의 명확화</t>
  </si>
  <si>
    <t>제안된 기술 방법론의 적정성 검토·보완</t>
  </si>
  <si>
    <t>제안요청서에 없던 새로운 과업의 추가</t>
  </si>
  <si>
    <t>평가위원이 보완을 요구한 사항의 수정</t>
  </si>
  <si>
    <t>* 정답 (③): 기술협상은 제안 내용의 본질을 변경하지 않는 범위에서 이루어지며, 제안요청서에 없던 새 과업을 추가하는 것은 과업 범위 자체를 늘리는 것이어서 원칙적으로 허용되지 않음.</t>
  </si>
  <si>
    <t>[상황] 계약서 초안을 검토하던 중 "계약담당자 개인 휴대전화번호"가 필수 기재사항으로 잘못 포함되어 있었다. 이를 삭제해도 되는 이유로 가장 적절한 것은?</t>
  </si>
  <si>
    <t>담당자 개인 연락처는 법정 필수 기재사항이 아니기 때문</t>
  </si>
  <si>
    <t>계약금액이 없어도 계약서는 유효하기 때문</t>
  </si>
  <si>
    <t>지체상금 조항은 임의로 삭제해도 되기 때문</t>
  </si>
  <si>
    <t>이행기간은 계약서에 기재할 필요가 없기 때문</t>
  </si>
  <si>
    <t>* 정답 (①): 계약목적·금액·이행기간·지체상금 등은 법정 필수 기재사항이지만, 담당자 개인 연락처는 필수 사항이 아니므로 삭제해도 무방함.</t>
  </si>
  <si>
    <t>[상황] 계약상대자가 정당한 사유 없이 납품을 20일 늦췄다. 이 지연에 대해 손해배상액 예정 성격으로 부과되는 금전적 제재의 명칭은?</t>
  </si>
  <si>
    <t>선금</t>
  </si>
  <si>
    <t>입찰보증금</t>
  </si>
  <si>
    <t>지체상금</t>
  </si>
  <si>
    <t>* 정답 (④): 지체상금은 이행기한 미준수에 대한 손해배상액 예정 성격의 금전적 제재임.</t>
  </si>
  <si>
    <t>적격심사낙찰제에서 낙찰자를 결정하는 방식으로 옳은 것은?</t>
  </si>
  <si>
    <t>기술평가 점수가 가장 높은 자를 선정한다</t>
  </si>
  <si>
    <t>추첨으로 결정한다</t>
  </si>
  <si>
    <t>최저가 입찰자부터 순서대로 계약이행능력을 심사해 기준점 이상인 최초 통과자를 낙찰자로 정한다</t>
  </si>
  <si>
    <t>모든 입찰자를 동시에 심사해 최고점자를 선정한다</t>
  </si>
  <si>
    <t>* 정답 (③): 적격심사낙찰제는 최저가 입찰자부터 순차적으로 이행능력을 심사해 기준점 이상인 최초 통과자를 낙찰자로 결정함(순차심사라는 점에서 동시심사 방식인 종합심사낙찰제와 구분됨).</t>
  </si>
  <si>
    <t>선금 제도에 대한 설명으로 옳지 않은 것은?</t>
  </si>
  <si>
    <t>선금은 계약이 완전히 종료된 후 한꺼번에 정산한다</t>
  </si>
  <si>
    <t>선금을 지급받으면 선금보증서를 제출해야 한다</t>
  </si>
  <si>
    <t>계약 이행에 필요한 자금을 미리 지급받는 제도이다</t>
  </si>
  <si>
    <t>계약금액의 일정 범위 내에서 지급이 가능하다</t>
  </si>
  <si>
    <t>* 정답 (①): 선금은 계약 완료 후 일시 정산하는 것이 아니라, 기성대가 지급 시마다 일정 비율씩 순차적으로 정산됨.</t>
  </si>
  <si>
    <t>[상황] 계약금액 5억원인 공사계약에서 계약상대자가 납부해야 할 계약보증금의 최소 금액을 계산하려 한다. 계약보증금 요율(계약금액의 10% 이상)을 적용할 때 최소 납부액은?</t>
  </si>
  <si>
    <t>5,000만원</t>
  </si>
  <si>
    <t>1억원</t>
  </si>
  <si>
    <t>2,500만원</t>
  </si>
  <si>
    <t>7,500만원</t>
  </si>
  <si>
    <t>* 정답 (①): 계약보증금은 계약금액의 10% 이상이므로, 5억원의 10%인 5,000만원 이상을 납부해야 함.</t>
  </si>
  <si>
    <t>국가계약법 시행령 제50조</t>
  </si>
  <si>
    <t>계약의 해제와 해지에 대한 설명으로 옳은 것은?</t>
  </si>
  <si>
    <t>해제·해지 모두 장래에 향해서만 효력을 소멸시킨다</t>
  </si>
  <si>
    <t>해제와 해지는 법적 효과가 동일하다</t>
  </si>
  <si>
    <t>해제는 계약의 효력을 소급하여 소멸시키고, 해지는 장래에 향하여만 효력을 소멸시킨다</t>
  </si>
  <si>
    <t>해제·해지 모두 계약의 효력을 소급하여 소멸시킨다</t>
  </si>
  <si>
    <t>* 정답 (③): 해제는 소급효(처음부터 무효), 해지는 장래효(그때부터만 무효)라는 점에서 구분됨.</t>
  </si>
  <si>
    <t>국가계약법 시행령 제75조</t>
  </si>
  <si>
    <t>공사계약에서 정당한 사유 없이 이행이 지체된 경우 적용되는 1일당 지체상금률로 옳은 것은?</t>
  </si>
  <si>
    <t>계약금액의 0.5%</t>
  </si>
  <si>
    <t>계약금액의 0.1%</t>
  </si>
  <si>
    <t>계약금액의 0.01%</t>
  </si>
  <si>
    <t>계약금액의 0.05%</t>
  </si>
  <si>
    <t>* 정답 (④): 공사계약의 지체상금률은 1일당 계약금액의 0.05%임.</t>
  </si>
  <si>
    <t>국가계약법 시행규칙 제75조</t>
  </si>
  <si>
    <t>계약상대자가 검사에 합격한 후 대가 지급을 청구한 경우, 발주기관이 대가를 지급해야 하는 기한으로 옳은 것은?</t>
  </si>
  <si>
    <t>청구일로부터 10일 이내</t>
  </si>
  <si>
    <t>청구일로부터 5일 이내</t>
  </si>
  <si>
    <t>청구일로부터 3일 이내</t>
  </si>
  <si>
    <t>청구일로부터 14일 이내</t>
  </si>
  <si>
    <t>* 정답 (②): 검사에 합격한 후 청구를 받은 날로부터 5일 이내에 대가를 지급해야 함.</t>
  </si>
  <si>
    <t>국가계약법 시행령 제58조</t>
  </si>
  <si>
    <t>계약금액이 일정 금액 이하인 경우 계약서 작성을 생략할 수 있는데, 그 기준 금액으로 옳은 것은?</t>
  </si>
  <si>
    <t>1억원 이하</t>
  </si>
  <si>
    <t>3,000만원 이하</t>
  </si>
  <si>
    <t>1,000만원 이하</t>
  </si>
  <si>
    <t>5,000만원 이하</t>
  </si>
  <si>
    <t>* 정답 (②): 계약금액이 3,000만원 이하인 경우 등 일정 사유에 해당하면 계약서 작성을 생략할 수 있음.</t>
  </si>
  <si>
    <t>국가계약법 시행령 제49조</t>
  </si>
  <si>
    <t>[상황] 물품 적격심사 대상 입찰에서 낙찰하한율 미만으로 투찰한 업체가 있었다. 물품 계약의 낙찰하한율이 예정가격 대비 약 88% 수준이라 할 때, 이 업체가 받게 되는 처리로 가장 적절한 것은?</t>
  </si>
  <si>
    <t>낙찰하한율과 무관하게 자동으로 낙찰된다</t>
  </si>
  <si>
    <t>낙찰하한율 미만이므로 심사 대상에서 제외될 수 있다</t>
  </si>
  <si>
    <t>낙찰하한율은 공사에만 적용되므로 이 사례와 무관하다</t>
  </si>
  <si>
    <t>낙찰하한율 미만이라도 가산점을 받아 우대된다</t>
  </si>
  <si>
    <t>* 정답 (②): 낙찰하한율 미만으로 투찰한 업체는 적격심사 대상에서 제외되는 것이 원칙임.</t>
  </si>
  <si>
    <t>낙찰자로 선정된 업체가 정당한 이유 없이 계약을 체결하지 않는 경우 받게 되는 조치로 옳은 것은?</t>
  </si>
  <si>
    <t>아무런 불이익이 없다</t>
  </si>
  <si>
    <t>형사처벌만 이루어진다</t>
  </si>
  <si>
    <t>단순 과태료만 부과된다</t>
  </si>
  <si>
    <t>입찰보증금이 국고에 귀속되고 부정당업자로 제재될 수 있다</t>
  </si>
  <si>
    <t>* 정답 (④): 정당한 이유 없이 계약을 체결하지 않으면 입찰보증금이 국고에 귀속되고 부정당업자 제재 대상이 될 수 있음.</t>
  </si>
  <si>
    <t>국가계약법 시행령 제37조·제76조</t>
  </si>
  <si>
    <t>[상황] 재공고 입찰을 실시했음에도 유효한 입찰자가 1인뿐이었다. 발주기관이 취할 수 있는 조치로 가장 적절한 것은?</t>
  </si>
  <si>
    <t>해당 입찰을 취소할 수밖에 없다</t>
  </si>
  <si>
    <t>추정가격을 인상해 재공고해야 한다</t>
  </si>
  <si>
    <t>반드시 다시 재공고 입찰을 실시해야 한다</t>
  </si>
  <si>
    <t>예외적으로 그 1인과 수의계약을 체결할 수 있다</t>
  </si>
  <si>
    <t>* 정답 (④): 재공고 입찰에서도 1인만 입찰한 경우에는 예외적으로 그 1인과 수의계약을 체결할 수 있음.</t>
  </si>
  <si>
    <t>물품의 제조·구매 계약에서 정당한 사유 없이 이행이 지체된 경우 적용되는 1일당 지체상금률로 옳은 것은?</t>
  </si>
  <si>
    <t>계약금액의 0.125%</t>
  </si>
  <si>
    <t>계약금액의 0.075%</t>
  </si>
  <si>
    <t>* 정답 (④): 물품 제조·구매 계약의 지체상금률은 1일당 계약금액의 0.075%임(공사는 0.05%).</t>
  </si>
  <si>
    <t>예정가격에 대한 설명으로 옳지 않은 것은?</t>
  </si>
  <si>
    <t>입찰이 끝난 후 낙찰자의 투찰금액을 기준으로 산정한다</t>
  </si>
  <si>
    <t>입찰 전에 미리 작성하여 비치해야 한다</t>
  </si>
  <si>
    <t>낙찰자 및 계약금액 결정의 기준이 된다</t>
  </si>
  <si>
    <t>예산 낭비를 방지하는 기준금액이 된다</t>
  </si>
  <si>
    <t>* 정답 (①): 예정가격은 입찰 전에 미리 작성·비치되어야 하며 입찰 후에는 변경될 수 없다. 입찰 후 결정되는 것은 계약금액이지 예정가격이 아님.</t>
  </si>
  <si>
    <t>계약금액 결정 유형 중 공급자(계약상대자)의 위험 부담이 가장 큰 것은?</t>
  </si>
  <si>
    <t>원가상환계약</t>
  </si>
  <si>
    <t>확정가격계약</t>
  </si>
  <si>
    <t>* 정답 (③): 확정가격계약은 계약체결 시 가격이 확정되어 이행해야 하므로 원가상승 등의 위험을 공급자가 부담하며, 원가상환계약·개산계약은 상대적으로 수요기관의 위험 부담이 큼.</t>
  </si>
  <si>
    <t>계약보증금의 금액 기준으로 옳은 것은?</t>
  </si>
  <si>
    <t>계약금액의 15% 이상</t>
  </si>
  <si>
    <t>계약금액의 20% 이상</t>
  </si>
  <si>
    <t>계약금액의 10% 이상</t>
  </si>
  <si>
    <t>* 정답 (④): 계약보증금은 계약상대자의 계약이행을 담보하기 위해 계약금액의 100분의 10 이상을 납부하는 것이 원칙임.</t>
  </si>
  <si>
    <t>입찰자 중 가장 적합한 자를 고르기 위한 '낙찰자 선정 방법(결정 기준)'이 아닌 것은?</t>
  </si>
  <si>
    <t>이행 능력을 정밀 심사하는 적격심사 낙찰제</t>
  </si>
  <si>
    <t>기술력과 가격을 합산하는 협상에 의한 낙찰제</t>
  </si>
  <si>
    <t>품질과 성능을 계량화하는 종합심사 낙찰제</t>
  </si>
  <si>
    <t>입찰 경쟁을 임의로 배제하는 수의계약 제도</t>
  </si>
  <si>
    <t>* 정답 (④): 수의계약은 다수 업체의 경쟁 후 '낙찰자를 선정하는 방식'이 아니라, 경쟁입찰 자체를 배제하는 '계약 체결 방법'의 종류입니다.</t>
  </si>
  <si>
    <t>입찰 참여 업체 중 가장 적합한 최종 계약상대자를 고르기 위한 '낙찰자 선정 방법(결정 기준)'에 해당하지 않는 것은?</t>
  </si>
  <si>
    <t>이행 능력을 정밀하게 종합 심사하는 적격심사 낙찰제도</t>
  </si>
  <si>
    <t>특정 자격으로 입찰 참여 문턱을 높이는 제한경쟁입찰 제도</t>
  </si>
  <si>
    <t>최저가부터 순차적으로 수요물량을 배정하는 희망수량 경쟁입찰</t>
  </si>
  <si>
    <t>가격과 품질을 모두 계량화하여 합산하는 종합낙찰제도</t>
  </si>
  <si>
    <t>* 정답 (②): '제한경쟁입찰'은 참가 자격을 한정하는 '입찰 방식'이며, 그 안에서 최종 승자를 가리는 '낙찰자 선정 결정 기준' 자체를 의미하지 않습니다.</t>
  </si>
  <si>
    <t>물품구매 적격심사 세부기준에 명시된 낙찰자 선정을 위한 '심사항목 대분류'에 원칙적으로 해당하지 않는 것은?</t>
  </si>
  <si>
    <t>윤리경영, 품질관리 등 거래 상대방으로서의 신뢰 정도를 평가하는 신인도 분야</t>
  </si>
  <si>
    <t>기한 내에 차질 없이 목적물을 공급할 수 있는지를 평가하는 당해물품 납품이행능력</t>
  </si>
  <si>
    <t>입찰자가 제출한 투찰 금액의 적정성과 예산 절감 효과를 평가하는 입찰가격 분야</t>
  </si>
  <si>
    <t>과거 국가기관에 유사한 물품을 성공적으로 납품한 이력을 따지는 단독 납품실적 분야</t>
  </si>
  <si>
    <t>* 정답 (④): '납품실적'은 독립된 대분류가 아니라, '당해물품 납품이행능력' 대분류에 포함되는 하위 세부 심사 항목(경영상태, 기술능력 등과 병존)입니다.</t>
  </si>
  <si>
    <t>추정가격 고시금액 이상 10억 원 미만 물품제조 입찰 적격심사의 '항목별 배점 한도' 설명으로 올바른 것은?</t>
  </si>
  <si>
    <t>경영상태는 신용평가등급으로 엄격히 평가하며 배점 한도는 고정 30점이다.</t>
  </si>
  <si>
    <t>신인도의 품질관리 등 신뢰 정도는 각 세부 항목 해당 시 최대 -5점 감점한다.</t>
  </si>
  <si>
    <t>신인도의 품질관리 등 신뢰 정도는 각 세부 항목 해당 시 최대 +5점 가산한다.</t>
  </si>
  <si>
    <t>가격 경쟁력을 평가하기 위한 입찰가격 분야의 배점 한도는 고정 60점이다.</t>
  </si>
  <si>
    <t>* 정답 (①): 고시금액 이상 10억 원 미만 제조 입찰의 경영상태 배점은 30점이며, 입찰가격 배점은 70점입니다. 신인도는 보통 +3점~-2점 범위 내에서 적용됩니다.</t>
  </si>
  <si>
    <t>조달청 물품구매적격심사 세부기준 [별표 2]</t>
  </si>
  <si>
    <t>조달청 적격심사 기준에 따른 '기간 계산 등 항목별 심사 기준일'의 적용 시점으로 가장 타당한 것은?</t>
  </si>
  <si>
    <t>경영상태 및 신인도 심사 기준일은 원칙적으로 입찰공고일을 명확한 기준으로 삼는다.</t>
  </si>
  <si>
    <t>납품이행능력의 결격 여부를 판단하는 심사 기준일은 서류제출 마감일을 엄격히 적용한다.</t>
  </si>
  <si>
    <t>공고일 이후 수정된 자료는 서류제출 마감일 전 보완되었다면 예외 없이 평가에 반영한다.</t>
  </si>
  <si>
    <t>납품실적 등 기술능력 심사 기준일은 행정 편의를 위해 통상 입찰일 전일로 유연하게 적용한다.</t>
  </si>
  <si>
    <t>* 정답 (①): 적격심사 기준일은 원칙적으로 입찰공고일입니다. 공고일 이후 수정된 자료는 평가되지 않으며, 결격 여부 심사 기준일은 '낙찰자 결정일'입니다.</t>
  </si>
  <si>
    <t>추정가격 10억 원 이상으로서 제조자로 한정하는 물품제조 입찰 적격심사의 '분야별 배점 한도'가 틀린 것은?</t>
  </si>
  <si>
    <t>재무적 안정성을 정밀하게 평가하는 경영상태 분야의 배점 한도는 30점이다.</t>
  </si>
  <si>
    <t>투찰 금액의 적정성을 공정하게 평가하는 입찰가격 분야의 배점 한도는 70점이다.</t>
  </si>
  <si>
    <t>과거 목적물을 성공적으로 납품한 이력을 따지는 납품실적 분야 배점 한도는 5점이다.</t>
  </si>
  <si>
    <t>생산 시설 및 전문 기술 인력 등을 종합적으로 평가하는 기술능력 분야 배점 한도는 10점이다.</t>
  </si>
  <si>
    <t>* 정답 (②): 추정가격 10억 원 이상 제조 입찰의 입찰가격 배점은 '55점'입니다(실적 5 + 기술 10 + 경영 30 + 가격 55). 70점은 고시금액 이상 10억 미만 구간 적용치입니다.</t>
  </si>
  <si>
    <t>조달청 물품구매적격심사 세부기준 [별표 1]</t>
  </si>
  <si>
    <t>입찰 방식별 낙찰자 결정 기준에 대한 설명으로 가장 옳은 것은?</t>
  </si>
  <si>
    <t>2단계 경쟁입찰 방식은 기술과 가격을 동시에 평가하여 최고 득점자를 최종 낙찰자로 한다.</t>
  </si>
  <si>
    <t>규격가격동시 입찰은 규격 입찰 개찰 결과 합격자(적격자)가 단 1인이어도 가격 개찰을 실시한다.</t>
  </si>
  <si>
    <t>100억 원 이상 대형 공사는 공사수행능력 등을 종합 심사하여 최종 낙찰자를 종합심사낙찰제로 결정한다.</t>
  </si>
  <si>
    <t>재정지출 부담이 되는 입찰은 계약이행 능력을 무시하고 최저가격을 제시한 자를 무조건 낙찰한다.</t>
  </si>
  <si>
    <t>정답 (③) 대형 공사는 종심제 적용 / ① 규격 통과자 중 최저가 낙찰 / ② 적격자 2인 이상이어야 진행 / ④ 이행능력 심사 필요</t>
  </si>
  <si>
    <t>국가계약법 시행령 제42조</t>
  </si>
  <si>
    <t>'2단계 경쟁 등의 입찰' 및 '규격·가격 동시입찰' 제도에 대한 법적·실무적 설명으로 가장 올바르지 않은 것은?</t>
  </si>
  <si>
    <t>2단계 경쟁입찰은 1단계 규격 심사에서 적격자로 확정된 자에 한하여 2단계 가격입찰서 제출 자격을 부여한다.</t>
  </si>
  <si>
    <t>규격·가격 동시입찰 시 규격적격자가 1인이면 가격 개찰이 가능하나, 예정가격을 초과할 경우 재입찰을 실시한다.</t>
  </si>
  <si>
    <t>청소, 단순경비 등 단순 노무 용역은 기술 평가의 실익이 적어 원칙적으로 2단계 경쟁 적용 대상에서 제외한다.</t>
  </si>
  <si>
    <t>2단계 경쟁입찰의 규격입찰서 심사는 기준 충족을 확인하는 적격 여부만을 판정하며 점수로 순위를 정하지 않는다.</t>
  </si>
  <si>
    <t>* 정답 (②): 동시입찰에서 규격적격자가 단 1인인 경우 가격 개봉은 가능하나, 개찰 결과 투찰액이 예정가격을 초과하여 유찰된 경우에는 '재입찰'이 아니라 새로운 '재공고 입찰'에 부쳐야 합니다. (※ 재입찰은 규격적격자가 2인 이상이나 예정가격 이하 투찰자가 없는 경우에 실시)</t>
  </si>
  <si>
    <t>규격과 가격을 동시에 평가하는 '규격·가격 동시입찰'에 대한 절차적 요건 설명으로 명백히 틀린 것은?</t>
  </si>
  <si>
    <t>예정가격 이하로서 가장 낮은 최저가격을 투찰한 자를 최종 낙찰예정자로 결정한다.</t>
  </si>
  <si>
    <t>당초 입찰 참가자가 1인뿐이라도 그가 규격적격자면 예외적으로 가격 개봉이 가능하다.</t>
  </si>
  <si>
    <t>입찰 참가자로 하여금 제안서 등 규격입찰서와 가격입찰서를 각각 별도로 동시 제출케 한다.</t>
  </si>
  <si>
    <t>규격적격자가 2인 이상이나 예정가격 이하 투찰자가 아무도 없는 경우에는 재입찰을 실시한다.</t>
  </si>
  <si>
    <t>* 정답 (②): 2단계 경쟁이나 동시입찰은 유효한 최초 입찰자가 애초에 '2인 이상'이어야 성립합니다. 입찰자가 1인뿐이면 즉시 유찰되며 단독 개봉은 불가합니다.</t>
  </si>
  <si>
    <t>2단계 경쟁입찰 및 규격·가격 동시입찰 제도의 절차적 특성을 설명한 것으로 명백히 틀린 것은?</t>
  </si>
  <si>
    <t>1단계 규격 심사 결과 규격적격자가 한 명도 없는 경우 규격입찰서를 변경하여 다시 제출토록 할 수 있다.</t>
  </si>
  <si>
    <t>1단계 규격 심사는 업체의 제안이 기준을 충족하는지 적격 여부만 판정하며 순위를 매겨 차등 평가하지 않는다.</t>
  </si>
  <si>
    <t>1단계인 규격입찰서 제출자가 최초 시점부터 최소 2인 이상이어야만 유효한 경쟁 입찰로 합법적으로 성립된다.</t>
  </si>
  <si>
    <t>규격적격자가 1개 업체인 경우 가격입찰서를 예외 개봉할 수 있으며 유찰 시 즉시 재입찰을 실시하여 마감한다.</t>
  </si>
  <si>
    <t>* 정답 (④): 동시입찰에서 유효 입찰자 중 규격적격자가 단 1인이면 가격 개봉은 가능하나, 예정가격을 초과하여 유찰될 경우 '재입찰'이 아니라 조건을 재검토하여 '재공고 입찰'을 해야 합니다.</t>
  </si>
  <si>
    <t>정부계약의 특정 경쟁입찰 방식에 대한 설명으로 가장 옳은 것은?</t>
  </si>
  <si>
    <t>희망수량 경쟁입찰은 단가를 무시하고 전체 공급 총액을 기준으로만 입찰을 진행한다.</t>
  </si>
  <si>
    <t>2단계 경쟁입찰은 규격 심사와 가격 개찰을 분리하지 않고 동시에 묶어서 실시한다.</t>
  </si>
  <si>
    <t>규격가격동시 입찰에서 적격자는 있으나 낙찰자가 없으면 즉시 수의계약으로 전환한다.</t>
  </si>
  <si>
    <t>청소, 경비, 검침 등 단순 노무 위주의 용역은 원칙적으로 2단계 경쟁입찰이 제한된다.</t>
  </si>
  <si>
    <t>정답 (④) 기술적 전문성이 낮아 2단계 입찰 등 특정 방식은 부적합함 / ① '단가' 기준 입찰 / ② 규격 후 가격 분리 / ③ 재공고 원칙</t>
  </si>
  <si>
    <t>[상황] 발주기관이 예산 범위 내에서 필요한 총 수량을 확보하기 위해, 최저가 입찰업체부터 순서대로 각 업체가 공급 가능하다고 제시한 수량을 누적해 총수량에 도달할 때까지 복수의 업체를 낙찰자로 정하려 한다. 이 방식은?</t>
  </si>
  <si>
    <t>다수공급자계약</t>
  </si>
  <si>
    <t>희망수량경쟁입찰</t>
  </si>
  <si>
    <t>총액계약</t>
  </si>
  <si>
    <t>* 정답 (③): 희망수량경쟁입찰은 최저가 업체부터 희망수량을 누적해 필요 총수량에 도달할 때까지의 업체들을 모두 낙찰자로 선정하는 방식임.</t>
  </si>
  <si>
    <t>[상황] 추정가격 300억원 규모의 청사 신축공사를 발주하며, 가격뿐 아니라 공사수행능력·사회적책임 등을 폭넓게 평가하는 방식을 적용하려 한다. 이 낙찰자 결정방식으로 가장 적절한 것은?</t>
  </si>
  <si>
    <t>최저가낙찰제</t>
  </si>
  <si>
    <t>* 정답 (②): 종합심사낙찰제는 과도한 가격경쟁을 지양하고 기술력·사회적책임 등을 종합평가하기 위해 대형공사에 도입된 제도임.</t>
  </si>
  <si>
    <t>종합심사낙찰제의 심사 항목으로 보기 어려운 것은?</t>
  </si>
  <si>
    <t>공사수행능력</t>
  </si>
  <si>
    <t>제안서 발표 점수</t>
  </si>
  <si>
    <t>입찰가격</t>
  </si>
  <si>
    <t>사회적 책임</t>
  </si>
  <si>
    <t>* 정답 (②): 종합심사낙찰제는 입찰가격·공사수행능력·사회적책임을 종합평가하며, 제안서 발표 점수는 협상에 의한 계약에서 활용되는 평가요소임.</t>
  </si>
  <si>
    <t>종합심사낙찰제에서 동점자가 발생한 경우 우선 낙찰자로 결정하는 기준으로 옳은 것은?</t>
  </si>
  <si>
    <t>사회적책임 점수가 높은 자를 우선한다</t>
  </si>
  <si>
    <t>입찰가격이 낮은 자를 우선한다</t>
  </si>
  <si>
    <t>공사수행능력 점수가 높은 자를 우선한다</t>
  </si>
  <si>
    <t>* 정답 (④): 종합심사낙찰제에서 동점자가 발생하면 공사수행능력 점수가 높은 자를 우선 낙찰자로 결정함.</t>
  </si>
  <si>
    <t>조달청 지침상 '종합낙찰제'를 적용하는 에너지 소비효율 평가제품의 세부 기준으로 틀린 것은?</t>
  </si>
  <si>
    <t>구경 500mm 이상인 산업용 펌프</t>
  </si>
  <si>
    <t>소요동력 20KW 이상인 공기압축기</t>
  </si>
  <si>
    <t>터보형을 포함한 50KW 이상 송풍기</t>
  </si>
  <si>
    <t>정격속도 90m/min 이상 승객용 엘리베이터</t>
  </si>
  <si>
    <t>* 정답 (③): 종합낙찰제 대상 송풍기는 '소요동력 50KW 이상'이 기준이나, 관련 규정상 **'터보형은 제외'**하도록 명확히 명시되어 있습니다.</t>
  </si>
  <si>
    <t>입찰결과를 분석할 때 확인해야 할 사항으로 가장 거리가 먼 것은?</t>
  </si>
  <si>
    <t>항목별 기술평가 점수 비교</t>
  </si>
  <si>
    <t>투찰률의 적정성</t>
  </si>
  <si>
    <t>평가위원 개인의 연락처</t>
  </si>
  <si>
    <t>제안서의 차별성 및 구체성</t>
  </si>
  <si>
    <t>* 정답 (③): 입찰결과 분석은 기술·가격평가 점수, 참가자격 충족 여부, 제안서 품질 등을 확인하는 것이며, 평가위원 개인정보는 분석 대상이 아님.</t>
  </si>
  <si>
    <t>[상황] 낙찰 결과에 불복하려는 업체가 취할 수 있는 공식적인 이의제기 방법으로 보기 어려운 것은?</t>
  </si>
  <si>
    <t>국가계약분쟁조정위원회에 조정을 신청한다</t>
  </si>
  <si>
    <t>평가위원 개인에게 직접 항의한다</t>
  </si>
  <si>
    <t>감사원에 심사를 청구한다</t>
  </si>
  <si>
    <t>행정소송을 제기한다</t>
  </si>
  <si>
    <t>* 정답 (②): 이의제기는 분쟁조정위원회 조정신청, 감사원 심사청구, 행정소송 등 공식 절차를 통해야 하며, 평가위원 개인에 대한 직접 항의는 적절한 방법이 아님.</t>
  </si>
  <si>
    <t>입찰·제안평가 절차의 기본 개념/원칙으로 가장 적절한 것은?</t>
  </si>
  <si>
    <t>* 정답 (④): 사전확정·공개·기록·동일적용 원칙은 공공조달 감사·분쟁 리스크를 줄이는 핵심이다.</t>
  </si>
  <si>
    <t>다음 중 입찰·제안평가 절차 관련 실무통제(리스크 관리)로 가장 적절한 것은?</t>
  </si>
  <si>
    <t>다음 중 입찰·제안평가 절차에 관한 설명으로 옳은 것은?</t>
  </si>
  <si>
    <t>일반경쟁입찰의 법적 근거와 성립 요건에 관한 설명으로 옳은 것은?</t>
  </si>
  <si>
    <t>별도 법령 규정 없이 발주기관 재량으로 시행한다.</t>
  </si>
  <si>
    <t>「국가계약법」 제7조에 따른 원칙적인 계약 방법이다.</t>
  </si>
  <si>
    <t>유효 투찰자가 1인이어도 입찰이 성립한다.</t>
  </si>
  <si>
    <t>나라장터 외 자체 홈페이지로만 공고할 수 있다.</t>
  </si>
  <si>
    <t>* 정답 (②): 국가계약은 일반경쟁을 원칙으로 하며(「국가계약법」 제7조), 경쟁입찰은 2인 이상의 유효한 입찰로 성립한다(「국가계약법 시행령」 제11조).</t>
  </si>
  <si>
    <t>「국가계약법 시행령」 제21조에 근거한다.</t>
  </si>
  <si>
    <t>실적·기술 보유 상황·자본금 등을 기준으로 참가 자격을 제한할 수 있다.</t>
  </si>
  <si>
    <t>나라장터 공고 시 제한 요건을 명시하여야 한다.</t>
  </si>
  <si>
    <t>별도의 공개공고 없이 특정 업체에만 지명 통지하는 방식으로 진행한다.</t>
  </si>
  <si>
    <t>* 정답 (④): 별도 공개공고 없이 특정 업체를 지명하는 방식은 지명경쟁입찰의 특성이다. 제한경쟁입찰은 나라장터를 통해 공개공고하되 제한 요건을 명시한다.</t>
  </si>
  <si>
    <t>지명경쟁입찰 시행 시 최소 지명 인원 원칙으로 옳은 것은?</t>
  </si>
  <si>
    <t>2인 이상</t>
  </si>
  <si>
    <t>3인 이상</t>
  </si>
  <si>
    <t>5인 이상</t>
  </si>
  <si>
    <t>10인 이상</t>
  </si>
  <si>
    <t>* 정답 (③): 「국가계약법 시행령」 제24조에 따라 지명경쟁입찰 시 원칙적으로 5인 이상을 지명해야 한다.</t>
  </si>
  <si>
    <t>수의계약의 견적서 징구 원칙에 관한 설명으로 옳은 것은?</t>
  </si>
  <si>
    <t>항상 1인 견적서만으로 계약이 가능하다.</t>
  </si>
  <si>
    <t>원칙적으로 2인 이상 견적서를 비교하되, 추정가격 2천만 원 이하 소액수의계약은 1인 견적도 허용된다.</t>
  </si>
  <si>
    <t>견적서는 구두로 받아도 무방하다.</t>
  </si>
  <si>
    <t>예정가격보다 낮은 금액이면 즉시 계약이 가능하다.</t>
  </si>
  <si>
    <t>* 정답 (②): 「국가계약법 시행령」 제30조 제1항: 원칙 2인 이상 견적 비교. 단 추정가격 2천만 원 이하 소액수의계약은 1인 견적 허용.</t>
  </si>
  <si>
    <t>다음 중 수의계약의 허용 사유에 해당하지 않는 것은?</t>
  </si>
  <si>
    <t>천재지변 등 긴급복구가 필요한 경우</t>
  </si>
  <si>
    <t>특허권·실용신안권 등으로 특정인의 기술만 이용 가능한 경우</t>
  </si>
  <si>
    <t>발주기관이 거래 관계가 오래된 업체와 계속 거래하려는 경우</t>
  </si>
  <si>
    <t>재공고 입찰이 유찰된 후 계약이 필요한 경우</t>
  </si>
  <si>
    <t>* 정답 (③): 오래된 거래 관계는 수의계약 허용 사유가 아니다. 수의계약 사유는 「국가계약법 시행령」 제26조에 법정으로 제한 열거되어 있다.</t>
  </si>
  <si>
    <t>다음 중 나라장터를 통한 공개공고가 불필요한 입찰 방법은?</t>
  </si>
  <si>
    <t>제한경쟁입찰</t>
  </si>
  <si>
    <t>희망수량 경쟁입찰</t>
  </si>
  <si>
    <t>* 정답 (③): 일반·제한경쟁입찰은 나라장터 등에 널리 알리는 '입찰공고' 절차를 거치나, 지명경쟁입찰은 불특정 다수를 위한 공고 없이 발주기관이 지정한 대상자에게만 개별적으로 '입찰참가통지서'를 발송하여 진행한다(「국가계약법 시행령」 제24조 제2항).</t>
  </si>
  <si>
    <t>일반경쟁입찰에서 재공고 입찰을 실시해야 하는 경우로 옳은 것은?</t>
  </si>
  <si>
    <t>입찰 참가자가 10인 미만인 경우</t>
  </si>
  <si>
    <t>유효한 투찰자가 2인 미만인 경우</t>
  </si>
  <si>
    <t>최저가 투찰자가 예정가격보다 낮게 투찰한 경우</t>
  </si>
  <si>
    <t>입찰공고 기간이 7일 미만인 경우</t>
  </si>
  <si>
    <t>* 정답 (②): 유효한 투찰자가 2인 미만인 경우(미성립)에는 재공고 입찰을 실시하여야 한다.</t>
  </si>
  <si>
    <t>「국가계약법」 적용 기관과 「지방계약법」 적용 기관 간 수의계약 적용에 관한 설명으로 옳은 것은?</t>
  </si>
  <si>
    <t>양 법령 모두 동일한 소액 기준과 절차를 적용한다.</t>
  </si>
  <si>
    <t>수의계약 허용 사유 및 세부 절차는 법령별로 일부 차이가 있으므로 적용 법령을 반드시 확인해야 한다.</t>
  </si>
  <si>
    <t>「지방계약법」 적용 기관은 수의계약을 활용할 수 없다.</t>
  </si>
  <si>
    <t>수의계약은 법령과 무관하게 기관장 재량으로 자유롭게 활용 가능하다.</t>
  </si>
  <si>
    <t>* 정답 (②): 「국가계약법 시행령」 제26조와 「지방계약법 시행령」 제25조는 수의계약 허용 사유 및 소액 기준 등에서 차이가 있으므로 적용 법령을 반드시 확인해야 한다.</t>
  </si>
  <si>
    <t>공공조달에서 경쟁입찰을 원칙으로 정한 법령의 연결로 옳은 것은?</t>
  </si>
  <si>
    <t>「국가계약법」 제5조 및 「지방계약법」 제6조</t>
  </si>
  <si>
    <t>「국가계약법」 제7조 제1항 및 「지방계약법」 제9조 제1항</t>
  </si>
  <si>
    <t>「국가계약법 시행령」 제26조 및 「지방계약법 시행령」 제25조</t>
  </si>
  <si>
    <t>「조달사업법」 제10조 및 「지방계약법」 제9조</t>
  </si>
  <si>
    <t>* 정답 (②): 「국가계약법」 제7조 제1항과 「지방계약법」 제9조 제1항이 경쟁입찰을 원칙으로 규정하고 있다.</t>
  </si>
  <si>
    <t>수의계약 진행 절차의 순서로 옳은 것은?</t>
  </si>
  <si>
    <t>견적서 징구 → 수의계약 사유 확인 → 예정가격 검토 → 계약 체결</t>
  </si>
  <si>
    <t>수의계약 사유 확인 → 견적서 징구 → 예정가격 대비 적정성 검토 → 계약서 작성·체결</t>
  </si>
  <si>
    <t>계약서 작성 → 수의계약 사유 확인 → 견적서 징구 → 이행 관리</t>
  </si>
  <si>
    <t>예정가격 결정 → 수의계약 사유 확인 → 계약서 작성 → 견적서 징구</t>
  </si>
  <si>
    <t>* 정답 (②): 수의계약 절차: 사유 확인 → 견적서 징구(2인 이상 원칙) → 예정가격 대비 적정성 검토 → 계약서 작성·체결 → 이행 관리 → 종결</t>
  </si>
  <si>
    <t>제한경쟁입찰을 적용할 수 있는 요건으로 「국가계약법 시행령」 제21조가 정한 기준에 해당하지 않는 것은?</t>
  </si>
  <si>
    <t>계약 이행에 필요한 기술의 특수성</t>
  </si>
  <si>
    <t>계약 목적물의 규모</t>
  </si>
  <si>
    <t>발주기관이 선호하는 업체 유형</t>
  </si>
  <si>
    <t>계약 이행의 지역 특수성</t>
  </si>
  <si>
    <t>* 정답 (③): 발주기관이 선호하는 업체 유형은 제한 기준이 아니다. 「국가계약법 시행령」 제21조는 기술·실적·규모·지역 특수성 등 법정 기준만 허용한다.</t>
  </si>
  <si>
    <t>경쟁입찰의 세 유형 중 공고 방법, 최소 참가자, 법적 근거가 모두 옳게 연결된 것은?</t>
  </si>
  <si>
    <t>일반경쟁 - 지명 통지 - 5인 이상 - 시행령 제18조</t>
  </si>
  <si>
    <t>제한경쟁 - 나라장터 공고(제한 요건 명시) - 2인 이상 - 시행령 제21조</t>
  </si>
  <si>
    <t>지명경쟁 - 나라장터 공개공고 - 2인 이상 - 시행령 제23조</t>
  </si>
  <si>
    <t>일반경쟁 - 나라장터 공고 - 5인 이상 - 시행령 제18조</t>
  </si>
  <si>
    <t>* 정답 (②): 제한경쟁입찰은 나라장터 공고(제한 요건 명시), 2인 이상 유효 투찰, 「국가계약법 시행령」 제21조가 법적 근거이다.</t>
  </si>
  <si>
    <t>일반경쟁입찰의 성립 요건에 관한 설명으로 옳은 것은?</t>
  </si>
  <si>
    <t>일반경쟁 원칙이며, 유효 투찰자 2인 이상이어야 성립한다.</t>
  </si>
  <si>
    <t>일반경쟁입찰은 유효 투찰자 1인만 있어도 즉시 성립한다.</t>
  </si>
  <si>
    <t>일반경쟁입찰은 5인 이상 지명을 받은 자만 참여할 수 있다.</t>
  </si>
  <si>
    <t>일반경쟁입찰은 별도 공고 없이 수의계약과 병행 진행된다.</t>
  </si>
  <si>
    <t>* 정답 (①):  국가계약은 일반경쟁을 원칙으로 하며(「국가계약법」 제7조), 경쟁입찰은 2인 이상의 유효한 입찰로 성립한다(「국가계약법 시행령」 제11조).</t>
  </si>
  <si>
    <t>제한경쟁입찰과 지명경쟁입찰의 절차상 차이로 옳은 것은?</t>
  </si>
  <si>
    <t>제한경쟁입찰은 나라장터에 공개공고하되 제한 요건을 명시하고, 지명경쟁입찰은 공개공고 없이 5인 이상에게 지명 통지한다.</t>
  </si>
  <si>
    <t>두 입찰 방식의 절차는 동일하다.</t>
  </si>
  <si>
    <t>제한경쟁입찰은 공개공고가 불필요하다.</t>
  </si>
  <si>
    <t>지명경쟁입찰은 모든 등록 업체에 공개공고된다.</t>
  </si>
  <si>
    <t>* 정답 (①): 제한경쟁입찰은 「시행령」 제21조에 따라 나라장터 공개공고 시 제한 요건(실적·기술·자본금 등)을 명시하고, 지명경쟁입찰은 「시행령」 제24조에 따라 5인 이상을 지명하여 통지하는 비공개 방식이다.</t>
  </si>
  <si>
    <t>재공고 입찰 실시 사유에 관한 설명으로 옳은 것은?</t>
  </si>
  <si>
    <t>유효 투찰자가 2인 미만으로 입찰이 성립되지 않은 경우에 실시한다.</t>
  </si>
  <si>
    <t>입찰 참가자가 10인 미만인 경우 항상 실시한다.</t>
  </si>
  <si>
    <t>최저가 투찰자가 예정가격보다 낮게 투찰한 경우에 실시한다.</t>
  </si>
  <si>
    <t>입찰공고 기간이 7일 이상인 경우 실시한다.</t>
  </si>
  <si>
    <t>* 정답 (①): 재공고 입찰은 유효 투찰자가 2인 미만으로 입찰이 미성립한 경우에 실시한다. 입찰 참가자 수 10인 기준이나 최저가 투찰 금액은 재공고 사유가 아니다.</t>
  </si>
  <si>
    <t>「국가계약법」과 「지방계약법」 간 수의계약 적용 차이에 관한 설명으로 옳은 것은?</t>
  </si>
  <si>
    <t>수의계약 허용 사유 및 세부 절차는 법령별로 일부 차이가 있어 적용 법령을 정확히 확인해야 한다.</t>
  </si>
  <si>
    <t>양 법령은 동일한 소액 기준과 절차를 적용한다.</t>
  </si>
  <si>
    <t>지방자치단체는 「국가계약법」을 그대로 준용한다.</t>
  </si>
  <si>
    <t>양 법령 간 차이는 없으므로 어느 법령을 적용해도 결과가 동일하다.</t>
  </si>
  <si>
    <t>* 정답 (①): 「국가계약법」과 「지방계약법」은 기본 구조가 유사하나 수의계약 허용 사유, 소액 기준, 세부 절차에서 일부 차이가 있다. 적용 대상 기관에 따라 정확한 법령 확인이 필요하다.</t>
  </si>
  <si>
    <t>제한경쟁입찰의 「국가계약법 시행령」 제21조상 제한 기준에 해당하지 않는 것은?</t>
  </si>
  <si>
    <t>발주기관 담당자가 선호하는 업체 유형</t>
  </si>
  <si>
    <t>* 정답 (④): 제한경쟁입찰의 제한 기준은 ① 기술 특수성, ② 규모, ③ 지역 특수성, ④ 실적·기술 보유 상황·자본금 등 법정 기준에 한정된다. 발주기관 담당자의 선호는 합리적 기준이 아니며 공정성 위반에 해당한다.</t>
  </si>
  <si>
    <t>평가위원회 구성 및 이해 충돌 방지의 기본 개념/원칙으로 가장 적절한 것은?</t>
  </si>
  <si>
    <t>다음 중 평가위원회 구성 및 이해 충돌 방지에 관한 설명으로 옳은 것은?</t>
  </si>
  <si>
    <t>조달청의 협상에 의한 계약 평가위원 구성 기준에서 추정가격 50억 원 이상인 경우 최소 위원 수와 정족수로 옳은 것은?</t>
  </si>
  <si>
    <t>5인 이상, 과반수</t>
  </si>
  <si>
    <t>7인 이상, 과반수</t>
  </si>
  <si>
    <t>9명 이상, 2/3 이상</t>
  </si>
  <si>
    <t>10인 이상, 2/3 이상</t>
  </si>
  <si>
    <t>* 정답 (③): 조달청 기준: 50억 원 이상 → 9명 이상, 정족수 2/3 이상. 위원장은 추첨으로 선출</t>
  </si>
  <si>
    <t>재경부 기준에서 추정가격이 1억 원 이상인 경우 평가위원 최소 구성 인원으로 옳은 것은?</t>
  </si>
  <si>
    <t>7인 이상</t>
  </si>
  <si>
    <t>8인 이상</t>
  </si>
  <si>
    <t>9인 이상</t>
  </si>
  <si>
    <t>* 정답 (②): 재경부 기준: 1억 원 미만 → 5인 이상, 1억 원 이상 → 7인 이상(외부위원 과반수 원칙).</t>
  </si>
  <si>
    <t>조달청과 지방자치단체(행안부 기준)의 평가위원회 위원장 선출 방법을 바르게 연결한 것은?</t>
  </si>
  <si>
    <t>조달청 - 호선, 지자체 - 추첨</t>
  </si>
  <si>
    <t>조달청 - 추첨, 지자체 - 호선</t>
  </si>
  <si>
    <t>조달청 - 기관장 임명, 지자체 - 추첨</t>
  </si>
  <si>
    <t>조달청 - 호선, 지자체 - 기관장 임명</t>
  </si>
  <si>
    <t>* 정답 (②): 조달청은 추첨으로 위원장을 선출하고, 지자체(행안부 기준)는 위원들이 호선으로 선출한다.</t>
  </si>
  <si>
    <t>평가위원의 제척 사유로 옳지 않은 것은?</t>
  </si>
  <si>
    <t>해당 사업에 자문·연구로 관여한 경우</t>
  </si>
  <si>
    <t>최근 3년 이내 해당 업체에 임직원으로 재직한 경우</t>
  </si>
  <si>
    <t>평가위원이 해당 분야의 전문가인 경우</t>
  </si>
  <si>
    <t>심사대상자와 친·인척 관계에 있는 경우</t>
  </si>
  <si>
    <t>* 정답 (③): 전문가인 사실 자체는 제척 사유가 아니다. 오히려 전문가 구성이 평가위원회의 목적이다.</t>
  </si>
  <si>
    <t>계약 체결 전에 입찰참가자와 평가위원 간 사전접촉이 확인된 경우의 조치로 옳은 것은?</t>
  </si>
  <si>
    <t>해당 입찰을 즉시 취소한다.</t>
  </si>
  <si>
    <t>해당 참가자의 최종 점수에서 10점을 감점하여 협상순위를 재선정한다.</t>
  </si>
  <si>
    <t>해당 평가위원만 교체한다.</t>
  </si>
  <si>
    <t>별도 조치 없이 평가 결과를 그대로 유지한다.</t>
  </si>
  <si>
    <t>* 정답 (②): 조달청 협상에 의한 계약 제안서평가 세부기준에 따라 사전접촉이 확인된 경우 해당 참가자의 최종점수에서 10점을 감점하여 협상순위를 재선정한다.</t>
  </si>
  <si>
    <t>국가계약법령(재경부) 기준으로 협상적격자 선정 요건으로 옳은 것은?</t>
  </si>
  <si>
    <t>기술능력평가 점수가 배점한도의 70% 이상</t>
  </si>
  <si>
    <t>기술 + 가격 합산점수가 70점 이상</t>
  </si>
  <si>
    <t>기술능력평가 점수가 배점한도의 85% 이상이고 합산점수 고득점 순으로 협상 순위 결정</t>
  </si>
  <si>
    <t>가격평가 점수가 가장 높은 업체를 우선협상대상자로 선정</t>
  </si>
  <si>
    <t>* 정답 (③): 재경부 기준: 기술능력평가 배점한도의 85% 이상을 충족한 업체 중 가격평가를 합산한 고득점 순으로 협상순위를 결정한다.</t>
  </si>
  <si>
    <t>평가위원 명단의 공개 시점에 관한 설명으로 옳은 것은?</t>
  </si>
  <si>
    <t>입찰공고 시 즉시 공개한다.</t>
  </si>
  <si>
    <t>제안서 제출 마감 후 공개한다.</t>
  </si>
  <si>
    <t>기술평가 시작 30분 전 시스템에서 확인가능하다(조달청 기준).</t>
  </si>
  <si>
    <t>평가 종료 후 공개한다.</t>
  </si>
  <si>
    <t>* 정답 (③): 조달청 기준으로 평가위원 명단은 기술평가 시작 30분 전에 시스템에서 확인이 가능하며, 사전에는 비공개를 원칙으로 한다.</t>
  </si>
  <si>
    <t>정성평가 점수 집계 방법으로 옳은 것은?</t>
  </si>
  <si>
    <t>모든 평가위원의 점수를 합산하여 총점으로 산정한다.</t>
  </si>
  <si>
    <t>최고점과 최저점을 제외한 나머지 위원의 점수를 평균하여 산정한다.</t>
  </si>
  <si>
    <t>위원장 점수에 2배 가중치를 적용한다.</t>
  </si>
  <si>
    <t>최고점을 받은 위원 3인의 평균을 최종 점수로 한다.</t>
  </si>
  <si>
    <t>* 정답 (②): 평가위원별 점수 취합 후 최고점·최저점 제외한 나머지의 평균으로 산정하며, 소수점 다섯째 자리에서 반올림한다.</t>
  </si>
  <si>
    <t>정성평가의 5등급 체계에서 '우수' 등급의 배점 비율로 옳은 것은?</t>
  </si>
  <si>
    <t>배점의 100%</t>
  </si>
  <si>
    <t>배점의 90%</t>
  </si>
  <si>
    <t>배점의 80%</t>
  </si>
  <si>
    <t>배점의 70%</t>
  </si>
  <si>
    <t>* 정답 (②): 5등급: 매우 우수(100%), 우수(90%), 보통(80%), 미흡(70%), 매우 미흡(60%) 순으로 배점에 비율을 곱하여 산정한다.</t>
  </si>
  <si>
    <t>다음 중 이해상충 방지 장치에 해당하지 않는 것은?</t>
  </si>
  <si>
    <t>평가위원 명단 사전 비공개 원칙</t>
  </si>
  <si>
    <t>최고점·최저점 제외 후 평균 산출</t>
  </si>
  <si>
    <t>평가위원이 입찰자의 제안서 사전 열람</t>
  </si>
  <si>
    <t>평가위원과 입찰자 간 사전접촉 금지</t>
  </si>
  <si>
    <t>* 정답 (③): 평가위원이 입찰자의 제안서를 사전에 열람하는 것은 이해상충 방지 장치가 아니라 오히려 이해상충 위험을 초래할 수 있다.</t>
  </si>
  <si>
    <t>재경부 기준에서 평가위원회 구성 시 외부 전문가의 비율 기준으로 옳은 것은?</t>
  </si>
  <si>
    <t>1/3 이상</t>
  </si>
  <si>
    <t>1/2 초과</t>
  </si>
  <si>
    <t>2/3 이상</t>
  </si>
  <si>
    <t>전원 외부 전문가</t>
  </si>
  <si>
    <t>* 정답 (②): 재경부 기준에서 평가위원 중 과반수(1/2 초과)는 외부 전문가로 선정하여 내부 이해관계 반영 가능성을 낮춘다.</t>
  </si>
  <si>
    <t>행안부 기준의 평가위원회 구성에 관한 설명으로 옳은 것은?</t>
  </si>
  <si>
    <t>추정가격에 따라 5인·7인·9인으로 세분화된다.</t>
  </si>
  <si>
    <t>금액 구분 없이 7 ~ 10인으로 구성하며 위원장은 호선으로 선출한다.</t>
  </si>
  <si>
    <t>정족수 2/3 이상이 출석해야 평가가 가능하다.</t>
  </si>
  <si>
    <t>위원장은 발주기관장이 직접 임명한다.</t>
  </si>
  <si>
    <t>* 정답 (②): 행안부 기준: 금액 구분 없이 7~10인(내용에 따라 조정), 위원장은 호선으로 선출한다.</t>
  </si>
  <si>
    <t>평가위원의 비밀유지 의무 범위로 가장 포괄적으로 옳은 것은?</t>
  </si>
  <si>
    <t>낙찰자 명단만 비밀 유지하면 된다.</t>
  </si>
  <si>
    <t>평가 점수만 비밀 유지하면 된다.</t>
  </si>
  <si>
    <t>위원 명단만 비밀 유지하면 된다.</t>
  </si>
  <si>
    <t>평가 내용·점수·위원 명단 등 일체를 비밀 유지하여야 한다.</t>
  </si>
  <si>
    <t>* 정답 (④): 평가위원은 평가 내용, 점수, 위원 명단 등 평가와 관련된 모든 사항에 대해 비밀유지 의무를 진다.</t>
  </si>
  <si>
    <t>재정경제부·행정안전부·조달청 평가위원회 구성의 차이에 관한 설명으로 옳지 않은 것은?</t>
  </si>
  <si>
    <t>재경부는 1억 미만 5인 이상, 1억 이상 7인 이상을 구성하며 외부 위원이 과반수여야 한다.</t>
  </si>
  <si>
    <t>행안부는 7 ~ 10인을 구성하며 금액 구분이 없다.</t>
  </si>
  <si>
    <t>조달청은 위원장을 호선으로만 선출한다.</t>
  </si>
  <si>
    <t>조달청은 1억 미만 8명, 1억 ~ 50억 8명 이상, 50억 이상 9명 이상을 구성하며 정족수 2/3 이상을 요구한다.</t>
  </si>
  <si>
    <t>* 정답 (③): 조달청 위원회의 위원장 선출 방법은 추첨이지 호선 방식이 아니다. 재경부와 행안부가 호선 방식을 사용한다.</t>
  </si>
  <si>
    <t>평가위원의 제척 사유에 해당하지 않는 것은?</t>
  </si>
  <si>
    <t>위원이 해당 분야의 전문가인 경우</t>
  </si>
  <si>
    <t>* 정답 (④): 전문가 사실 자체는 제척 사유가 아니며, 오히려 평가위원회의 전문성 확보 목적과 부합한다. 제척 사유는 ① 사업 관여, ② 최근 임직원 경력, ③ 친·인척 등 이해관계가 있는 경우이다.</t>
  </si>
  <si>
    <t>이해상충 방지 핵심 장치에 해당하지 않는 것은?</t>
  </si>
  <si>
    <t>평가 전일까지 위원 명단 비공개</t>
  </si>
  <si>
    <t>위원-입찰자 간 사전접촉 금지(위반 시 감점·배제)</t>
  </si>
  <si>
    <t>평가위원이 입찰자의 제안서를 사전 열람할 수 있도록 허용</t>
  </si>
  <si>
    <t>* 정답 (④): 평가위원의 제안서 사전 열람은 이해상충 방지 원칙에 정면 위반한다. 핵심 장치는 ① 명단 비공개, ② 사전접촉 금지, ③ 제척·기피·회피, ④ 비밀유지 서약, ⑤ 최고·최저 제외 후 평균이다.</t>
  </si>
  <si>
    <t>입찰참가자와 평가위원 간 사전접촉이 확인된 경우의 조치로 옳은 것은?</t>
  </si>
  <si>
    <t>해당 입찰을 즉시 전면 취소한다.</t>
  </si>
  <si>
    <t>사전접촉 사실을 비공개 처리한다.</t>
  </si>
  <si>
    <t>해당 위원만 교체하고 참가자에게는 별도 조치하지 않는다.</t>
  </si>
  <si>
    <t>* 정답 (①): 사전접촉 위반 시 해당 참가자의 최종 점수에서 10점 감점하고 협상순위를 재선정하는 것이 일반적 조치이다. 위반 정도에 따라 입찰 배제로 이어질 수도 있다.</t>
  </si>
  <si>
    <t>정성평가의 5등급 체계상 '우수' 등급의 배점 비율로 옳은 것은?</t>
  </si>
  <si>
    <t>* 정답 (②): 정성평가 5등급은 매우 우수(100%) → 우수(90%) → 보통(80%) → 미흡(70%) → 매우 미흡(60%) 순으로 배점 비율을 곱하여 산정한다.</t>
  </si>
  <si>
    <t>계약의 협상의 기본 개념/원칙으로 가장 적절한 것은?</t>
  </si>
  <si>
    <t>다음 중 계약의 협상에 관한 설명으로 옳은 것은?</t>
  </si>
  <si>
    <t>국가계약법령(재경부) 기준에서 협상에 의한 계약의 협상적격자 요건으로 옳은 것은?</t>
  </si>
  <si>
    <t>가격평가 점수가 가장 높은 업체</t>
  </si>
  <si>
    <t>기술능력평가 배점한도의 70% 이상</t>
  </si>
  <si>
    <t>기술능력평가 배점한도의 85% 이상</t>
  </si>
  <si>
    <t>기술 + 가격 합산점수 70점 이상</t>
  </si>
  <si>
    <t>* 정답 (③): 재경부 기준: 기술능력평가 배점한도의 85% 이상을 충족한 업체가 협상적격자이며, 가격 합산 고득점 순으로 협상순위를 결정한다.</t>
  </si>
  <si>
    <t>행안부 기준(지방계약법령) 협상에 의한 계약에서 협상적격자 선정 기준으로 옳은 것은?</t>
  </si>
  <si>
    <t>기술평가 배점한도의 85% 이상</t>
  </si>
  <si>
    <t>기술+가격 합산점수 70점 이상인 업체 중 고득점 순</t>
  </si>
  <si>
    <t>최저가 투찰 업체</t>
  </si>
  <si>
    <t>기술평가 1위 업체</t>
  </si>
  <si>
    <t>* 정답 (②): 행안부 기준: 기술+가격 합산점수 70점 이상을 충족한 업체 중 고득점 순으로 협상순위를 결정한다.</t>
  </si>
  <si>
    <t>「협상에 의한 계약 체결기준」 제11조에 따라 기술협상에서 계약담당공무원이 할 수 없는 행위는?</t>
  </si>
  <si>
    <t>이행방법에 관한 협의</t>
  </si>
  <si>
    <t>과업 내용 수용 여부 확인</t>
  </si>
  <si>
    <t>해당 사업과 무관한 요구사항 추가 요구</t>
  </si>
  <si>
    <t>모호한 표현에 대한 공통 해석 명기</t>
  </si>
  <si>
    <t>* 정답 (③): 제11조 단서: 계약담당공무원은 협상대상자에게 해당 사업과 무관한 요구사항 추가, 기술 이전 요구 등 불공정한 요구를 해서는 안 된다.</t>
  </si>
  <si>
    <t>협상에 의한 계약에서 가격협상의 기준가격으로 옳은 것은?</t>
  </si>
  <si>
    <t>전년도 유사 계약의 낙찰가격</t>
  </si>
  <si>
    <t>사업예산(예정가격 작성 시 예정가격) 이하로서 협상대상자가 제안한 가격</t>
  </si>
  <si>
    <t>입찰공고에 명시된 사업 예산의 90%</t>
  </si>
  <si>
    <t>시장조사를 통해 산출한 평균가격</t>
  </si>
  <si>
    <t>* 정답 (②): 「협상에 의한 계약체결기준」 제12조 제1항: 기준가격은 사업예산(예정가격 작성 시 예정가격) 이하로서 협상대상자가 제안한 가격이다.</t>
  </si>
  <si>
    <t>협상에 의한 계약에서 법정 협상기간으로 옳은 것은?</t>
  </si>
  <si>
    <t>통보일로부터 7일 이내, 미성립 시 7일 연장</t>
  </si>
  <si>
    <t>통보일로부터 15일 이내, 협의로 5일 조정 가능, 미성립 시 10일 연장</t>
  </si>
  <si>
    <t>통보일로부터 30일 이내, 연장 불가</t>
  </si>
  <si>
    <t>통보일로부터 10일 이내, 협의로 10일 연장</t>
  </si>
  <si>
    <t>* 정답 (②): 「협상에 의한 계약체결기준」 제13조: 15일 이내, 협의로 5일 범위 조정, 미성립 시 10일 범위 연장 가능.</t>
  </si>
  <si>
    <t>협상이 성립된 후 계약체결 기한으로 옳은 것은?</t>
  </si>
  <si>
    <t>5일 이내</t>
  </si>
  <si>
    <t>10일 이내</t>
  </si>
  <si>
    <t>15일 이내</t>
  </si>
  <si>
    <t>30일 이내</t>
  </si>
  <si>
    <t>* 정답 (②): 「협상에 의한 계약체결기준」 제15조: 협상이 성립된 후 10일 이내에 계약을 체결하여야 한다.</t>
  </si>
  <si>
    <t>협상 성립 시 결과 통보 방법으로 옳은 것은?</t>
  </si>
  <si>
    <t>해당 협상대상자에게만 구두로 통보한다.</t>
  </si>
  <si>
    <t>해당 협상대상자 및 다른 협상적격자에게 서면으로 통보한다.</t>
  </si>
  <si>
    <t>낙찰자 명단을 나라장터에만 공개한다.</t>
  </si>
  <si>
    <t>통보 없이 즉시 계약을 체결한다.</t>
  </si>
  <si>
    <t>* 정답 (②): 「협상에 의한 계약체결기준」 제14조: 협상 성립 시 해당 협상대상자 및 다른 협상적격자에게 서면으로 통보하여야 한다.</t>
  </si>
  <si>
    <t>협상에 의한 계약에서 단일 입찰참가 업체와 수의계약을 체결하기 위한 조건(국가기준)으로 옳은 것은?</t>
  </si>
  <si>
    <t>가격이 예정가격 이하이면 즉시 수의계약 가능</t>
  </si>
  <si>
    <t>단일 업체의 제안서를 평가하여 기술평가 배점한도의 85% 이상을 충족한 경우에만 가능</t>
  </si>
  <si>
    <t>협상이 결렬된 모든 경우에 수의계약으로 전환 가능</t>
  </si>
  <si>
    <t>발주기관장의 승인만 있으면 수의계약 가능</t>
  </si>
  <si>
    <t>* 정답 (②): 협상에 의한 계약에서 단일 업체 수의계약은 기술제안서 평가 기준 배점한도의 85% 이상 적합성평가를 통과한 경우에만 가능하다.</t>
  </si>
  <si>
    <t>협상에 의한 계약에서 1순위 우선협상대상자와 협상이 성립되지 않을 경우의 처리로 옳은 것은?</t>
  </si>
  <si>
    <t>즉시 입찰을 취소한다.</t>
  </si>
  <si>
    <t>2순위 업체가 우선협상대상자가 되어 동일한 과정을 반복한다.</t>
  </si>
  <si>
    <t>가격을 낮춰 1순위 업체와 재협상한다.</t>
  </si>
  <si>
    <t>모든 참가업체와 동시에 협상을 진행한다.</t>
  </si>
  <si>
    <t>* 정답 (②): 1순위 협상 미성립 시 2순위 업체가 우선협상대상자가 되어 협상을 진행하며, 미성립 반복 시 후순위로 순차 진행한다.</t>
  </si>
  <si>
    <t>기술협상과 가격협상의 관계에 관한 설명으로 옳은 것은?</t>
  </si>
  <si>
    <t>가격협상이 먼저 진행되고 기술협상이 나중에 이루어진다.</t>
  </si>
  <si>
    <t>기술협상과 가격협상은 동시에 진행한다.</t>
  </si>
  <si>
    <t>기술협상 결과로 확정된 과업 범위를 기준으로 가격협상이 진행된다.</t>
  </si>
  <si>
    <t>기술협상 없이 가격협상만으로 계약을 체결할 수 있다.</t>
  </si>
  <si>
    <t>* 정답 (③): 협상은 기술(규격)협상 → 가격협상 순으로 진행되며, 기술협상에서 확정된 과업 범위가 가격협상의 기준이 된다.</t>
  </si>
  <si>
    <t>협상 중 제안 내용의 가감조정 없이 가격협상이 진행될 경우 가격 처리 방법으로 옳은 것은?</t>
  </si>
  <si>
    <t>협상담당자가 임의로 가격을 결정할 수 있다.</t>
  </si>
  <si>
    <t>가감조정이 없는 경우 가격 증감 조정을 할 수 없다.</t>
  </si>
  <si>
    <t>예정가격의 80%로 자동 결정된다.</t>
  </si>
  <si>
    <t>시장가격을 기준으로 재산정한다.</t>
  </si>
  <si>
    <t>* 정답 (②): 계약체결기준 제12조 제2항 단서: 제안한 내용의 가감조정이 없는 경우에는 가격협상 시 협상대상자가 제안한 가격을 증감 조정할 수 없다.</t>
  </si>
  <si>
    <t>재경부 기준에서 협상에 의한 계약 평가점수가 동점인 경우 우선순위 결정 방법으로 옳은 것은?</t>
  </si>
  <si>
    <t>추첨으로 결정한다.</t>
  </si>
  <si>
    <t>기술능력평가 점수가 높은 업체를 우선하며, 그다음은 배점이 큰 세부항목 고득점 순이다.</t>
  </si>
  <si>
    <t>가격평가 점수가 낮은 업체를 우선한다.</t>
  </si>
  <si>
    <t>입찰 접수 순서가 빠른 업체를 우선한다.</t>
  </si>
  <si>
    <t>* 정답 (②): 재경부 기준 동점 처리: 기술능력평가 점수 높은 업체 → 배점이 큰 세부항목 고득점 순으로 우선순위를 부여한다.</t>
  </si>
  <si>
    <t>협상에 의한 계약 방식에 관한 설명으로 옳지 않은 것은?</t>
  </si>
  <si>
    <t>기술능력과 가격을 분리 평가한다.</t>
  </si>
  <si>
    <t>우선협상대상자를 선정한 후 기술·가격 협상을 거쳐 계약을 체결한다.</t>
  </si>
  <si>
    <t>가격이 가장 낮은 업체를 무조건 낙찰자로 결정한다.</t>
  </si>
  <si>
    <t>고도의 기술성이 요구되는 용역·물품에 주로 적용된다.</t>
  </si>
  <si>
    <t>* 정답 (③): 협상에 의한 계약은 최저가를 무조건 낙찰자로 결정하지 않는다. 기술평가와 가격평가를 분리 실시하고 우선협상대상자와 협상을 거쳐 계약을 체결한다.</t>
  </si>
  <si>
    <t>협상에 의한 계약에서 협상적격자와 우선협상대상자의 구분에 관한 설명으로 옳은 것은?</t>
  </si>
  <si>
    <t>협상적격자는 평가 점수가 일정 기준 이상인 자, 우선협상대상자는 협상적격자 중 최고 득점자이다.</t>
  </si>
  <si>
    <t>협상적격자와 우선협상대상자는 동일한 개념이다.</t>
  </si>
  <si>
    <t>우선협상대상자가 결정되면 다른 협상적격자는 자동 탈락한다.</t>
  </si>
  <si>
    <t>협상적격자는 가격 입찰자를 의미한다.</t>
  </si>
  <si>
    <t>* 정답 (①): 협상적격자는 평가 점수가 일정 기준(재경부: 기술 85% 이상 + 합산 고득점, 행안부: 합산 70점 이상 고득점)을 충족한 자이며, 그 중 최고 득점자가 우선협상대상자가 된다. 1순위 협상 미성립 시 후순위 협상적격자가 우선협상대상자로 승계된다.</t>
  </si>
  <si>
    <t>* 정답 (②): 「협상에 의한 계약체결기준」 제12조 제1항에 따라 가격협상 기준가격은 사업예산(예정가격 작성 시 예정가격) 이하로서 협상대상자가 제안한 가격이다.</t>
  </si>
  <si>
    <t>협상에 의한 계약의 법정 협상기간에 관한 설명으로 옳은 것은?</t>
  </si>
  <si>
    <t>통보일로부터 15일 이내(협의로 5일 범위 조정 가능, 미성립 시 10일 연장)</t>
  </si>
  <si>
    <t>통보일로부터 60일 이내, 자유 연장</t>
  </si>
  <si>
    <t>* 정답 (①): 「계약체결기준」 제13조에 따라 협상기간은 통보일로부터 15일 이내이며, 협의를 통해 5일 범위에서 조정 가능하고, 미성립 시 10일 연장이 가능하다.</t>
  </si>
  <si>
    <t>1순위 우선협상대상자와 협상이 성립되지 않을 경우의 처리로 옳은 것은?</t>
  </si>
  <si>
    <t>* 정답 (②): 1순위 협상 미성립 시 2순위 업체가 우선협상대상자가 되어 협상을 진행하며, 미성립이 반복되면 후순위로 순차 진행한다.</t>
  </si>
  <si>
    <t>가격협상이 먼저 진행되고 기술협상이 후에 진행된다.</t>
  </si>
  <si>
    <t>기술협상에서 과업 내용 변경이 없는 경우 가격 증감 조정은 불가하다.</t>
  </si>
  <si>
    <t>두 협상은 별개로 진행되며 상호 영향이 없다.</t>
  </si>
  <si>
    <t>기술협상은 가격 결정 후에만 진행된다.</t>
  </si>
  <si>
    <t>* 정답 (②): 기술협상은 과업 내용 중심으로 제안요청서 요구사항 수용 여부를 확인·조정하며, 과업 내용 변경이 없는 경우 가격 증감 조정은 불가하다. 즉 가격 변동은 과업 변경에 연동되는 구조이다.</t>
  </si>
  <si>
    <t>낙찰자 결정 방법의 기본 개념/원칙으로 가장 적절한 것은?</t>
  </si>
  <si>
    <t>낙찰자 결정 방법의 적격심사낙찰제에 대한 설명 중 틀린 것은?</t>
  </si>
  <si>
    <t>정부 계약의 기본적인 낙찰자 결정 방법이다.</t>
  </si>
  <si>
    <t>사업 이행능력(이행실적·경영상태)·입찰가격 등을 종합적으로 심사하여 낙찰자를 선정한다.</t>
  </si>
  <si>
    <t>투찰가격 최저가 순으로 이행능력을 심사하여 통과점수 이상이면 낙찰자로 선정한다.</t>
  </si>
  <si>
    <t>수요기관·추정금액의 규모에 상관없이 동일한 낙찰자결정기준을 적용한다.</t>
  </si>
  <si>
    <t>* 정답 (④): 수요기관 및 추정금액 규모에 따라 별도 기준을 정하여 적용할 수 있으며, 물품·용역·공사 종류에 따라서도 상이한 기준이 적용된다.</t>
  </si>
  <si>
    <t>조달청의 물품구매 적격심사에서 낙찰자로 결정되기 위한 기준점수로 옳은 것은?</t>
  </si>
  <si>
    <t>80점 이상</t>
  </si>
  <si>
    <t>85점 이상</t>
  </si>
  <si>
    <t>87점 이상</t>
  </si>
  <si>
    <t>90점 이상</t>
  </si>
  <si>
    <t>* 정답 (②): 조달청 물품구매 적격심사 기준점수는 85점 이상이다.</t>
  </si>
  <si>
    <t>적격심사낙찰제에서 심사 순서로 옳은 것은?</t>
  </si>
  <si>
    <t>모든 입찰자를 동시에 심사한다.</t>
  </si>
  <si>
    <t>가격이 높은 순으로 심사한다.</t>
  </si>
  <si>
    <t>예정가격 이하 최저가 투찰자부터 순서대로 심사한다.</t>
  </si>
  <si>
    <t>기술능력 점수가 높은 순으로 심사한다.</t>
  </si>
  <si>
    <t>* 정답 (③): 적격심사는 예정가격 이하 최저가 투찰자부터 순서대로 심사하여, 기준점수 이상이면 낙찰자로 결정한다.</t>
  </si>
  <si>
    <t>희망수량 경쟁입찰에서 동일 가격으로 투찰한 자가 2인 이상인 경우 낙찰자 결정 방법으로 옳은 것은?</t>
  </si>
  <si>
    <t>입찰 접수 순서가 빠른 자</t>
  </si>
  <si>
    <t>추첨으로 결정</t>
  </si>
  <si>
    <t>가격이 낮은 자</t>
  </si>
  <si>
    <t>업력이 오래된 자</t>
  </si>
  <si>
    <t>* 정답 (②): 동일 가격 → 입찰수량 많은 자 낙찰, 수량도 동일할 경우 추첨으로 결정(「국가계약법 시행령」 제46조).</t>
  </si>
  <si>
    <t>국가계약법령 기준에서 종합심사낙찰제가 적용되는 공사 규모로 옳은 것은?</t>
  </si>
  <si>
    <t>추정가격 50억 원 이상</t>
  </si>
  <si>
    <t>추정가격 100억 원 이상</t>
  </si>
  <si>
    <t>추정가격 300억 원 이상</t>
  </si>
  <si>
    <t>추정가격 500억 원 이상</t>
  </si>
  <si>
    <t>* 정답 (③): 국가계약법령 기준: 추정가격 300억 원 이상의 공사에는 종합심사낙찰제를 적용하고, 100억~300억 미만은 간이형 종합심사제를 적용한다.</t>
  </si>
  <si>
    <t>국가계약법령 기준에서 간이형 종합심사제가 적용되는 공사 추정가격 범위로 옳은 것은?</t>
  </si>
  <si>
    <t>50억 원 미만</t>
  </si>
  <si>
    <t>100억 ~ 300억 원 미만</t>
  </si>
  <si>
    <t>300억 ~ 500억 원 미만</t>
  </si>
  <si>
    <t>500억 원 이상</t>
  </si>
  <si>
    <t>* 정답 (②): 국가계약법령 기준: 추정가격 100억~300억 원 미만 공사에 간이형 종합심사제를 적용한다.</t>
  </si>
  <si>
    <t>협상에 의한 계약 방식이 주로 적용되는 대상으로 옳은 것은?</t>
  </si>
  <si>
    <t>단순 반복적인 청소·경비 용역</t>
  </si>
  <si>
    <t>대량의 동일 물품 구매</t>
  </si>
  <si>
    <t>고도의 기술성·전문성이 요구되는 용역·물품</t>
  </si>
  <si>
    <t>추정가격 300억 원 이상 시설공사</t>
  </si>
  <si>
    <t>* 정답 (③): 협상에 의한 계약은 고도의 기술성·전문성이 요구되는 용역·물품에 주로 적용된다. 단순노무에 의한 용역은 「국가계약법」 및 「지방계약법」에 따라 해당 방식의 적용이 원칙적으로 제외된다.</t>
  </si>
  <si>
    <t>낙찰자 결정 후 계약법령상 낙찰요건 확인 항목에 해당하지 않는 것은?</t>
  </si>
  <si>
    <t>부정당업자 제재 여부</t>
  </si>
  <si>
    <t>입찰 참가 자격 충족 여부</t>
  </si>
  <si>
    <t>낙찰자 대표이사의 학력 사항</t>
  </si>
  <si>
    <t>법령상 결격사유 해당 여부</t>
  </si>
  <si>
    <t>* 정답 (③): 대표이사 학력은 낙찰요건 확인 항목이 아니다. 낙찰요건 확인은 부정당업자 제재, 입찰 참가 자격, 직접생산확인, 결격사유 등이 핵심이다.</t>
  </si>
  <si>
    <t>낙찰방법과 주요 특징의 연결로 옳지 않은 것은?</t>
  </si>
  <si>
    <t>적격심사 - 최저가 순 심사, 기준점수 이상 낙찰</t>
  </si>
  <si>
    <t>협상에 의한 계약 - 기술·가격 분리평가, 협상 후 계약</t>
  </si>
  <si>
    <t>희망수량 경쟁 - 수량·단가 동시 입찰, 최저가 순 수요량까지 낙찰</t>
  </si>
  <si>
    <t>종합심사낙찰제 - 가격만 평가하여 최저가 낙찰</t>
  </si>
  <si>
    <t>* 정답 (④): 종합심사낙찰제는 가격만 평가하지 않는다. 입찰가격 외 공사수행능력(시공경험·기술능력 등)을 종합 평가하여 낙찰자를 결정한다.</t>
  </si>
  <si>
    <t>경쟁적 대화에 의한 계약의 평가 배점 기준(재정경제부 계약예규)으로 옳은 것은?</t>
  </si>
  <si>
    <t>기술 70 + 가격 30</t>
  </si>
  <si>
    <t>기술 80 + 가격 20</t>
  </si>
  <si>
    <t>기술 90 + 가격 10</t>
  </si>
  <si>
    <t>기술 60 + 가격 40</t>
  </si>
  <si>
    <t>* 정답 (③): 경쟁적 대화에 의한 계약 체결기준(재정경제부 계약예규)에서 기술능력 평가 90점, 입찰가격 평가 10점 기준을 적용한다.</t>
  </si>
  <si>
    <t>지방계약법령 기준에서 적격심사가 적용되는 공사의 추정가격 범위로 옳은 것은?</t>
  </si>
  <si>
    <t>100억 원 미만</t>
  </si>
  <si>
    <t>200억 원 미만</t>
  </si>
  <si>
    <t>300억 원 미만</t>
  </si>
  <si>
    <t>500억 원 미만</t>
  </si>
  <si>
    <t>* 정답 (③): 지방계약법령 기준: 추정가격 300억 원 미만 공사에 적격심사를 적용하고, 300억 원 이상은 종합심사낙찰제를 적용한다.</t>
  </si>
  <si>
    <t>2단계경쟁입찰에 관한 설명으로 옳은 것은?</t>
  </si>
  <si>
    <t>모든 용역계약에 적용이 가능하다.</t>
  </si>
  <si>
    <t>1단계에서 기술적격성을 평가하고 2단계에서 가격을 평가하는 방식이다.</t>
  </si>
  <si>
    <t>가격만으로 낙찰자를 결정한다.</t>
  </si>
  <si>
    <t>단순노무 용역에도 의무 적용한다.</t>
  </si>
  <si>
    <t>* 정답 (②): 2단계경쟁입찰은 1단계에서 기술적격성(규격)을 평가하여 적격자를 선별한 후, 2단계에서 가격 평가를 실시한다. 단순노무 용역에는 적용이 불가하다.</t>
  </si>
  <si>
    <t>희망수량 경쟁입찰의 적용 대상으로 가장 적합한 것은?</t>
  </si>
  <si>
    <t>단일 업체가 전량 공급 가능한 대형 공사</t>
  </si>
  <si>
    <t>1인의 능력이나 생산시설로는 공급이 불가능하거나 곤란하여 다량의 동일 물품을 분할 구매해야 하는 경우</t>
  </si>
  <si>
    <t>고도의 기술성이 요구되는 IT 용역</t>
  </si>
  <si>
    <t>단순한 시설 유지관리 용역</t>
  </si>
  <si>
    <t>* 정답 (②): 희망수량 경쟁입찰은 1인의 능력이나 생산시설로 공급이 불가능하거나 곤란한 다량의 동일 물품을 여러 업체로부터 분할 구매할 때 활용한다.</t>
  </si>
  <si>
    <t>적격심사에서 최저가 투찰자가 기준점수에 미달한 경우의 처리 방법으로 옳은 것은?</t>
  </si>
  <si>
    <t>입찰을 취소하고 재공고한다.</t>
  </si>
  <si>
    <t>예정가격을 낮추어 재입찰한다.</t>
  </si>
  <si>
    <t>차순위 투찰자를 심사한다.</t>
  </si>
  <si>
    <t>낙찰자 없이 수의계약으로 전환한다.</t>
  </si>
  <si>
    <t>* 정답 (③): 최저가 투찰자가 기준점수 미달인 경우 차순위 투찰자를 순차적으로 심사하여 기준점수 이상인 자를 낙찰자로 결정한다.</t>
  </si>
  <si>
    <t>적격심사낙찰제의 일반 절차에 관한 설명으로 옳은 것은?</t>
  </si>
  <si>
    <t>최저가 투찰자부터 적격 여부를 심사하여 적격 판정을 받은 자를 낙찰자로 결정한다.</t>
  </si>
  <si>
    <t>모든 입찰자를 동시에 평가하여 최고점자를 낙찰자로 결정한다.</t>
  </si>
  <si>
    <t>발주기관 담당자가 임의로 낙찰자를 결정한다.</t>
  </si>
  <si>
    <t>가격을 보지 않고 기술평가만으로 낙찰자를 결정한다.</t>
  </si>
  <si>
    <t>* 정답 (①): 적격심사낙찰제는 최저가 투찰자부터 순차적으로 심사하여 적격 판정을 받은 자를 낙찰자로 결정하는 방식이다. 최저가 투찰자가 부적격 판정을 받으면 차순위 투찰자에 대해 동일한 심사를 반복한다.</t>
  </si>
  <si>
    <t>종합심사낙찰제의 평가 영역에 해당하지 않는 것은?</t>
  </si>
  <si>
    <t>가격 — 입찰가격의 적정성 평가</t>
  </si>
  <si>
    <t>공사수행능력 — 시공경험·기술자 보유·재무 등</t>
  </si>
  <si>
    <t>사회적책임 — 건설안전·공정거래·지역경제 기여 등</t>
  </si>
  <si>
    <t>발주기관 담당자의 개인적 선호도</t>
  </si>
  <si>
    <t>* 정답 (④): 종합심사낙찰제는 ① 가격, ② 공사수행능력, ③ 사회적책임 등 다층적 평가 영역으로 구성된다. 발주기관 담당자의 개인적 선호는 평가 영역이 아니며 공정성 위반이다.</t>
  </si>
  <si>
    <t>희망수량 경쟁입찰에 관한 설명으로 옳은 것은?</t>
  </si>
  <si>
    <t>동일한 물품을 다수의 공급자가 일정 수량씩 공급하는 방식의 입찰로, 공급자 다수 분산을 가능하게 한다.</t>
  </si>
  <si>
    <t>단일 업체가 전량을 공급하는 방식이다.</t>
  </si>
  <si>
    <t>모든 입찰에 의무 적용되는 방식이다.</t>
  </si>
  <si>
    <t>희망수량은 발주기관이 임의로 결정하며 공급자 의사는 반영되지 않는다.</t>
  </si>
  <si>
    <t>* 정답 (①): 희망수량 경쟁입찰은 동일 물품을 다수의 공급자가 자신이 공급 가능한 수량을 제시하고 그 범위에서 분할 공급하는 방식이다. 공급 안정성 확보와 중소기업 분산 발주 효과를 동시에 추구한다.</t>
  </si>
  <si>
    <t>적격심사에서 신인도 평가의 가점·감점 사례로 옳지 않은 것은?</t>
  </si>
  <si>
    <t>최근 일정 기간 우수 시공·납품 실적이 있는 경우 가점 부여</t>
  </si>
  <si>
    <t>최근 일정 기간 부정당업자 제재를 받은 경우 감점 적용</t>
  </si>
  <si>
    <t>「공정거래법」상 시정명령 등을 받은 경우 감점 적용</t>
  </si>
  <si>
    <t>입찰참가자의 임직원 평균 연령이 높은 경우 감점 적용</t>
  </si>
  <si>
    <t>* 정답 (④): 임직원 평균 연령은 적격심사 신인도 평가 항목이 아니다. 신인도 평가는 ① 우수 실적 가점, ② 제재·위법 행위 감점, ③ 사회적 가치 실현 가점 등으로 구성된다.</t>
  </si>
  <si>
    <t>협상에 의한 계약의 낙찰자 결정 기준에 관한 설명으로 옳은 것은?</t>
  </si>
  <si>
    <t>기술평가 점수와 가격평가 점수를 합산하여 최고점자를 낙찰자로 결정한다.</t>
  </si>
  <si>
    <t>가격평가만으로 낙찰자를 결정한다.</t>
  </si>
  <si>
    <t>기술평가만으로 낙찰자를 결정한다.</t>
  </si>
  <si>
    <t>발주기관 담당자가 인터뷰만으로 낙찰자를 결정한다.</t>
  </si>
  <si>
    <t>* 정답 (①): 협상에 의한 계약은 기술평가 점수와 가격평가 점수를 합산하여 최고점자를 낙찰자로 결정한다. 협상적격자 → 우선협상대상자 → 협상 성립 → 계약 체결의 단계로 진행된다.</t>
  </si>
  <si>
    <t>입찰 결과 분석 및 이의제기의 기본 개념/원칙으로 가장 적절한 것은?</t>
  </si>
  <si>
    <t>다음 중 입찰 결과 분석 및 이의제기에 관한 설명으로 옳은 것은?</t>
  </si>
  <si>
    <t>탈락통지서(Letter of Regret)에 관한 설명으로 옳은 것은?</t>
  </si>
  <si>
    <t>입찰 방법(견적요청·입찰요청·제안요청)과 무관하게 낙찰자로 선정되지 않았음을 통보하는 문서이다.</t>
  </si>
  <si>
    <t>낙찰통지서와 동일한 서류이다.</t>
  </si>
  <si>
    <t>탈락통지서를 받으면 즉시 법적 이의신청을 제기해야 한다.</t>
  </si>
  <si>
    <t>탈락통지서에는 어떠한 정보도 포함되지 않는다.</t>
  </si>
  <si>
    <t>* 정답 (①): 탈락통지서는 입찰 방법과 관계없이 낙찰자로 선정되지 않았음을 공식적으로 통보하는 문서이며, 낙찰기업명·낙찰금액 등이 간략히 기재된다.</t>
  </si>
  <si>
    <t>디브리핑(Debriefing)에 관한 설명으로 옳은 것은?</t>
  </si>
  <si>
    <t>국내 모든 입찰에서 법적으로 의무화된 절차이다.</t>
  </si>
  <si>
    <t>입찰이의신청(Bid Protest)보다 더 공식적이고 제도화된 절차이다.</t>
  </si>
  <si>
    <t>국내에서는 국방조달 분야에서 2019년부터 규정화하여 운영하고 있으며, 전자조달 평가 공개로 일반 입찰에서 활용도는 낮다.</t>
  </si>
  <si>
    <t>국내 전자조달시스템에서는 평가 결과가 비공개이므로 디브리핑이 매우 중요하다.</t>
  </si>
  <si>
    <t>* 정답 (③): 국내 디브리핑은 국방조달 분야(2019년부터)에서만 공식 운영, 전자조달시스템의 평가 결과 완전 공개로 인해 일반 입찰에서의 활용도는 높지 않다.</t>
  </si>
  <si>
    <t>유엔(UN)의 입찰이의신청(Bid Protest) 신청 요건으로 옳은 것은?</t>
  </si>
  <si>
    <t>입찰 방법과 관계없이 모든 계약에 신청 가능하다.</t>
  </si>
  <si>
    <t>낙찰금액과 무관하게 신청 가능하다.</t>
  </si>
  <si>
    <t>RFP·ITB 방식 입찰에 한하며, 낙찰금액 20만 달러 이상인 경우 탈락통지 후 10일 이내 신청</t>
  </si>
  <si>
    <t>WTO GPA와 동일한 절차를 따른다.</t>
  </si>
  <si>
    <t>* 정답 (③): UN Bid Protest: RFP·ITB 방식, 낙찰금액 20만 달러 이상, 탈락통지 후 10일 이내 신청</t>
  </si>
  <si>
    <t>입찰이의신청의 적절한 사유에 해당하지 않는 것은?</t>
  </si>
  <si>
    <t>참가자격 심사의 위법·부당</t>
  </si>
  <si>
    <t>입찰공고 내용과 다른 평가기준 적용</t>
  </si>
  <si>
    <t>낙찰업체의 규모가 자사보다 크다는 이유</t>
  </si>
  <si>
    <t>전자입찰 시스템 오류로 인한 불이익</t>
  </si>
  <si>
    <t>* 정답 (③): 경쟁업체 규모가 크다는 사실은 이의신청의 법적 근거가 될 수 없다. 이의신청은 참가자격 심사 위법, 평가기준 위반, 절차 하자 등 법령상 근거가 있어야 한다.</t>
  </si>
  <si>
    <t>입찰이의신청 시 객관적 근거 자료로 활용되는 것에 해당하지 않는 것은?</t>
  </si>
  <si>
    <t>평가표 및 점수 산정 근거</t>
  </si>
  <si>
    <t>입찰공고 내용</t>
  </si>
  <si>
    <t>담당자의 구두 진술</t>
  </si>
  <si>
    <t>기록 문서 및 회의록</t>
  </si>
  <si>
    <t>* 정답 (③): 구두 진술은 객관적 근거 자료로서 신뢰도가 낮다. 이의신청에서는 평가표·기록 문서·공고 내용 등 서면 근거 자료가 필수적이다.</t>
  </si>
  <si>
    <t>국내 입찰이의제기에 관한 설명으로 옳은 것은?</t>
  </si>
  <si>
    <t>「국가계약법」에 명문으로 규정된 공식 절차이다.</t>
  </si>
  <si>
    <t>국가계약법령과 지방계약법령에 따른 분쟁조정 절차가 유사 제도이나, 입찰이의신청 자체는 법적으로 명시 규정이 없다.</t>
  </si>
  <si>
    <t>이의신청 시 계약담당자만 심사에 참가한다.</t>
  </si>
  <si>
    <t>이의신청이 접수되면 해당 계약은 자동으로 취소된다.</t>
  </si>
  <si>
    <t>* 정답 (②): 국내 입찰이의제기는 법적으로 명시된 규정이 없으며, 국가계약법령·지방계약법령에 따른 분쟁조정 절차가 유사 제도로 운영된다.</t>
  </si>
  <si>
    <t>국내 입찰이의신청 접수 시 심사에 참가하는 부서로 가장 포괄적으로 옳은 것은?</t>
  </si>
  <si>
    <t>계약담당자만 참가한다.</t>
  </si>
  <si>
    <t>발주기관장만이 결정한다.</t>
  </si>
  <si>
    <t>조달 담당 부서와 담당자만 아니라 감사부서·법률부서 등 관련 부서가 참가한다.</t>
  </si>
  <si>
    <t>외부 감사기관만이 참가한다.</t>
  </si>
  <si>
    <t>* 정답 (③): 이의신청이 접수되면 조달 담당부서·담당자뿐 아니라 감사부서·법률부서 등 관련 부서가 참가하므로, 명백한 위반이 확인될 경우에만 신중하게 신청해야 한다.</t>
  </si>
  <si>
    <t>WTO 정부조달협정(GPA)에서 이의제기 절차의 명칭으로 옳은 것은?</t>
  </si>
  <si>
    <t>Bid Protest</t>
  </si>
  <si>
    <t>Domestic Review Procedures</t>
  </si>
  <si>
    <t>Challenge Proceedings</t>
  </si>
  <si>
    <t>Remedies</t>
  </si>
  <si>
    <t>* 정답 (②): WTO 정부조달협정(GPA)에서는 이의제기 절차를 'Domestic Review Procedures(국내 심사절차)'로 명명하며, 회원국에 조달 과정의 불만을 제기할 수 있는 투명하고 비차별적인 국내 심사절차 운영을 의무화하고 있다.</t>
  </si>
  <si>
    <t>입찰결과 분석 시 점검해야 할 항목으로 가장 적절하지 않은 것은?</t>
  </si>
  <si>
    <t>참가자격 심사의 적정성</t>
  </si>
  <si>
    <t>평가기준 적용의 일관성</t>
  </si>
  <si>
    <t>낙찰업체 임원의 개인 신상 정보</t>
  </si>
  <si>
    <t>예정가격 결정 절차의 적정성</t>
  </si>
  <si>
    <t>* 정답 (③): 낙찰업체 임원의 개인 신상 정보는 입찰결과 분석 항목이 아니다. 분석은 절차적 적정성, 평가 공정성, 법령 준수 여부 등이 중심이다.</t>
  </si>
  <si>
    <t>탈락통지서를 통해 공급업체가 파악할 수 있는 정보로 옳은 것은?</t>
  </si>
  <si>
    <t>낙찰업체의 기술평가 세부 항목별 점수</t>
  </si>
  <si>
    <t>선정과 탈락의 이유를 낙찰금액과 자사 투찰가격 비교를 통해 대략 추정할 수 있다.</t>
  </si>
  <si>
    <t>평가위원의 명단과 점수</t>
  </si>
  <si>
    <t>낙찰업체의 세부 제안 내용</t>
  </si>
  <si>
    <t>* 정답 (②): 탈락업체는 탈락통지서에 기재된 낙찰금액과 자사 투찰가격을 비교하여 선정과 탈락의 이유를 대략 추정할 수 있다.</t>
  </si>
  <si>
    <t>「국가계약법」 등 일반 공공조달을 기준으로 할 때, 디브리핑(Debriefing)과 입찰이의신청(Bid Protest)의 관계에 관한 설명으로 옳은 것은?</t>
  </si>
  <si>
    <t>두 절차는 동일한 제도이다.</t>
  </si>
  <si>
    <t>디브리핑이 입찰이의신청보다 더 공식적이고 법적 효력이 강하다.</t>
  </si>
  <si>
    <t>디브리핑은 비공식적 절차이며, 입찰이의신청은 더 공식적이고 제도화된 절차이다.</t>
  </si>
  <si>
    <t>입찰이의신청 후에만 디브리핑을 신청할 수 있다.</t>
  </si>
  <si>
    <t>* 정답 (③): 일반 조달(국가계약법) 기준 디브리핑은 비공식 피드백 절차이며, 입찰이의신청은 공식적인 법적 구제 수단이다. (단, 방위사업청은 예외적으로 디브리핑을 공식 제도로 운영 중)</t>
  </si>
  <si>
    <t>이의제기 처리 과정에서 핵심 원칙으로 옳은 것은?</t>
  </si>
  <si>
    <t>이의신청자의 요구를 전적으로 수용한다.</t>
  </si>
  <si>
    <t>절차적 정당성과 판단의 일관성이 핵심 원칙으로 작용한다.</t>
  </si>
  <si>
    <t>동일 유형 사안이라도 사안별로 다른 판단을 내릴 수 있다.</t>
  </si>
  <si>
    <t>처리 속도가 가장 중요한 기준이다.</t>
  </si>
  <si>
    <t>* 정답 (②): 이의제기 처리에서는 절차적 정당성과 판단의 일관성이 핵심이다. 동일 유형의 사안에 다른 판단이 이루어질 경우 행정 신뢰도가 저하된다.</t>
  </si>
  <si>
    <t>입찰결과 분석의 주요 점검 요소로 가장 포괄적으로 옳은 것은?</t>
  </si>
  <si>
    <t>낙찰 가격만을 중점 분석한다.</t>
  </si>
  <si>
    <t>참여 구조 분석, 가격·점수 구조 분석, 절차 준수 여부 점검을 종합적으로 실시한다.</t>
  </si>
  <si>
    <t>참가업체 수만을 분석한다.</t>
  </si>
  <si>
    <t>낙찰업체의 기술점수만을 분석한다.</t>
  </si>
  <si>
    <t>* 정답 (②): 입찰결과 분석은 ① 참여 구조(업체 수·경쟁률·규모), ② 가격·점수 구조(낙찰가 적정성·점수 분포), ③ 절차 준수 여부 등을 종합적으로 점검해야 한다.</t>
  </si>
  <si>
    <t>공급업체 관점에서 입찰결과 분석의 활용 목적으로 적합하지 않은 것은?</t>
  </si>
  <si>
    <t>낙찰자·낙찰가격·평가점수 등을 분석하여 향후 입찰전략에 반영한다.</t>
  </si>
  <si>
    <t>자사의 평가 점수와 경쟁사의 점수를 비교하여 강·약점을 파악한다.</t>
  </si>
  <si>
    <t>사후 분쟁·이의신청 사유 발견 시 적절한 절차로 이의를 제기한다.</t>
  </si>
  <si>
    <t>입찰결과는 분석할 가치가 없으므로 단순 보관만 한다.</t>
  </si>
  <si>
    <t>* 정답 (④): 입찰결과 분석은 향후 입찰전략 수립, 경쟁력 강화, 이의신청 사유 발견 등 다양한 목적으로 활용되는 핵심 활동이다. 단순 보관은 분석의 가치를 살리지 못한다.</t>
  </si>
  <si>
    <t>「국가계약법」상 이의신청의 시한에 관한 설명으로 옳은 것은?</t>
  </si>
  <si>
    <t>이의신청 원인 행위가 있은 날부터 15일 이내 또는 그 행위가 있음을 안 날부터 10일 이내에 해당 중앙관서의 장에게 제기해야 한다.</t>
  </si>
  <si>
    <t>이의신청은 원인 행위가 있은 날부터 1년 이내에 언제든지 제기할 수 있다.</t>
  </si>
  <si>
    <t>이의신청은 시한이 없으며 자유롭게 제기할 수 있다.</t>
  </si>
  <si>
    <t>이의신청은 낙찰자 결정 후 30일 이내에만 제기할 수 있다.</t>
  </si>
  <si>
    <t>* 정답 (①): 「국가계약법」상 이의신청은 ① 원인 행위가 있은 날부터 15일 이내, ② 그 행위가 있음을 안 날부터 10일 이내 중 이른 시점까지 제기해야 한다. 시한 도과 시 이의신청권이 소멸된다.</t>
  </si>
  <si>
    <t>「국가계약법」에 근거한 분쟁조정 기구이다.</t>
  </si>
  <si>
    <t>위원회 조정안을 당사자가 수락하면 합의의 효력이 발생한다.</t>
  </si>
  <si>
    <t>조정위원회의 결정은 당사자 합의 없이도 법적 강제력을 갖는다.</t>
  </si>
  <si>
    <t>* 정답 (④): 분쟁조정위원회의 조정안은 당사자가 수락해야 효력이 발생하는 합의 기반 절차이다. 강제력 있는 결정은 행정심판·행정소송·중재 등 별도 절차에서 가능하다.</t>
  </si>
  <si>
    <t>공급업체가 활용할 수 있는 분쟁 해결 수단의 다층 구조에 관한 설명으로 옳은 것은?</t>
  </si>
  <si>
    <t>이의신청 → 분쟁조정위원회 재심 → 행정심판·행정소송 → 민사소송 등 다단계 구제 수단이 존재한다.</t>
  </si>
  <si>
    <t>모든 공공조달 분쟁은 헌법재판소가 최종 판단한다.</t>
  </si>
  <si>
    <t>* 정답 (①): 공급업체는 ① 이의신청, ② 분쟁조정위원회 재심, ③ 행정심판·행정소송, ④ 민사소송, ⑤ 중재 등 다층적 수단을 사안 성격에 따라 선택할 수 있다.</t>
  </si>
  <si>
    <t>입찰결과 사후 검토 시 부적절한 행위에 해당하는 것은?</t>
  </si>
  <si>
    <t>자사 평가점수와 경쟁사 점수를 비교하여 약점을 보완한다.</t>
  </si>
  <si>
    <t>평가위원에게 직접 연락해 평가 사유를 추궁한다.</t>
  </si>
  <si>
    <t>공식 절차(이의신청·정보공개청구)를 통해 평가 사유를 확인한다.</t>
  </si>
  <si>
    <t>향후 동일 발주기관 입찰 참여 시 학습 자료로 활용한다.</t>
  </si>
  <si>
    <t>* 정답 (②): 평가위원에게 직접 연락하는 행위는 사후접촉으로 부적절하며, 평가 공정성·이해상충 방지 원칙에 정면으로 반한다. 평가 사유 확인은 공식 절차(이의신청·정보공개청구)를 통해 진행해야 한다.</t>
  </si>
  <si>
    <t>(계약예규) 협상에 의한 계약체결기준상 계약담당공무원은 협상이 성립된 후 며칠 이내에 계약을 체결하여야 하는가?</t>
  </si>
  <si>
    <t>3일</t>
  </si>
  <si>
    <t>5일</t>
  </si>
  <si>
    <t>7일</t>
  </si>
  <si>
    <t>10일</t>
  </si>
  <si>
    <t>* 정답 (④): 재정경제부 계약예규 「협상에 의한 계약체결기준」 제15조(계약체결 및 이행)에 따르면 계약담당공무원은 협상이 성립된 후 10일 이내에 계약을 체결하여야 한다.</t>
  </si>
  <si>
    <t>공공조달관리사 수험자용 예제문제 / 「협상에 의한 계약체결기준」 제15조</t>
  </si>
  <si>
    <t>공공계약관리 - 1. 계약관리 일반 절차</t>
  </si>
  <si>
    <t>공공계약관리에서 발주기관과 계약상대자가 준수해야 할 계약관리의 기본원칙으로 가장 거리가 먼 것은?</t>
  </si>
  <si>
    <t>계약내용의 상호 준수 원칙</t>
  </si>
  <si>
    <t>발주기관의 일방적 지시 우선 원칙</t>
  </si>
  <si>
    <t>대등한 지위에서의 계약체결·이행 원칙</t>
  </si>
  <si>
    <t>신의성실의 원칙</t>
  </si>
  <si>
    <t>* 정답 (②): 국가계약법 제5조는 계약이 상호 대등한 입장에서 당사자의 합의에 따라 체결되고, 신의성실 원칙에 따라 이행되어야 함을 규정함. 발주기관의 일방적 지시 우선은 이 원칙에 반함.</t>
  </si>
  <si>
    <t>계약관리 원칙에 따라 계약담당공무원이 계약 이행 중 준수해야 할 사항으로 옳은 것은?</t>
  </si>
  <si>
    <t>계약문서에 없는 사항도 구두로만 지시하여 이행시킨다</t>
  </si>
  <si>
    <t>계약상대자의 이의제기를 원천적으로 차단한다</t>
  </si>
  <si>
    <t>계약상대자와 대등한 입장에서 계약내용을 신의성실하게 이행하도록 관리한다</t>
  </si>
  <si>
    <t>발주기관 발주기관의 필요에 따라 사전에 통보한 후 계약조건을 변경할 수 있다</t>
  </si>
  <si>
    <t>* 정답 (③): 국가계약법 제5조의 대등·신의성실 원칙에 따른 것임.</t>
  </si>
  <si>
    <t>대등한 계약 원칙과 관련하여 국가계약법 제5조가 금지하는 행위는?</t>
  </si>
  <si>
    <t>계약금액을 명시하는 행위</t>
  </si>
  <si>
    <t>하자담보책임기간을 정하는 행위</t>
  </si>
  <si>
    <t>계약기간을 정하는 행위</t>
  </si>
  <si>
    <t>부당한 특약 또는 조건을 정하여 계약상대자의 계약상 이익을 부당하게 제한하는 행위</t>
  </si>
  <si>
    <t>* 정답 (④): 국가계약법 제5조제3항은 부당한 특약 등으로 계약상대자의 이익을 부당하게 제한하는 행위를 금지함.</t>
  </si>
  <si>
    <t>국가계약법 제5조제3항</t>
  </si>
  <si>
    <t>[상황] 계약담당공무원 A는 계약상대자의 이의제기를 원천 차단하고 발주기관 우위로만 계약을 운영하려 한다. 반면 계약담당공무원 B는 대등한 입장에서 신의성실하게 계약을 운영한다. 국가계약법 제5조에 비추어 옳은 평가는?</t>
  </si>
  <si>
    <t>A의 방식이 원칙에 부합한다</t>
  </si>
  <si>
    <t>두 방식 모두 원칙과 무관하다</t>
  </si>
  <si>
    <t>B의 방식이 국가계약법 제5조의 대등·신의성실 원칙에 부합한다</t>
  </si>
  <si>
    <t>A, B 방식 모두 동일하게 허용된다</t>
  </si>
  <si>
    <t>* 정답 (③): 국가계약법 제5조는 상호 대등한 입장에서의 합의와 신의성실 이행을 원칙으로 하므로, B의 운영방식이 이에 부합함.</t>
  </si>
  <si>
    <t>[상황] 발주기관이 계약체결 후 계약서에 없는 추가 조건을 계약상대자의 동의 없이 일방적으로 부과하려 한다. 국가계약법상 원칙에 비추어 옳은 설명은?</t>
  </si>
  <si>
    <t>계약상대자는 무조건 이를 수용해야 한다</t>
  </si>
  <si>
    <t>감사원의 사전승인이 있으면 언제든 가능하다</t>
  </si>
  <si>
    <t>발주기관은 우월적 지위에서 임의로 조건을 추가할 수 있다</t>
  </si>
  <si>
    <t>이는 부당특약에 해당할 수 있어 원칙적으로 금지된다</t>
  </si>
  <si>
    <t>* 정답 (④): 계약상대자의 동의 없이 이익을 부당하게 제한하는 조건을 일방적으로 부과하는 것은 국가계약법 제5조제3항의 부당특약 금지에 저촉될 수 있음.</t>
  </si>
  <si>
    <t>계약관리 계획 수립 시 포함되어야 할 요소로 가장 거리가 먼 것은?</t>
  </si>
  <si>
    <t>계약이행 일정 및 절차</t>
  </si>
  <si>
    <t>투입 자원 및 인력 계획</t>
  </si>
  <si>
    <t>하도급 업체의 재무 건전성 및 세금 납부 증명</t>
  </si>
  <si>
    <t>리스크 관리 방안</t>
  </si>
  <si>
    <t>* 정답 (③): 오답 보기에 제시된 타 기관 정보/하도급 정보은 계약관리 계획의 대상이 아니며, 오히려 취급 자체가 부적절함.</t>
  </si>
  <si>
    <t>※ 계약관리 실무상 일반원칙(프로젝트관리 방법론 참고, 특정 법령 조문 없음)</t>
  </si>
  <si>
    <t>[상황] A기관은 계약관리 계획 없이 계약을 이행하다가 납품 지연·품질 문제가 반복됐다. B기관은 착수 전 일정·자원·위험요소를 담은 계약관리 계획을 수립한 뒤 이행했다. 두 기관의 차이를 가장 잘 설명한 것은?</t>
  </si>
  <si>
    <t>계약관리 계획은 계약 종료 후에 작성해야 효과가 있다</t>
  </si>
  <si>
    <t>계약관리 계획 수립 여부와 무관하게 이행 결과는 동일하다</t>
  </si>
  <si>
    <t>계약관리 계획 수립은 오히려 이행 속도를 떨어뜨리므로 지양해야 한다</t>
  </si>
  <si>
    <t>사전 계획을 수립한 B기관이 문제를 조기에 예방·대응할 가능성이 더 높다</t>
  </si>
  <si>
    <t>* 정답 (④): 계약관리 계획은 착수 전 일정·자원·위험 요소를 사전에 검토해 문제를 예방·조기대응하기 위한 것으로, 계획 유무에 따라 이행관리의 안정성에 차이가 발생함.</t>
  </si>
  <si>
    <t>※ 계약관리 실무상 일반원칙(특정 법령 조문 없음)</t>
  </si>
  <si>
    <t>계약관리 계획에 일반적으로 포함되는 항목이 아닌 것은?</t>
  </si>
  <si>
    <t>착수·이행·종결 단계별 주요 일정</t>
  </si>
  <si>
    <t>경쟁업체의 입찰가격 수집계획</t>
  </si>
  <si>
    <t>보고 및 점검 주기</t>
  </si>
  <si>
    <t>투입인력 및 자원 계획</t>
  </si>
  <si>
    <t>* 정답 (②): 경쟁업체 정보 수집은 계약관리 계획의 항목이 아님.</t>
  </si>
  <si>
    <t>계약관리 계획은 통상 어느 시점에 수립하는 것이 바람직한가?</t>
  </si>
  <si>
    <t>계약체결 후 착수 전 단계</t>
  </si>
  <si>
    <t>입찰공고 이전</t>
  </si>
  <si>
    <t>준공 이후</t>
  </si>
  <si>
    <t>하자보수기간 종료 후</t>
  </si>
  <si>
    <t>* 정답 (①): 착수 전에 계획을 수립해야 이행 전 과정을 체계적으로 관리할 수 있음.</t>
  </si>
  <si>
    <t>[상황] 계약담당자가 계약체결 직후 별도의 계획 없이 계약상대자의 이행에만 의존하기로 했다. 이 방식의 문제점으로 가장 적절한 것은?</t>
  </si>
  <si>
    <t>계약보증금이 자동 몰수된다</t>
  </si>
  <si>
    <t>해당 계약은 취소할 수 있으나 기이행 부분에 대한 대가는 지급해야 한다</t>
  </si>
  <si>
    <t>이행 지연·품질 미달 등 리스크를 사전에 통제하기 어려워진다</t>
  </si>
  <si>
    <t>원칙적으로 금지되나 감사원의 사전 승인을 득하면 예외로 한다</t>
  </si>
  <si>
    <t>* 정답 (③): 계획 없는 방임형 관리는 리스크를 사전에 식별·통제하지 못해 이행 지연·품질 문제로 이어질 수 있음.</t>
  </si>
  <si>
    <t>다음 중 계약체결 이후 이행관리를 위한 계약관리 계획(CMP)에 통상 포함되는 항목이 아닌 것은?</t>
  </si>
  <si>
    <t>일정·비용·품질 관리 방안</t>
  </si>
  <si>
    <t>위험·하도급·변경관리 방안</t>
  </si>
  <si>
    <t>경쟁입찰 참가자격 사전등록 절차</t>
  </si>
  <si>
    <t>인력 투입 및 의사소통 체계</t>
  </si>
  <si>
    <t>* 정답 (③): 경쟁입찰 참가자격 등록은 계약체결 이전, 즉 입찰 준비 단계의 절차임. 계약관리 계획은 계약체결 '이후'의 이행관리 전반(일정·비용·품질·인력·의사소통·위험·하도급·변경관리 등)을 다룸.</t>
  </si>
  <si>
    <t>※ 계약관리 실무상 일반 개념(프로젝트관리 방법론 참고)</t>
  </si>
  <si>
    <t>[상황] A기관 계약담당자가 계약관리 계획을 수립하면서 일정·비용·품질 관리방안만 담고, 이행 중 발생할 수 있는 리스크에 대한 대응방안은 포함하지 않았다. 이 계획의 보완방향으로 가장 타당한 것은?</t>
  </si>
  <si>
    <t>위험 식별 및 대응방안을 계획에 추가로 반영한다</t>
  </si>
  <si>
    <t>위험은 발생 후에 대응하면 되므로 사전계획이 불필요하다</t>
  </si>
  <si>
    <t>일정관리 항목만 더 세분화하면 충분하다</t>
  </si>
  <si>
    <t>계약관리 계획에는 원래 위험 요소를 포함하지 않는다</t>
  </si>
  <si>
    <t>* 정답 (①): 위험관리는 계약관리 계획의 핵심 구성요소 중 하나이므로, 누락된 경우 사전에 보완하는 것이 바람직함.</t>
  </si>
  <si>
    <t>착수협의와 계약체결 자체를 비교한 설명으로 가장 옳은 것은?</t>
  </si>
  <si>
    <t>착수협의는 계약금액을 다시 산정하는 절차이다</t>
  </si>
  <si>
    <t>착수협의는 계약서 작성 자체를 대체하는 절차이다</t>
  </si>
  <si>
    <t>착수협의는 계약체결로 확정된 조건을 바탕으로, 구체적 이행방법·일정·소통체계를 조율하는 절차이다</t>
  </si>
  <si>
    <t>착수협의는 계약체결 이전에 계약조건을 재협상하는 절차이다</t>
  </si>
  <si>
    <t>* 정답 (③): 착수협의는 이미 체결된 계약조건을 전제로, 구체적인 이행방법·일정·소통체계 등 실행 세부사항을 조율하는 절차이며, 계약조건 자체를 재협상하거나 계약서를 대체하는 절차가 아님.</t>
  </si>
  <si>
    <t>착수협의에서 일반적으로 다루는 사항이 아닌 것은?</t>
  </si>
  <si>
    <t>보고·점검 체계</t>
  </si>
  <si>
    <t>현장대리인 등 담당자 지정</t>
  </si>
  <si>
    <t>착수시점 및 주요 일정</t>
  </si>
  <si>
    <t>예정가격 산정 기초자료 및 단가 조사 내역</t>
  </si>
  <si>
    <t>* 정답 (④): 경쟁사 정보는 착수협의의 대상이 아님.</t>
  </si>
  <si>
    <t>공사계약에서 착수 단계에 계약상대자가 계약담당공무원에게 통지해야 하는 것으로 옳은 것은?</t>
  </si>
  <si>
    <t>하수급인 명단만 통지</t>
  </si>
  <si>
    <t>경쟁사 정보 통지</t>
  </si>
  <si>
    <t>공사현장대리인 지명 통지</t>
  </si>
  <si>
    <t>준공예정일 통지 생략</t>
  </si>
  <si>
    <t>* 정답 (③): 계약상대자는 적격한 공사현장대리인을 지명하여 계약담당공무원에게 통지해야 함.</t>
  </si>
  <si>
    <t>계약예규(공사계약일반조건) 제14조</t>
  </si>
  <si>
    <t>착수협의 결과는 일반적으로 어떻게 관리하는 것이 바람직한가?</t>
  </si>
  <si>
    <t>구두로만 하고 기록하지 않는다</t>
  </si>
  <si>
    <t>문서(착수협의록 등)로 남겨 이후 이행관리의 기준으로 삼는다</t>
  </si>
  <si>
    <t>계약상대자만 보관한다</t>
  </si>
  <si>
    <t>감사원에만 제출한다</t>
  </si>
  <si>
    <t>* 정답 (②): 협의 결과를 문서화해야 추후 이행관리·분쟁예방의 기준이 됨.</t>
  </si>
  <si>
    <t>[상황] 계약담당자가 착수협의 없이 바로 이행을 진행시켰다가 이후 일정·보고체계에 대한 이견이 발생했다. 이를 예방하기 위한 조치로 가장 적절한 것은?</t>
  </si>
  <si>
    <t>계약을 무조건 해지한다</t>
  </si>
  <si>
    <t>분쟁 발생 시에만 사후 협의한다</t>
  </si>
  <si>
    <t>상급기관의 일상감사를 거쳐 계약 해지 여부를 결정한다</t>
  </si>
  <si>
    <t>착수협의를 통해 사전에 일정·보고체계 등을 문서로 명확히 합의해 둔다</t>
  </si>
  <si>
    <t>* 정답 (④): 착수협의를 통한 사전 합의·문서화가 이견을 예방하는 기본 조치임.</t>
  </si>
  <si>
    <t>계약이행 소요자원 투입계획에 일반적으로 포함되지 않는 것은?</t>
  </si>
  <si>
    <t>투입인력 및 장비 계획</t>
  </si>
  <si>
    <t>타사의 영업기밀</t>
  </si>
  <si>
    <t>납품(생산) 일정</t>
  </si>
  <si>
    <t>* 정답 (③): 타사 영업기밀은 소요자원 투입계획과 무관함.</t>
  </si>
  <si>
    <t>투입인력·자원 계획을 수립하는 이유로 가장 적절한 것은?</t>
  </si>
  <si>
    <t>계약이행을 계획대로 진행하고 지연·품질저하를 예방하기 위해</t>
  </si>
  <si>
    <t>낙찰률을 높이기 위해</t>
  </si>
  <si>
    <t>입찰참가자격을 얻기 위해</t>
  </si>
  <si>
    <t>세금을 절감하기 위해</t>
  </si>
  <si>
    <t>* 정답 (①): 소요자원 계획은 이행 지연·품질 문제를 예방하기 위한 관리 수단임.</t>
  </si>
  <si>
    <t>계약이행 중 보고(점검)일정을 정하는 주된 이유는?</t>
  </si>
  <si>
    <t>발주기관이 진행상황을 주기적으로 확인하여 문제를 조기에 파악하기 위해</t>
  </si>
  <si>
    <t>계약상대자를 처벌하기 위해</t>
  </si>
  <si>
    <t>계약금액을 증액하기 위해</t>
  </si>
  <si>
    <t>입찰을 재실시하기 위해</t>
  </si>
  <si>
    <t>* 정답 (①): 정기 보고·점검은 문제의 조기 발견·대응을 위한 절차임.</t>
  </si>
  <si>
    <t>소요자원 투입계획 수립 시 고려사항이 아닌 것은?</t>
  </si>
  <si>
    <t>투입인력의 자격·경력</t>
  </si>
  <si>
    <t>발주기관 장의 재량에 따라 별도의 지침을 적용</t>
  </si>
  <si>
    <t>납품(이행)대상 및 수량</t>
  </si>
  <si>
    <t>장비 및 자재 조달 일정</t>
  </si>
  <si>
    <t>* 정답 (②): 발주기관 장의 재량은 고려 대상이 아님.</t>
  </si>
  <si>
    <t>[상황] 계약상대자가 투입인력 계획 없이 임의로 인력을 배치해 납품 지연이 반복되고 있다. 재발 방지를 위한 조치로 가장 적절한 것은?</t>
  </si>
  <si>
    <t>계약상대자에게 지체상금을 면제하는 조건으로 이행을 독려한다</t>
  </si>
  <si>
    <t>계약을 계약기간을 강제로 연장하고 지체상금을 일괄 부과한다</t>
  </si>
  <si>
    <t>계약 초기에 구체적인 투입인력·자원 계획을 수립하고 이행 여부를 주기적으로 점검한다</t>
  </si>
  <si>
    <t>지체상금을 면제해준다</t>
  </si>
  <si>
    <t>* 정답 (③): 계획 수립과 이행점검을 통해 재발을 방지하는 것이 우선적 조치임.</t>
  </si>
  <si>
    <t>건설공사에서 수급인이 도급받은 공사의 전부 또는 주요부분의 대부분을 다른 업체에 하도급하는 것을 원칙적으로 금지하는 제도는?</t>
  </si>
  <si>
    <t>일괄하도급의 금지</t>
  </si>
  <si>
    <t>공동도급 금지</t>
  </si>
  <si>
    <t>수의계약 금지</t>
  </si>
  <si>
    <t>현장설명 금지</t>
  </si>
  <si>
    <t>* 정답 (①): 건설산업기본법은 일괄하도급을 원칙적으로 금지하고, 예외적으로 발주자의 서면승낙이 있는 경우 등에 한해 허용함.</t>
  </si>
  <si>
    <t>건설산업기본법 제29조제1항, 같은 법 시행령 제31조</t>
  </si>
  <si>
    <t>하도급계약을 체결하려는 수급인이 이행해야 하는 절차로 옳은 것은?</t>
  </si>
  <si>
    <t>하도급계약 내용을 발주자에게 통보(신고)하여야 한다</t>
  </si>
  <si>
    <t>통보 없이 자유롭게 하도급할 수 있다</t>
  </si>
  <si>
    <t>발주자의 사후 승인만으로 충분하다</t>
  </si>
  <si>
    <t>하도급은 전면 금지된다</t>
  </si>
  <si>
    <t>* 정답 (①): 건설산업기본법에 따라 수급인은 하도급계약 체결 사실을 발주자에게 통보해야 함.</t>
  </si>
  <si>
    <t>건설산업기본법 제29조</t>
  </si>
  <si>
    <t>발주자의 서면 승낙이 있으면 예외적으로 허용될 수 있는 하도급 형태는?</t>
  </si>
  <si>
    <t>공사의 품질이나 시공능률 제고를 위해 필요하다고 인정되는 재하도급 등</t>
  </si>
  <si>
    <t>하도급대금 미지급</t>
  </si>
  <si>
    <t>무자격업체에 대한 하도급</t>
  </si>
  <si>
    <t>일괄하도급의 전면 허용</t>
  </si>
  <si>
    <t>* 정답 (①): 발주자가 품질·시공능률 제고를 위해 필요하다고 인정하여 서면승낙한 경우는 일괄하도급 금지의 예외로 취급될 수 있음.</t>
  </si>
  <si>
    <t>건설산업기본법 시행령 제31조</t>
  </si>
  <si>
    <t>하도급계약 변경 시 일반적으로 요구되는 사항이 아닌 것은?</t>
  </si>
  <si>
    <t>발주자의 인지</t>
  </si>
  <si>
    <t>변경된 하도급계약 내용의 통보(신고)</t>
  </si>
  <si>
    <t>원사업자가 통보 없이 임의로 소급 처리</t>
  </si>
  <si>
    <t>하도급대금 및 조건의 적정성 확인</t>
  </si>
  <si>
    <t>* 정답 (③): 하도급계약 변경도 원계약과 마찬가지로 통보 대상이며, 통보 없는 임의 처리는 절차 위반의 소지가 있음.</t>
  </si>
  <si>
    <t>[상황] 원수급인이 하도급계약금액을 변경했음에도 발주기관에 통보하지 않았다. 이에 대한 설명으로 가장 옳은 것은?</t>
  </si>
  <si>
    <t>하도급계약은 자동으로 무효가 된다</t>
  </si>
  <si>
    <t>통보 의무가 원래 없으므로 문제없다</t>
  </si>
  <si>
    <t>발주기관은 이를 확인할 권한이 없다</t>
  </si>
  <si>
    <t>하도급계약 내용(변경 포함) 통보 의무를 위반한 것으로 볼 수 있다</t>
  </si>
  <si>
    <t>* 정답 (④): 하도급계약의 변경도 통보 대상에 해당하므로, 미통보는 절차 위반 소지가 있음.</t>
  </si>
  <si>
    <t>원사업자가 발주자로부터 기성금을 지급받았을 때, 그 진척 부분에 상당하는 하도급대금을 수급사업자에게 지급해야 하는 기한으로 옳은 것은?</t>
  </si>
  <si>
    <t>특별히 정해진 기한이 없다</t>
  </si>
  <si>
    <t>다음 회계연도가 시작된 후</t>
  </si>
  <si>
    <t>기성금을 지급받은 날부터 15일 이내(그 전에 지급기일이 도래하면 그 지급기일)</t>
  </si>
  <si>
    <t>기성금을 지급받은 날부터 1개월 이내</t>
  </si>
  <si>
    <t>* 정답 (③): 원사업자는 발주자로부터 기성금 등을 지급받은 날부터 15일 이내(그보다 앞서 지급기일이 도래하면 그 지급기일)에 수급사업자에게 하도급대금을 지급해야 함.</t>
  </si>
  <si>
    <t>하도급법 제13조제3항, 건설산업기본법 제34조제1항</t>
  </si>
  <si>
    <t>[상황] 원사업자가 하도급대금 지급보증도 하지 않은 채, 정해진 지급기일을 두 차례 연속으로 넘기고도 하도급대금을 지급하지 않았다. 이러한 경우 하도급법상 발생할 수 있는 조치로 가장 옳은 것은?</t>
  </si>
  <si>
    <t>원사업자의 1회 지연은 항상 무조건 정당화된다</t>
  </si>
  <si>
    <t>발주자가 하수급인에게 하도급대금을 직접 지급할 수 있다</t>
  </si>
  <si>
    <t>수급사업자는 아무런 구제수단이 없다</t>
  </si>
  <si>
    <t>발주자는 이 문제에 전혀 관여할 수 없다</t>
  </si>
  <si>
    <t>* 정답 (②): 지급보증이 없는 상태에서 2회 이상 지급기일까지 대금을 지급하지 않은 경우 등은 발주자의 직접지급 사유에 해당함.</t>
  </si>
  <si>
    <t>하도급법 제14조</t>
  </si>
  <si>
    <t>발주기관이 원수급인의 하도급계약을 승인·확인하는 과정에서 통상 점검하지 않는 사항은?</t>
  </si>
  <si>
    <t>하수급인이 해당 공종의 등록·면허를 보유하고 있는지</t>
  </si>
  <si>
    <t>하도급 대금이 지나치게 낮게 책정되지는 않았는지</t>
  </si>
  <si>
    <t>하도급 범위와 대금지급 조건이 적정한지</t>
  </si>
  <si>
    <t>하수급인 법인의 대주주가 누구인지</t>
  </si>
  <si>
    <t>* 정답 (④): 하수급인의 대주주 구성과 같은 지분 정보는 하도급 승인의 일반적인 점검 대상이 아니며, 자격·대금 적정성·범위·지급조건 등이 핵심 점검사항임.</t>
  </si>
  <si>
    <t>건설산업기본법 제29조·제31조</t>
  </si>
  <si>
    <t>계약금액 조정 등 계약내용을 변경할 때 일반적으로 따르는 절차 순서로 옳은 것은?</t>
  </si>
  <si>
    <t>변경사유 확인 → 변경내용 협의·산정 → 변경계약서 작성·체결 → 이행 반영</t>
  </si>
  <si>
    <t>계약해지 → 재입찰 → 신규계약</t>
  </si>
  <si>
    <t>대금지급 → 검사 → 변경사유 확인</t>
  </si>
  <si>
    <t>하자보수 → 변경계약</t>
  </si>
  <si>
    <t>* 정답 (①): 변경계약은 사유 확인부터 이행 반영까지 순차적으로 이루어짐.</t>
  </si>
  <si>
    <t>국가계약법 시행령 제64조~제66조</t>
  </si>
  <si>
    <t>계약내용 변경의 대표적 사유가 아닌 것은?</t>
  </si>
  <si>
    <t>설계변경</t>
  </si>
  <si>
    <t>단순한 발주기관 해당 기관의 과거 관행 및 내부 지침을 우선 적용한다</t>
  </si>
  <si>
    <t>물가변동</t>
  </si>
  <si>
    <t>기타 계약내용의 변경(공사기간·운반거리 등)</t>
  </si>
  <si>
    <t>* 정답 (②): 과거 관행이나 부적절한 재량는 계약금액·내용 조정의 법적 사유가 될 수 없음.</t>
  </si>
  <si>
    <t>계약금액 조정 시 일반적으로 우선 확인해야 할 사항은?</t>
  </si>
  <si>
    <t>경쟁사의 가격</t>
  </si>
  <si>
    <t>계약상대자의 재무제표</t>
  </si>
  <si>
    <t>발주기관 내부 일상감사 결과</t>
  </si>
  <si>
    <t>관련 법령·계약조건상의 조정요건 충족 여부</t>
  </si>
  <si>
    <t>* 정답 (④): 조정요건(기간·비율 등) 충족 여부를 먼저 확인하는 것이 원칙임.</t>
  </si>
  <si>
    <t>변경계약 관리절차에서 요구되지 않는 것은?</t>
  </si>
  <si>
    <t>변경 없이 구두로만 처리</t>
  </si>
  <si>
    <t>변경사유 및 근거 문서화</t>
  </si>
  <si>
    <t>변경 전후 계약금액·기간 등 비교</t>
  </si>
  <si>
    <t>관련 서류(변경계약서 등) 준비</t>
  </si>
  <si>
    <t>* 정답 (①): 구두 처리만으로는 계약변경의 근거를 남길 수 없어 부적절함.</t>
  </si>
  <si>
    <t>[상황] 설계변경 사유가 발생했으나 계약담당자가 별도 절차 없이 구두로만 변경을 지시했다. 문제점으로 가장 적절한 것은?</t>
  </si>
  <si>
    <t>변경계약 절차(문서화·계약금액조정 등)를 거치지 않아 분쟁의 소지가 있다</t>
  </si>
  <si>
    <t>해당 계약은 해제되며, 기이행분에 대한 정산 절차만 남게 된다</t>
  </si>
  <si>
    <t>법적으로 전혀 문제없다</t>
  </si>
  <si>
    <t>변경계약 미체결을 사유로 지연된 기간은 지체상금 산정에서 제외된다</t>
  </si>
  <si>
    <t>* 정답 (①): 절차를 거치지 않은 구두 변경은 추후 분쟁 시 근거자료 부족으로 이어질 수 있음.</t>
  </si>
  <si>
    <t>물가변동으로 인한 계약금액 조정을 신청하기 위해 충족해야 하는 기간·등락률 요건으로 옳은 것은?</t>
  </si>
  <si>
    <t>계약체결일로부터 90일 이상 경과하고, 등락률이 3% 이상일 것</t>
  </si>
  <si>
    <t>계약체결일로부터 60일 이상 경과하고, 등락률이 5% 이상일 것</t>
  </si>
  <si>
    <t>기간 요건 없이 등락률 1%만 넘으면 조정 가능</t>
  </si>
  <si>
    <t>계약체결일로부터 30일 이상 경과하면 등락률과 무관하게 조정 가능</t>
  </si>
  <si>
    <t>* 정답 (①): 물가변동으로 인한 계약금액 조정은 계약체결일(또는 직전 조정기준일)로부터 90일 이상 경과하고, 동시에 품목조정률 또는 지수조정률이 3% 이상 증감해야 신청할 수 있음.</t>
  </si>
  <si>
    <t>물가변동 조정 요건 중 '기간 요건'과 '등락률 요건'의 관계에 대한 설명으로 가장 옳은 것은?</t>
  </si>
  <si>
    <t>두 요건은 각각 별도로 충족되어도 무방하며, 하나만 충족하면 조정이 가능하다</t>
  </si>
  <si>
    <t>두 요건을 동시에 충족한 날을 '조정기준일'로 보며, 둘 다 충족해야 조정이 가능하다</t>
  </si>
  <si>
    <t>등락률 요건만 있으면 충분하고 기간 요건은 폐지되었다</t>
  </si>
  <si>
    <t>기간 요건과 등락률 요건은 담당 공무원의 재량으로 생략할 수 있다</t>
  </si>
  <si>
    <t>* 정답 (②): 기간 요건(90일 이상 경과)과 등락률 요건(3% 이상 증감)은 동시에 충족되어야 하며, 두 요건이 모두 충족된 날을 조정기준일로 봄. 어느 하나만으로는 조정 대상이 되지 않음.</t>
  </si>
  <si>
    <t>물가변동 조정 방법 중 '품목조정률' 방식에 대한 설명으로 가장 적절한 것은?</t>
  </si>
  <si>
    <t>계약금액을 구성하는 모든 품목 또는 비목의 실제 가격 변동을 조사하여 등락률을 산정하는 방식이다</t>
  </si>
  <si>
    <t>비목군을 편성하고 각 비목군의 지수 변동만을 반영하는 방식이다</t>
  </si>
  <si>
    <t>발주기관이 등락률과 무관하게 임의로 정하는 방식이다</t>
  </si>
  <si>
    <t>한국은행 생산자물가지수만을 그대로 적용하는 방식이다</t>
  </si>
  <si>
    <t>* 정답 (①): 품목조정률 방식은 계약금액을 구성하는 개별 품목·비목의 실제 가격 등락을 각각 조사하여 산정하는 방식으로, 비목군별 지수를 활용하는 지수조정률 방식과 구별됨.</t>
  </si>
  <si>
    <t>정부 계약 이행 중 물가변동에 따른 계약금액 조정(Escalation)에 대한 설명으로 가장 올바른 것은?</t>
  </si>
  <si>
    <t>계약 체결 후 90일이 경과하고 통계청이 발표하는 단순 소비자물가지수 변동률이 3% 이상 증감하면 즉시 계약금액을 일괄 조정한다.</t>
  </si>
  <si>
    <t>계약금액을 조정하기 위해서는 원칙적으로 계약 체결일로부터 90일 이상 경과하고, 법정 품목조정률 또는 지수조정률이 3% 이상 증감해야 한다.</t>
  </si>
  <si>
    <t>계약금액 조정 방식은 원칙적으로 품목조정률을 우선 적용하며, 발주기관이 동의하는 경우에만 지수조정률을 예외적으로 적용한다.</t>
  </si>
  <si>
    <t>특정 원자재 가격이 단기간에 비정상적으로 급등하더라도 계약체결 후 90일 이내에는 계약금액을 조정할 수 있는 예외 조항이 없다.</t>
  </si>
  <si>
    <t>* 정답 (②): 물가변동에 의한 계약금액 조정은 '계약 체결일로부터 90일 이상 경과'와 '품목/지수조정률 3% 이상 증감'이라는 두 가지 법정 요건을 동시에 충족해야 합니다. (오답 노트: ① 단순 소비자물가지수가 아닌 산출내역서 비목 기준의 품목/지수조정률 적용, ③ 발주기관 동의와 무관하게 '계약상대자가 원하는 경우' 지수조정률 적용, ④ 특정 원자재 급등 시 단품슬라이딩 제도를 통해 예외적 조정 가능)</t>
  </si>
  <si>
    <t>「국가계약법 시행령」 제64조</t>
  </si>
  <si>
    <t>변경계약 절차 실행 단계에서 계약담당자가 준비해야 할 서류로 가장 거리가 먼 것은?</t>
  </si>
  <si>
    <t>변경된 내역서(설계변경 등)</t>
  </si>
  <si>
    <t>타 계약 건의 영업비밀 서류</t>
  </si>
  <si>
    <t>변경 사유를 증명하는 서류</t>
  </si>
  <si>
    <t>변경계약서(또는 변경 합의서)</t>
  </si>
  <si>
    <t>* 정답 (②): 타 계약의 영업비밀 서류는 해당 변경계약과 무관함.</t>
  </si>
  <si>
    <t>국가계약법 시행령 제65조</t>
  </si>
  <si>
    <t>계약금액이 변경되는 경우 일반관리비·이윤의 적용 원칙은?</t>
  </si>
  <si>
    <t>산출내역서상의 비율을 적용하되 법정 요율을 초과할 수 없다</t>
  </si>
  <si>
    <t>적용하지 않는다</t>
  </si>
  <si>
    <t>발주기관이 임의로 정한다</t>
  </si>
  <si>
    <t>항상 법정 최고요율을 적용한다</t>
  </si>
  <si>
    <t>* 정답 (①): 기존 계약의 산출내역서상 비율을 따르되 법정 요율 상한을 넘을 수 없음.</t>
  </si>
  <si>
    <t>변경계약 체결 후 이행 단계에서 해야 할 조치로 옳은 것은?</t>
  </si>
  <si>
    <t>기존 계약대로만 이행한다</t>
  </si>
  <si>
    <t>변경사항을 계약상대자에게만 알리지 않는다</t>
  </si>
  <si>
    <t>변경된 계약조건을 계약당사자에게 명확히 설명하고 이행에 반영한다</t>
  </si>
  <si>
    <t>아무 조치도 필요 없다</t>
  </si>
  <si>
    <t>* 정답 (③): 변경된 조건이 실제 이행에 반영되도록 관리해야 함.</t>
  </si>
  <si>
    <t>변경계약 절차 실행 시 유의사항이 아닌 것은?</t>
  </si>
  <si>
    <t>변경 전후 내용을 문서로 남김</t>
  </si>
  <si>
    <t>계약상대자의 동의 없이 임의로 확정 통보</t>
  </si>
  <si>
    <t>계약금액 증액의 경우 예산 범위 내인지 확인</t>
  </si>
  <si>
    <t>일정 규모 이상 증액 시 내부 승인절차 확인</t>
  </si>
  <si>
    <t>* 정답 (②): 계약변경은 원칙적으로 계약상대자와의 협의·동의 절차를 거쳐야 함.</t>
  </si>
  <si>
    <t>[상황] 설계변경으로 계약금액이 10% 이상 증액되는데 내부 승인절차 없이 계약담당자가 단독으로 처리했다. 이에 대한 평가로 가장 옳은 것은?</t>
  </si>
  <si>
    <t>반드시 재입찰해야 한다</t>
  </si>
  <si>
    <t>대규모 증액에 대한 내부 통제(소속 중앙관서의 장 승인 등) 절차를 누락한 것으로 볼 수 있다</t>
  </si>
  <si>
    <t>아무 문제 없다</t>
  </si>
  <si>
    <t>* 정답 (③): 일정 비율 이상의 증액은 내부 통제 절차를 거치는 것이 원칙임.</t>
  </si>
  <si>
    <t>설계변경으로 계약서에 없던 신규 비목이 발생했고 그 사유가 계약상대자의 책임이 아닌 경우, 해당 비목의 단가 산정 방법으로 옳은 것은?</t>
  </si>
  <si>
    <t>계약상대자가 제시하는 금액을 그대로 인정한다</t>
  </si>
  <si>
    <t>설계변경 당시를 기준으로 산정한 단가에 낙찰률을 곱한 금액으로 한다</t>
  </si>
  <si>
    <t>예정가격 산정 당시의 단가를 그대로 적용한다</t>
  </si>
  <si>
    <t>단가 산정 없이 발주기관이 일방적으로 금액을 정한다</t>
  </si>
  <si>
    <t>* 정답 (②): 계약서에 없는 신규 비목의 단가는 설계변경 당시를 기준으로 산정한 단가에 낙찰률을 곱한 금액으로 하는 것이 원칙임.</t>
  </si>
  <si>
    <t>공사 및 용역 장기 계약 이행 중, 국가계약법령에 따라 물가 변동의 사유로 '계약금액 조정(Escalation, 에스컬레이션)'을 신청할 수 있는 최소 법정 요건은?</t>
  </si>
  <si>
    <t>계약체결일로부터 60일 이상 경과 및 지수조정률 2% 이상 증감</t>
  </si>
  <si>
    <t>계약체결일로부터 120일 이상 경과 및 지수조정률 5% 이상 증감</t>
  </si>
  <si>
    <t>계약체결일로부터 180일 이상 경과 및 지수조정률 1% 이상 증감</t>
  </si>
  <si>
    <t>계약체결일로부터 90일 이상 경과 및 지수조정률 3% 이상 증감</t>
  </si>
  <si>
    <t>* 정답 (④): 시중 물가가 급격히 올라 업체의 손실이 커지는 것을 막기 위해, 원칙적으로 계약체결일 기준 '90일'이 지나고, 품목(지수)조정률이 '3%' 이상 오르거나 내린 경우 계약 금액을 조정할 수 있습니다.</t>
  </si>
  <si>
    <t>설계변경으로 인한 계약금액 조정 및 단가 산정 방식에 대한 설명으로 가장 올바른 것은?</t>
  </si>
  <si>
    <t>계약상대자의 새로운 기술 사용으로 공사비가 현저히 절감된 경우, 그 절감액의 30%를 계약상대자에게 보상금 성격으로 지급(또는 감액 면제)한다.</t>
  </si>
  <si>
    <t>설계변경으로 물량이 증가한 경우, 원래의 계약단가가 발주기관의 예정가격단가보다 높더라도 무조건 기존 계약단가를 적용해야 한다.</t>
  </si>
  <si>
    <t>계약상대자가 물량내역서를 직접 작성한 경우, 본인의 누락이나 오류를 이유로 언제든지 설계변경과 그에 따른 계약금액 증액 조정을 요구할 수 있다.</t>
  </si>
  <si>
    <t>설계변경 당시를 기준으로 산정한 신규 비목의 단가는 낙찰률을 고려하지 않고 100% 전액을 계약금액에 그대로 반영해야 한다.</t>
  </si>
  <si>
    <t>* 정답 (①): 신기술 도입으로 공사비가 절감되었을 때 발주기관이 절감액을 100% 감액하는 것이 아니라, 신기술 개발을 장려하기 위해 절감액의 30%를 계약상대자에게 인센티브로 보상합니다. (오답 노트: ② 계약단가가 예정가격단가보다 높은 경우 증가된 물량은 '예정가격단가'를 적용, ③ 내역입찰 등 계약상대자가 내역서를 작성한 경우 본인 오류로 인한 증액 불가, ④ 신규 비목은 원칙적으로 설계변경 당시 단가에 '낙찰률'을 곱하여 산정)</t>
  </si>
  <si>
    <t>「국가계약법 시행령」 제65조</t>
  </si>
  <si>
    <t>[상황] A계약은 이행 도중 해제되었고, B계약은 이행 도중 해지되었다. 두 계약의 법적 효과 차이로 가장 옳은 것은?</t>
  </si>
  <si>
    <t>A계약은 소급하여 계약의 효력이 소멸되어 원상회복 문제가 발생할 수 있고, B계약은 장래에 대해서만 효력이 소멸되어 이미 이행된 부분은 그대로 유효하다</t>
  </si>
  <si>
    <t>두 계약 모두 장래에 대해서만 효력이 소멸된다는 점에서 동일하다</t>
  </si>
  <si>
    <t>A계약은 장래효, B계약은 소급효를 가진다</t>
  </si>
  <si>
    <t>두 계약 모두 소급하여 효력이 소멸된다는 점에서 동일하다</t>
  </si>
  <si>
    <t>* 정답 (①): 해제는 소급효를 가져 원상회복 문제가 발생할 수 있고, 해지는 장래효만 가져 이미 이행된 부분의 효력은 유지됨.</t>
  </si>
  <si>
    <t>발주기관이 공사계약을 해제·해지하는 경우, 계약상대자가 준수해야 할 사후조치가 아닌 것은?</t>
  </si>
  <si>
    <t>대여품을 지체 없이 반환한다</t>
  </si>
  <si>
    <t>기성부분에 대한 대가를 임의로 청구한다</t>
  </si>
  <si>
    <t>관급재료 중 미사용분을 반환한다</t>
  </si>
  <si>
    <t>공사를 즉시 중지하고 자재·기구를 철거한다</t>
  </si>
  <si>
    <t>* 정답 (②): 기성부분 대가는 발주기관이 검사·인수한 부분에 한해 지급되는 것이지, 계약상대자가 임의로 청구할 사항이 아님.</t>
  </si>
  <si>
    <t>계약예규(공사계약일반조건) 제44조제3항</t>
  </si>
  <si>
    <t>계약이 해제·해지되고 기성부분이 검사·인수된 경우 처리는?</t>
  </si>
  <si>
    <t>기성부분도 반환해야 한다</t>
  </si>
  <si>
    <t>인수된 부분에 상당하는 대가를 계약상대자에게 지급한다</t>
  </si>
  <si>
    <t>대가를 전혀 지급하지 않는다</t>
  </si>
  <si>
    <t>전체 계약금액을 지급한다</t>
  </si>
  <si>
    <t>* 정답 (②): 인수된 기성부분에 대해서는 그에 상당하는 대가가 지급됨.</t>
  </si>
  <si>
    <t>계약예규(공사계약일반조건) 제44조제4항</t>
  </si>
  <si>
    <t>계약해제·해지 사유에 해당하지 않는 것은?</t>
  </si>
  <si>
    <t>담합 등 불공정행위 적발</t>
  </si>
  <si>
    <t>부도 등으로 이행이 불가능한 경우</t>
  </si>
  <si>
    <t>정당한 이유 없는 계약불이행</t>
  </si>
  <si>
    <t>단순 물가의 소폭 상승</t>
  </si>
  <si>
    <t>* 정답 (④): 단순 물가변동은 계약금액 조정 사유이지 해제·해지 사유가 아님.</t>
  </si>
  <si>
    <t>[상황] 계약이 해지되면서 계약상대자에게 지급된 선금 중 미정산 잔액이 남아 있다. 이 경우 처리는?</t>
  </si>
  <si>
    <t>기성부분 대가에서 무조건 전액 몰수한다</t>
  </si>
  <si>
    <t>발주기관이 대신 부담한다</t>
  </si>
  <si>
    <t>반환 의무가 전혀 없다</t>
  </si>
  <si>
    <t>선금 잔액에 약정이자를 가산하여 반환하되, 기성부분 대가와 상계할 수 있다</t>
  </si>
  <si>
    <t>* 정답 (④): 미정산 선금 잔액은 약정이자를 가산해 반환하며, 기성부분 대가와 상계 처리될 수 있음.</t>
  </si>
  <si>
    <t>계약예규(공사계약일반조건) 제44조제6항</t>
  </si>
  <si>
    <t>계약 해지의 원인이 '계약상대자의 귀책'인 경우와 '발주기관의 사정'인 경우를 비교한 설명으로 가장 옳은 것은?</t>
  </si>
  <si>
    <t>원인이 무엇이든 계약상대자는 항상 부정당업자로 제재받는다</t>
  </si>
  <si>
    <t>계약상대자 귀책 시에는 제재적 조치(보증금 귀속 등)가 뒤따르지만, 발주기관 사정으로 인한 해지는 계약상대자에게 불이익을 주지 않는 방향으로 처리된다</t>
  </si>
  <si>
    <t>발주기관 사정으로 해지되어도 계약상대자는 기이행분에 대한 대가를 받을 수 없다</t>
  </si>
  <si>
    <t>두 경우 모두 계약상대자에게 손실을 보상해줄 의무는 발생하지 않는다</t>
  </si>
  <si>
    <t>* 정답 (②): 계약상대자의 귀책사유로 해지되면 보증금 국고귀속·부정당업자 제재 등 불이익 조치가 따르는 반면, 발주기관 사정으로 인한 해지는 계약상대자에게 불이익이 가지 않도록 기이행분 대가 지급, 손실 보상 등의 방향으로 처리됨.</t>
  </si>
  <si>
    <t>계약예규(공사계약일반조건) 제44조 등, 국가계약법 시행령 제75조·제76조</t>
  </si>
  <si>
    <t>계약상대자의 귀책사유로 발주기관에 손해가 발생한 경우 일반적인 처리 원칙은?</t>
  </si>
  <si>
    <t>제3자가 책임진다</t>
  </si>
  <si>
    <t>손해배상 책임은 발생하지 않는다</t>
  </si>
  <si>
    <t>발주기관이 모든 손해를 부담한다</t>
  </si>
  <si>
    <t>계약상대자는 그 손해를 배상할 책임을 진다</t>
  </si>
  <si>
    <t>* 정답 (④): 채무불이행 등 귀책사유가 있는 당사자가 손해배상 책임을 지는 것이 원칙임.</t>
  </si>
  <si>
    <t>민법 제390조</t>
  </si>
  <si>
    <t>지체상금과 별도로 발주기관이 실손해에 대한 배상을 청구할 수 있는 경우는?</t>
  </si>
  <si>
    <t>지체상금과 손해배상은 항상 무제한 중복 청구 가능하다</t>
  </si>
  <si>
    <t>지체상금을 초과하는 손해가 계약상대자의 귀책사유로 발생했음이 입증되는 등 계약조건에서 정한 경우</t>
  </si>
  <si>
    <t>어떤 경우에도 불가능하다</t>
  </si>
  <si>
    <t>계약상대자의 요청이 있어야만 가능하다</t>
  </si>
  <si>
    <t>* 정답 (②): 지체상금은 손해배상액의 예정 성격이 있으나, 계약조건에서 정한 범위 내에서 실손해에 대한 추가 청구가 문제될 수 있음.</t>
  </si>
  <si>
    <t>민법 제390조·제750조</t>
  </si>
  <si>
    <t>손해배상 청구 절차에서 가장 먼저 이루어져야 하는 것은?</t>
  </si>
  <si>
    <t>손해의 발생 사실 및 귀책사유 확인</t>
  </si>
  <si>
    <t>계약 해지</t>
  </si>
  <si>
    <t>하자보수보증금 몰취</t>
  </si>
  <si>
    <t>지체상금 부과</t>
  </si>
  <si>
    <t>* 정답 (①): 손해배상 절차는 손해 발생 사실과 귀책사유 확인이 선행되어야 함.</t>
  </si>
  <si>
    <t>손해배상 사후조치로 적절하지 않은 것은?</t>
  </si>
  <si>
    <t>증빙 없이 임의로 금액을 확정하여 몰취</t>
  </si>
  <si>
    <t>배상 청구 및 협의</t>
  </si>
  <si>
    <t>필요시 법적 절차 진행</t>
  </si>
  <si>
    <t>손해액 산정 근거 문서화</t>
  </si>
  <si>
    <t>* 정답 (①): 손해배상은 객관적 근거에 따라 산정·청구되어야 하며 임의 확정·몰취는 부적절함.</t>
  </si>
  <si>
    <t>[상황] 계약상대자의 시공 하자로 제3자에게 손해가 발생했다. 이 경우 원칙적인 책임 소재는?</t>
  </si>
  <si>
    <t>발주기관이 전적으로 책임진다</t>
  </si>
  <si>
    <t>제3자가 책임을 진다</t>
  </si>
  <si>
    <t>아무도 책임지지 않는다</t>
  </si>
  <si>
    <t>시공상 귀책사유가 있는 계약상대자가 1차적으로 배상책임을 진다</t>
  </si>
  <si>
    <t>* 정답 (④): 귀책사유가 있는 계약상대자가 원칙적으로 손해배상 책임을 부담함.</t>
  </si>
  <si>
    <t>민법 제390조, 제750조</t>
  </si>
  <si>
    <t>공공계약 분쟁이 발생했을 때 활용할 수 있는 제도가 아닌 것은?</t>
  </si>
  <si>
    <t>중재(당사자 간 합의가 있는 경우)</t>
  </si>
  <si>
    <t>국가계약분쟁조정위원회를 통한 조정</t>
  </si>
  <si>
    <t>상대방에 대한 실력행사</t>
  </si>
  <si>
    <t>* 정답 (④): 실력행사는 적법한 분쟁해결 수단이 아님.</t>
  </si>
  <si>
    <t>국가계약분쟁조정위원회에 조정을 청구할 수 있는 기한으로 옳은 것은?</t>
  </si>
  <si>
    <t>이의신청에 대한 결과를 통지받은 날부터 15일 이내</t>
  </si>
  <si>
    <t>무기한</t>
  </si>
  <si>
    <t>계약종료 후 3년 이내</t>
  </si>
  <si>
    <t>* 정답 (①): 이의신청 결과 통지일로부터 15일 이내에 조정을 청구해야 함.</t>
  </si>
  <si>
    <t>계약 관련 분쟁에서 중재를 이용하려면 필요한 전제조건은?</t>
  </si>
  <si>
    <t>감사원의 명령</t>
  </si>
  <si>
    <t>법원의 사전 허가</t>
  </si>
  <si>
    <t>계약당사자 간의 중재합의</t>
  </si>
  <si>
    <t>발주기관의 일방적 결정</t>
  </si>
  <si>
    <t>* 정답 (③): 중재법에 따른 중재는 당사자 간 중재합의가 있어야 이용 가능함.</t>
  </si>
  <si>
    <t>국가계약법 제28조</t>
  </si>
  <si>
    <t>분쟁해결절차 진행 시 유의사항이 아닌 것은?</t>
  </si>
  <si>
    <t>이의신청·조정 기한 준수</t>
  </si>
  <si>
    <t>법무 담당자 또는 전문가와의 협력</t>
  </si>
  <si>
    <t>관련 증빙자료 확보</t>
  </si>
  <si>
    <t>기한을 무시하고 임의로 늦게 대응</t>
  </si>
  <si>
    <t>* 정답 (④): 이의신청·조정에는 법정 기한이 있어 이를 준수해야 함.</t>
  </si>
  <si>
    <t>[상황] 계약상대자가 발주기관의 처분에 불복하여 절차를 밟으려 한다. 가장 먼저 검토할 절차는?</t>
  </si>
  <si>
    <t>언론에 제보한다</t>
  </si>
  <si>
    <t>이의신청 등 소정의 불복절차 및 그 기한을 확인한다</t>
  </si>
  <si>
    <t>곧바로 실력행사에 나선다</t>
  </si>
  <si>
    <t>아무 조치도 하지 않는다</t>
  </si>
  <si>
    <t>* 정답 (②): 불복 시에는 이의신청 등 소정의 절차와 기한을 우선 확인해야 함.</t>
  </si>
  <si>
    <t>공공계약 분쟁해결 절차의 일반적인 진행 순서에 대한 설명으로 가장 적절한 것은?</t>
  </si>
  <si>
    <t>분쟁이 생기면 곧바로 소송부터 제기하는 것이 원칙이다</t>
  </si>
  <si>
    <t>협의나 조정 절차는 생략하고 중재만 이용할 수 있다</t>
  </si>
  <si>
    <t>소송은 시간과 비용이 가장 적게 드는 방법이다</t>
  </si>
  <si>
    <t>당사자 간 협의를 우선 시도하고, 필요시 조정·중재를, 그래도 해결되지 않으면 소송을 최후의 수단으로 고려한다</t>
  </si>
  <si>
    <t>* 정답 (④): 분쟁 발생 시 당사자 간 협의를 우선 시도하고, 조정·중재 등을 거쳐도 해결되지 않을 때 소송을 최후 수단으로 고려하는 것이 일반적임. 소송은 상대적으로 시간·비용이 많이 소요됨.</t>
  </si>
  <si>
    <t>이의신청 절차와 국가계약분쟁조정위원회를 통한 조정 절차를 비교한 설명으로 가장 옳은 것은?</t>
  </si>
  <si>
    <t>조정은 이의신청보다 먼저 진행해야 한다</t>
  </si>
  <si>
    <t>이의신청과 조정은 완전히 동일한 절차로 어느 하나만 거치면 된다</t>
  </si>
  <si>
    <t>이의신청과 조정 모두 법원의 확정판결과 동일한 효력을 가진다</t>
  </si>
  <si>
    <t>이의신청은 처분에 대한 불복절차이고, 조정은 이의신청 결과에 이의가 있을 때 국가계약분쟁조정위원회에 청구하는 절차로 서로 단계가 다르다</t>
  </si>
  <si>
    <t>* 정답 (④): 이의신청은 발주기관의 처분에 대한 1차적 불복절차이며, 그 결과에 이의가 있는 경우 국가계약분쟁조정위원회에 조정을 청구하는 것으로 이어지는 단계별 구조를 가짐.</t>
  </si>
  <si>
    <t>정부조달계약 과정에서 불이익을 받은 업체의 권리 구제를 위한 이의신청 제도에 대한 설명으로 가장 올바른 것은?</t>
  </si>
  <si>
    <t>이의신청을 공식적으로 접수한 기관의 장은 추가적인 심층 조사를 위해 접수일로부터 60일 이내에 심사 결과를 신청인에게 통지해야 한다.</t>
  </si>
  <si>
    <t>조달계약 과정에서 불이익을 받은 업체는 금액 규모와 상관없이 추정가격 1천만 원 미만의 모든 소액 수의계약 건에 대해서도 이의신청을 제기할 수 있다.</t>
  </si>
  <si>
    <t>해당 중앙관서에 제기한 이의신청 결과에 불복하는 자는 조달정책심의위원회가 아닌 감사원에 직접 재심을 청구하는 방법 외에는 구제 수단이 없다.</t>
  </si>
  <si>
    <t>국가계약법령상 이의신청은 불이익의 원인이 되는 행위가 있었던 날부터 15일, 또는 그 행위가 있음을 안 날부터 10일 이내에 해당 중앙관서의 장에게 제기해야 한다.</t>
  </si>
  <si>
    <t>정답 (④) 국가계약법 제28조에 따라 안 날부터 10일, 있었던 날부터 15일 이내 제기 / ① 접수일로부터 15일 이내 심사·통지 / ② 소액 수의계약 등은 대상 제외 / ③ 재경부 장관 소속 국가계약분쟁조정위원회에 재심 청구 가능</t>
  </si>
  <si>
    <t>「국가계약법」 제28조 및 동법 시행령 제31조의2</t>
  </si>
  <si>
    <t>국가계약 분쟁 발생 시 효율적인 구제를 위해 국가계약분쟁조정위원회 등의 행정적 이의신청 및 조정 절차 외에, 계약체결 시점부터 당사자 간 합의(조항 명시)를 통해 정할 수 있는 사법적 성격의 대안적 분쟁 해결 방식은?</t>
  </si>
  <si>
    <t>「중재법」에 따른 중재</t>
  </si>
  <si>
    <t>「행정심판법」에 따른 행정심판</t>
  </si>
  <si>
    <t>「국가배상법」에 따른 손해배상 청구</t>
  </si>
  <si>
    <t>「하도급법」에 따른 대금 직불 청구</t>
  </si>
  <si>
    <t>* 정답 (①): 정부계약은 사법상 계약의 성격을 가지므로, 당사자 간의 합의가 있다면 소송으로 가기 전 법적 구속력을 가지는 「중재법」에 따른 중재(대한상사중재원 등)를 통해 분쟁을 해결할 수 있습니다.</t>
  </si>
  <si>
    <t>「국가계약법」 제28조의2</t>
  </si>
  <si>
    <t>공공조달 계약 과정에서 불이익을 받은 자가 해당 중앙관서의 장(발주기관)에게 이의신청을 제기하였으나, 그 심사 결과에 불복하여 재정경제부 산하에 독립적으로 설치된 위원회에 재심을 청구하고자 할 때 접수해야 하는 공식 기구의 명칭은?</t>
  </si>
  <si>
    <t>조달정책심의위원회</t>
  </si>
  <si>
    <t>국가계약분쟁조정위원회</t>
  </si>
  <si>
    <t>* 정답 (②): 이의신청에 대한 중앙관서의 장의 조치 결과에 이의가 있는 자는 재정경제부 장관 소속으로 설치된 '국가계약분쟁조정위원회'에 분쟁의 조정(재심)을 청구할 수 있습니다.</t>
  </si>
  <si>
    <t>「국가계약법」 제29조</t>
  </si>
  <si>
    <t>계약이행(납품·시공 등) 일반절차의 기본 흐름으로 옳은 것은?</t>
  </si>
  <si>
    <t>착수 → 이행(생산·시공 등) → 검사 → 인도(납품)·인수</t>
  </si>
  <si>
    <t>인도 → 착수 → 검사 → 계약체결</t>
  </si>
  <si>
    <t>검사 → 착수 → 이행 → 계약체결</t>
  </si>
  <si>
    <t>계약해지 → 이행 → 검사</t>
  </si>
  <si>
    <t>* 정답 (①): 계약이행은 착수-이행-검사-인도·인수의 순서로 진행되는 것이 기본임.</t>
  </si>
  <si>
    <t>국가계약법 시행령 제55조·제58조</t>
  </si>
  <si>
    <t>계약대상물 공급 시 계약상대자가 준수해야 할 기본 의무는?</t>
  </si>
  <si>
    <t>검사를 생략하고 바로 납품하는 것</t>
  </si>
  <si>
    <t>자신이 편한 방식대로 임의로 이행하는 것</t>
  </si>
  <si>
    <t>발주기관 담당자 개인의 구두 지시만 따르는 것</t>
  </si>
  <si>
    <t>계약서·설계서(규격서) 등 계약문서에서 정한 내용대로 이행하는 것</t>
  </si>
  <si>
    <t>* 정답 (④): 계약이행은 계약문서(계약서·설계서·규격서 등)에서 정한 바에 따라야 함.</t>
  </si>
  <si>
    <t>물품 계약에서 분할납품이 허용된 경우 대가 지급방식은?</t>
  </si>
  <si>
    <t>선불로만 지급한다</t>
  </si>
  <si>
    <t>연말에 일괄 지급한다</t>
  </si>
  <si>
    <t>분할 납품된 부분에 대해 검사 완료 후 대가 지급이 가능하다</t>
  </si>
  <si>
    <t>전체 납품 완료 후 일시 지급만 가능하다</t>
  </si>
  <si>
    <t>* 정답 (③): 분할납품이 허용된 경우 검사 완료된 부분에 대해 순차적으로 대가를 지급할 수 있음.</t>
  </si>
  <si>
    <t>계약대상물 공급 일반절차에 해당하지 않는 것은?</t>
  </si>
  <si>
    <t>검사 실시</t>
  </si>
  <si>
    <t>경쟁사 정보 수집</t>
  </si>
  <si>
    <t>계약조건에 따른 이행</t>
  </si>
  <si>
    <t>대가 청구 및 지급</t>
  </si>
  <si>
    <t>* 정답 (②): 경쟁사 정보 수집은 계약이행 절차와 무관함.</t>
  </si>
  <si>
    <t>[상황] 계약상대자가 검사를 받지 않고 바로 납품 완료로 처리해 달라고 요청했다. 이에 대한 올바른 대응은?</t>
  </si>
  <si>
    <t>계약보증금을 국고에 귀속시키고 즉시 부정당업자 제재 처분을 한다</t>
  </si>
  <si>
    <t>지체상금을 면제해 준다</t>
  </si>
  <si>
    <t>계약조건상 정해진 검사 절차를 거치도록 안내한다</t>
  </si>
  <si>
    <t>요청대로 검사를 생략해 준다</t>
  </si>
  <si>
    <t>* 정답 (③): 검사는 계약이행 확인의 필수 절차로, 임의로 생략할 수 없음.</t>
  </si>
  <si>
    <t>국가계약법 시행령 제55조</t>
  </si>
  <si>
    <t>물품 납품 시 함께 제출하는 서류로 보기 어려운 것은?</t>
  </si>
  <si>
    <t>품질·성능 확인을 위한 시험성적서</t>
  </si>
  <si>
    <t>제품의 품질을 보증하는 품질보증서</t>
  </si>
  <si>
    <t>납품 수량과 내역을 적은 납품서</t>
  </si>
  <si>
    <t>공사 착공 사실을 알리는 착공신고서</t>
  </si>
  <si>
    <t>* 정답 (④): 착공신고서는 공사계약에서 시공 개시를 알리기 위해 제출하는 서류로, 물품 납품과는 성격이 다름.</t>
  </si>
  <si>
    <t>용역계약의 이행 착수 단계에서 계약상대자가 통상 제출하는 서류의 조합으로 가장 옳은 것은?</t>
  </si>
  <si>
    <t>준공계 한 장뿐</t>
  </si>
  <si>
    <t>다음 연도 사업계획서</t>
  </si>
  <si>
    <t>입찰참가신청서와 견적서</t>
  </si>
  <si>
    <t>착수계와 과업수행계획서</t>
  </si>
  <si>
    <t>* 정답 (④): 용역계약은 착수계와 과업수행계획서를 제출함으로써 과업을 개시하는 것이 일반적임.</t>
  </si>
  <si>
    <t>[상황] 발주기관 A는 이행점검을 단순히 '문제가 생기면 확인하는 절차'로 여겨 정기점검을 실시하지 않았다. 발주기관 B는 정기·수시 점검을 병행했다. 이 차이가 계약관리에 주는 시사점으로 가장 적절한 것은?</t>
  </si>
  <si>
    <t>정기점검을 병행한 B기관이 문제를 조기에 발견·시정할 가능성이 더 높다</t>
  </si>
  <si>
    <t>이행점검은 계약상대자만 수행해야 하는 절차이다</t>
  </si>
  <si>
    <t>이행점검은 문제 발생 여부와 무관하게 계약금액에 전혀 영향을 주지 않는다</t>
  </si>
  <si>
    <t>정기점검을 생략해도 문제를 사후에 발견하는 데는 차이가 없다</t>
  </si>
  <si>
    <t>* 정답 (①): 정기·수시 점검을 병행하면 문제를 조기에 발견해 시정할 수 있는 가능성이 높아짐. 이행점검을 소홀히 하면 문제 인지가 늦어질 수 있음.</t>
  </si>
  <si>
    <t>계약이행 점검 방법으로 옳은 것은?</t>
  </si>
  <si>
    <t>점검 없이 서류만 받는다</t>
  </si>
  <si>
    <t>계약상대자의 자체 보고만 신뢰한다</t>
  </si>
  <si>
    <t>전화 확인만으로 충분하다</t>
  </si>
  <si>
    <t>감독조서 작성 등을 통한 정기·수시 점검(필요시 전문기관 위탁 가능)</t>
  </si>
  <si>
    <t>* 정답 (④): 계약담당공무원은 감독조서 작성 등을 통해 이행을 감독하며, 필요시 전문기관에 위탁할 수 있음.</t>
  </si>
  <si>
    <t>국가계약법 시행령 제54조</t>
  </si>
  <si>
    <t>이행점검 결과 계약조건 미이행이 확인된 경우 조치는?</t>
  </si>
  <si>
    <t>시정을 요구하고 필요시 지체상금 등 계약상 조치를 검토한다</t>
  </si>
  <si>
    <t>아무 조치 없이 넘어간다</t>
  </si>
  <si>
    <t>즉시 형사고발한다</t>
  </si>
  <si>
    <t>* 정답 (①): 미이행 확인 시 시정요구 및 계약상 조치(지체상금 등)를 단계적으로 검토하는 것이 원칙임.</t>
  </si>
  <si>
    <t>이행점검 시 확인 대상이 아닌 것은?</t>
  </si>
  <si>
    <t>품질·규격 적합 여부</t>
  </si>
  <si>
    <t>투입인력·자원 적정성</t>
  </si>
  <si>
    <t>투입 자재의 원산지 증명 및 시험성적서</t>
  </si>
  <si>
    <t>일정 준수 여부</t>
  </si>
  <si>
    <t>* 정답 (③): 경쟁업체 정보는 이행점검의 대상이 아님.</t>
  </si>
  <si>
    <t>[상황] 정기 점검 결과 투입인력이 계획 대비 부족한 것이 확인됐다. 적절한 조치는?</t>
  </si>
  <si>
    <t>계약상대자에게 시정을 요구하고 이행상황을 지속 점검한다</t>
  </si>
  <si>
    <t>즉시 계약을 해지한다</t>
  </si>
  <si>
    <t>대금을 선지급한다</t>
  </si>
  <si>
    <t>* 정답 (②): 경미한 이행상 문제는 우선 시정요구·지속점검을 통해 관리하는 것이 합리적임.</t>
  </si>
  <si>
    <t>계약이행 점검 보고 중, 주간 또는 월간 등 미리 정해진 주기에 따라 이루어지는 보고를 가리키는 용어로 옳은 것은?</t>
  </si>
  <si>
    <t>민원대응보고</t>
  </si>
  <si>
    <t>정기보고</t>
  </si>
  <si>
    <t>수시보고</t>
  </si>
  <si>
    <t>긴급보고</t>
  </si>
  <si>
    <t>* 정답 (②): 정기보고는 사전에 정해진 주기(주간·월간 등)에 따라 이루어지는 보고임.</t>
  </si>
  <si>
    <t>긴급 이슈 발생, 변경요청, 민원 접수 등 특정 사건이 생겼을 때 그때그때 이루어지는 보고를 무엇이라 하는가?</t>
  </si>
  <si>
    <t>결산보고</t>
  </si>
  <si>
    <t>연차보고</t>
  </si>
  <si>
    <t>* 정답 (②): 이러한 보고는 정해진 주기가 아니라 사건 발생 시점에 이루어지므로 수시보고에 해당함.</t>
  </si>
  <si>
    <t>정부계약의 적절한 이행을 확보하기 위한 감독 업무에 대한 설명으로 가장 올바른 것은?</t>
  </si>
  <si>
    <t>부실시공 방지를 위해 낙찰률 70% 미만의 정부공사라도 감독자의 수를 추가로 배치하는 것은 현행법상 금지된다.</t>
  </si>
  <si>
    <t>낙찰률 70% 미만의 정부공사에 대한 추가 감독 및 감리 비용은 당해 예산이 아닌 다음 연도 별도 예산으로 편성해야 한다.</t>
  </si>
  <si>
    <t>지방자치단체는 지역 상생을 위해 주민생활과 무관한 일반 공사라도 의무적으로 주민참여감독자를 위촉해야 한다.</t>
  </si>
  <si>
    <t>발주기관은 원칙적으로 소속 공무원을 통해 계약 이행을 감독해야 하며, 예외적으로 전문성이 요구될 때만 전문기관에 위탁할 수 있다.</t>
  </si>
  <si>
    <t>* 정답 (④): 계약 이행 감독은 원칙적으로 발주기관 소속 공무원이 직접 수행해야 하며, 관련 지식이나 전문성이 필요한 경우에 한정하여 예외적으로 '전문기관에 위탁'할 수 있습니다. 무조건 전문기관을 따로 지정해야 하는 것은 아닙니다.</t>
  </si>
  <si>
    <t>「국가계약법」 제13조</t>
  </si>
  <si>
    <t>계약이행 중 지연이 발생했을 때 부과할 수 있는 제재금은?</t>
  </si>
  <si>
    <t>입찰보증금 몰취</t>
  </si>
  <si>
    <t>계약보증금 전액 몰취(항상)</t>
  </si>
  <si>
    <t>* 정답 (①): 이행지연에 대한 제재금은 지체상금임.</t>
  </si>
  <si>
    <t>계약상대자의 책임 없는 사유(불가항력 등)로 이행이 지연된 경우 처리는?</t>
  </si>
  <si>
    <t>계약보증금이 몰취된다</t>
  </si>
  <si>
    <t>무조건 지체상금이 부과된다</t>
  </si>
  <si>
    <t>계약기간 연장이 가능하며 지체상금이 면제될 수 있다</t>
  </si>
  <si>
    <t>계약이 자동 해지된다</t>
  </si>
  <si>
    <t>* 정답 (③): 불가항력 등 계약상대자의 책임 없는 사유는 기간연장 및 지체상금 면제 대상임.</t>
  </si>
  <si>
    <t>계약예규(공사계약일반조건) 제26조</t>
  </si>
  <si>
    <t>이행상 오류(하자 등)가 발견된 경우 계약상대자가 취해야 할 조치는?</t>
  </si>
  <si>
    <t>발주기관에 감액만 요청한다</t>
  </si>
  <si>
    <t>이의신청만 하고 방치한다</t>
  </si>
  <si>
    <t>지체 없이 보완 또는 재이행한다</t>
  </si>
  <si>
    <t>납품을 포기한다</t>
  </si>
  <si>
    <t>* 정답 (③): 하자·오류 발견 시 계약상대자는 지체 없이 보완·재이행할 의무가 있음.</t>
  </si>
  <si>
    <t>조건 미이행·지연 관리에서 확인할 사항이 아닌 것은?</t>
  </si>
  <si>
    <t>계약상대자의 이전 계약 이행 실적 및 규모</t>
  </si>
  <si>
    <t>지연 사유(귀책 여부)</t>
  </si>
  <si>
    <t>지연일수 및 지체상금 산정</t>
  </si>
  <si>
    <t>시정 조치계획</t>
  </si>
  <si>
    <t>* 정답 (①): 담당자 개인 친분은 관리 대상이 아니며 오히려 배제되어야 함.</t>
  </si>
  <si>
    <t>[상황] 계약상대자가 자재 수급 문제로 일부만 납기 내 납품하고 나머지는 지연됐다. 지체상금 산정 시 원칙은?</t>
  </si>
  <si>
    <t>전체 계약금액을 기준으로 무조건 부과한다</t>
  </si>
  <si>
    <t>지연분도 전액 면제한다</t>
  </si>
  <si>
    <t>지체상금을 부과할 수 없다</t>
  </si>
  <si>
    <t>기한 내 납품·검사 완료된 부분은 지체상금 산정 대상에서 제외할 수 있다</t>
  </si>
  <si>
    <t>* 정답 (④): 성질상 분할 가능한 목적물의 경우, 기한 내 이행·검사 완료된 부분은 지체상금 산정에서 제외되는 것이 원칙임.</t>
  </si>
  <si>
    <t>계약성과관리와 단순 이행점검(모니터링)의 차이를 가장 잘 설명한 것은?</t>
  </si>
  <si>
    <t>이행점검은 계약조건 준수 여부 확인에 초점을 두고, 계약성과관리는 이행결과를 측정·분석해 개선·환류(피드백)까지 포함하는 더 넓은 개념이다</t>
  </si>
  <si>
    <t>두 개념은 완전히 동일하며 구분할 실익이 없다</t>
  </si>
  <si>
    <t>이행점검이 계약성과관리보다 더 포괄적인 개념이다</t>
  </si>
  <si>
    <t>계약성과관리는 계약체결 이전 단계에서만 이루어진다</t>
  </si>
  <si>
    <t>* 정답 (①): 이행점검이 준수 여부 확인에 가깝다면, 계약성과관리는 측정·분석·개선까지 포함하는 더 포괄적인 활동임.</t>
  </si>
  <si>
    <t>※ 프로젝트관리 방법론(PMBOK 등) 참고 개념(특정 법령 조문 없음)</t>
  </si>
  <si>
    <t>계약성과관리에서 활용할 수 있는 지표로 가장 거리가 먼 것은?</t>
  </si>
  <si>
    <t>품질(하자·불합격) 발생률</t>
  </si>
  <si>
    <t>일정 준수율</t>
  </si>
  <si>
    <t>계약상대자 하수급인의 사업자등록증명 및 법인등기부등본 기재사항</t>
  </si>
  <si>
    <t>비용(예산 대비 집행률)</t>
  </si>
  <si>
    <t>* 정답 (③): 개인 신상정보는 성과관리 지표와 무관하며 취급 자체가 부적절함.</t>
  </si>
  <si>
    <t>계약성과관리 결과를 활용하는 방식으로 옳은 것은?</t>
  </si>
  <si>
    <t>이후 유사 계약의 발주 계획이나 업체 평가에 참고자료로 활용한다</t>
  </si>
  <si>
    <t>결과를 공개하지 않고 아무 목적으로도 쓰지 않는다</t>
  </si>
  <si>
    <t>결과를 즉시 폐기한다</t>
  </si>
  <si>
    <t>계약상대자에게만 전달하고 발주기관은 활용하지 않는다</t>
  </si>
  <si>
    <t>* 정답 (①): 성과관리 결과는 이후 계약 계획·업체 평가 등에 환류(피드백)되어야 실효성이 있음.</t>
  </si>
  <si>
    <t>계약성과관리 활동에 해당하지 않는 것은?</t>
  </si>
  <si>
    <t>기록·보고</t>
  </si>
  <si>
    <t>문제점 도출 및 개선방안 마련</t>
  </si>
  <si>
    <t>이행 결과 측정 및 분석</t>
  </si>
  <si>
    <t>성과와 무관하게 담당자 임의 평가</t>
  </si>
  <si>
    <t>* 정답 (④): 객관적 지표 없이 담당자가 임의로 평가하는 것은 성과관리의 본래 취지에 반함.</t>
  </si>
  <si>
    <t>[상황] 계약 종료 후 성과분석 없이 바로 다음 계약을 발주했다. 이로 인한 문제점으로 가장 적절한 것은?</t>
  </si>
  <si>
    <t>경미한 위반이므로 별도의 시정 조치는 요구되지 않는다</t>
  </si>
  <si>
    <t>과거 이행상 문제점이 다음 계약 계획에 반영되지 못해 유사 문제가 반복될 수 있다</t>
  </si>
  <si>
    <t>* 정답 (③): 성과분석 없는 반복 발주는 과거의 문제를 되풀이할 위험이 있음.</t>
  </si>
  <si>
    <t>프로젝트 전체 범위를 계층적 구조로 잘게 나누어, 최하위 단위(작업패키지)까지 분해한 도구를 가리키는 용어는?</t>
  </si>
  <si>
    <t>KPI(핵심성과지표)</t>
  </si>
  <si>
    <t>WBS(작업분류체계)</t>
  </si>
  <si>
    <t>SLA(서비스수준협약)</t>
  </si>
  <si>
    <t>* 정답 (②): WBS(Work Breakdown Structure)는 전체 범위를 계층적으로 분할해 최하위 작업단위(작업패키지)까지 나눈 구조로, 일정·원가 산정과 자원배분의 기초자료로 쓰임.</t>
  </si>
  <si>
    <t>※ 프로젝트관리 방법론(PMBOK 등) 참고 개념</t>
  </si>
  <si>
    <t>계약 이행 중 범위나 환경 변화로 인해 WBS 수정이 필요해진 경우, 가장 바람직한 처리방식은?</t>
  </si>
  <si>
    <t>WBS 변경은 반드시 재입찰을 수반한다</t>
  </si>
  <si>
    <t>WBS는 처음 확정되면 절대 손댈 수 없다</t>
  </si>
  <si>
    <t>계약상대자가 별도 협의 없이 즉시 수정한다</t>
  </si>
  <si>
    <t>발주기관과 협의·승인 등 변경관리 절차를 거쳐 수정한다</t>
  </si>
  <si>
    <t>* 정답 (④): WBS도 다른 계약변경과 마찬가지로 정해진 변경관리 절차를 거쳐 수정하는 것이 바람직함.</t>
  </si>
  <si>
    <t>획득가치관리(EVM)에서 계획한 일정 대비 실제 진척도를 나타내는 지수는 어떤 두 값의 비율로 계산되는가?</t>
  </si>
  <si>
    <t>계획가치(PV)를 실제원가(AC)로 나눈 값</t>
  </si>
  <si>
    <t>실제원가(AC)를 계획가치(PV)로 나눈 값</t>
  </si>
  <si>
    <t>획득가치(EV)를 계획가치(PV)로 나눈 값</t>
  </si>
  <si>
    <t>실제원가(AC)를 획득가치(EV)로 나눈 값</t>
  </si>
  <si>
    <t>* 정답 (③): 일정성과지수(SPI)는 EV/PV로 산출하며, 1 이상이면 계획보다 일정이 앞서고 있음을 의미함.</t>
  </si>
  <si>
    <t>※ EVM(Earned Value Management) 기법</t>
  </si>
  <si>
    <t>어느 계약의 원가성과지수(CPI, 획득가치를 실제원가로 나눈 값)를 계산했더니 0.8이 나왔다. 이 수치가 뜻하는 바로 가장 옳은 것은?</t>
  </si>
  <si>
    <t>투입한 실제원가가 획득가치보다 많아, 예산 대비 초과 지출 상태이다</t>
  </si>
  <si>
    <t>일정이 계획보다 앞서고 있다</t>
  </si>
  <si>
    <t>실제원가가 획득가치보다 적어, 예산이 절감되고 있다</t>
  </si>
  <si>
    <t>품질 수준이 목표치를 초과 달성했다</t>
  </si>
  <si>
    <t>* 정답 (①): CPI(=EV/AC)가 1보다 작다는 것은 획득한 가치보다 실제로 투입된 원가가 더 크다는 뜻으로, 예산 초과 지출 상태를 의미함.</t>
  </si>
  <si>
    <t>계약 이행성과를 객관적 수치로 측정·관리하기 위해 설정하는 핵심성과지표(KPI)에 대한 설명으로 옳지 않은 것은?</t>
  </si>
  <si>
    <t>목표 대비 실적을 주기적으로 측정·분석하는 데 활용된다</t>
  </si>
  <si>
    <t>실적이 부진한 항목은 원인을 분석해 개선조치를 취한다</t>
  </si>
  <si>
    <t>계약 이행 결과를 객관적으로 판단하는 기준이 된다</t>
  </si>
  <si>
    <t>한 번 설정된 KPI는 계약기간 내내 어떤 경우에도 변경할 수 없다</t>
  </si>
  <si>
    <t>* 정답 (④): KPI는 계약 이행 환경의 변화에 따라 발주기관과 협의를 거쳐 조정될 수 있으며, 절대 변경 불가한 고정값이 아님.</t>
  </si>
  <si>
    <t>계약이행 과정에서의 리스크 관리의 첫 단계로 가장 적절한 것은?</t>
  </si>
  <si>
    <t>손해배상 청구</t>
  </si>
  <si>
    <t>발생 가능한 위험 요인의 식별</t>
  </si>
  <si>
    <t>* 정답 (④): 위험관리는 위험 요인의 식별에서 출발함.</t>
  </si>
  <si>
    <t>계약상 위험 관리에서 일반적으로 고려하는 위험 요인이 아닌 것은?</t>
  </si>
  <si>
    <t>품질 미달 위험</t>
  </si>
  <si>
    <t>자재 수급 위험</t>
  </si>
  <si>
    <t>담당자의 개인 취미</t>
  </si>
  <si>
    <t>납기 지연 위험</t>
  </si>
  <si>
    <t>* 정답 (③): 담당자의 개인 취미는 계약상 위험 요인이 아님.</t>
  </si>
  <si>
    <t>※ 프로젝트관리 방법론(리스크 관리) 참고 개념(특정 법령 조문 없음)</t>
  </si>
  <si>
    <t>[상황] 위험도 평가 결과 '발생가능성 낮음·영향도 낮음'으로 분류된 위험과 '발생가능성 높음·영향도 높음'으로 분류된 위험이 있다. 두 위험에 대한 대응 방식의 차이로 가장 적절한 것은?</t>
  </si>
  <si>
    <t>낮은 위험은 수용·모니터링 위주로, 높은 위험은 회피·완화 등 적극적 대응을 우선한다</t>
  </si>
  <si>
    <t>두 위험 모두 동일한 수준의 대응 자원을 투입해야 한다</t>
  </si>
  <si>
    <t>위험도 평가 결과는 대응방식 결정에 참고하지 않는다</t>
  </si>
  <si>
    <t>낮은 위험에 오히려 더 많은 자원을 투입해야 한다</t>
  </si>
  <si>
    <t>* 정답 (①): 위험도가 낮으면 수용·모니터링 위주로, 높으면 회피·완화 등 적극적 대응을 우선하는 것이 자원 배분상 합리적임.</t>
  </si>
  <si>
    <t>계약상 위험 관리 활동이 아닌 것은?</t>
  </si>
  <si>
    <t>위험 발생 후에도 아무 기록을 남기지 않음</t>
  </si>
  <si>
    <t>대응계획 수립 및 모니터링</t>
  </si>
  <si>
    <t>위험도(발생확률·영향) 평가</t>
  </si>
  <si>
    <t>위험 식별 및 분류</t>
  </si>
  <si>
    <t>* 정답 (①): 위험 발생 이력을 기록하지 않으면 향후 유사 위험 대응에 활용할 수 없어 관리활동으로 볼 수 없음.</t>
  </si>
  <si>
    <t>[상황] 특정 자재의 공급 지연 위험이 사전에 식별되었으나 별도 대응계획 없이 방치되었고, 실제로 지연이 발생했다. 이 사례가 주는 교훈으로 가장 적절한 것은?</t>
  </si>
  <si>
    <t>식별된 위험에 대해서는 사전에 대응계획을 수립해 실제 발생에 대비해야 한다</t>
  </si>
  <si>
    <t>위험은 항상 발주기관이 전부 부담한다</t>
  </si>
  <si>
    <t>위험 관리는 계약과 무관하다</t>
  </si>
  <si>
    <t>위험은 식별만 하면 충분하다</t>
  </si>
  <si>
    <t>* 정답 (①): 위험은 식별에 그치지 않고 구체적 대응계획으로 이어져야 실효성이 있음.</t>
  </si>
  <si>
    <t>계약이행 과정의 위험관리에서, 위험 요인을 찾아내는 단계 다음으로 이어지는 일반적인 절차의 순서로 가장 옳은 것은?</t>
  </si>
  <si>
    <t>평가부터 하고 이후 원인을 식별한다</t>
  </si>
  <si>
    <t>위험의 원인과 특성을 분석한 뒤, 그 심각도를 평가하고, 대응방안을 마련해 지속적으로 관찰한다</t>
  </si>
  <si>
    <t>곧바로 대응방안부터 마련한 뒤 원인을 분석한다</t>
  </si>
  <si>
    <t>식별과 동시에 바로 계약을 해지한다</t>
  </si>
  <si>
    <t>* 정답 (②): 일반적인 위험관리 절차는 식별 → 분석 → 평가 → 대응 → 모니터링의 흐름을 따름.</t>
  </si>
  <si>
    <t>계약 이행 중 발생 가능한 손해에 대비해 보험에 가입함으로써, 그 재무적 부담을 보험사 등 제3자가 나누어 지도록 하는 위험 대응방식을 무엇이라 하는가?</t>
  </si>
  <si>
    <t>위험의 무시</t>
  </si>
  <si>
    <t>위험의 회피</t>
  </si>
  <si>
    <t>위험의 전가</t>
  </si>
  <si>
    <t>위험의 확대</t>
  </si>
  <si>
    <t>* 정답 (③): 보험 가입처럼 위험의 재무적 영향을 제3자에게 이전시키는 방식을 위험의 전가(Transfer)라 함.</t>
  </si>
  <si>
    <t>검증되지 않은 신기술 대신 이미 안정성이 확인된 공법을 채택하여, 애초에 위험이 발생할 여지 자체를 없애는 대응방식은?</t>
  </si>
  <si>
    <t>위험의 수용</t>
  </si>
  <si>
    <t>위험의 완화</t>
  </si>
  <si>
    <t>* 정답 (①): 위험의 원인 자체를 제거해 위험이 발생하지 않도록 하는 방식은 회피(Avoidance)에 해당함. 검증된 기술 채택이 대표적 예임.</t>
  </si>
  <si>
    <t>발생할 가능성도 높고, 발생했을 때의 영향도도 큰 위험을 식별했다면, 어떤 방식으로 대응하는 것이 가장 바람직한가?</t>
  </si>
  <si>
    <t>회피나 완화 등 적극적인 대응방안을 우선 적용한다</t>
  </si>
  <si>
    <t>발생 가능성이 낮아질 때까지 기다린다</t>
  </si>
  <si>
    <t>일단 수용하고 문제가 생기면 그때 대응한다</t>
  </si>
  <si>
    <t>특별한 조치 없이 지켜만 본다</t>
  </si>
  <si>
    <t>* 정답 (①): 발생가능성·영향도가 모두 높은 위험은 우선순위가 가장 높으므로 회피·완화 등 적극적 대응이 필요함. 단순 수용이나 방치는 위험도가 낮은 경우에 적합함.</t>
  </si>
  <si>
    <t>'검사'와 '검수'의 개념을 비교한 설명으로 가장 옳은 것은?</t>
  </si>
  <si>
    <t>검수는 계약체결 이전에만 이루어지는 절차이다</t>
  </si>
  <si>
    <t>검사는 품질·규격 등 기술적 적합성을, 검수는 이를 바탕으로 한 행정적 확인을 의미하는 것으로 통상 이해된다</t>
  </si>
  <si>
    <t>검사는 계약상대자가, 검수는 항상 제3의 민간기관만 수행한다</t>
  </si>
  <si>
    <t>검사와 검수는 완전히 동일한 절차이며 구분할 필요가 없다</t>
  </si>
  <si>
    <t>* 정답 (②): 검사는 계약목적물의 품질·규격 등 기술적 적합성을 확인하는 절차이고, 검수는 이를 바탕으로 한 행정적 확인 절차로 이해되며, 두 절차를 모두 통과해야 대금지급으로 이어질 수 있음.</t>
  </si>
  <si>
    <t>검사조서 작성을 생략할 수 있는 경우로 옳은 것은?</t>
  </si>
  <si>
    <t>중요 공사인 경우</t>
  </si>
  <si>
    <t>계약금액이 일정 금액(3천만 원) 미만인 경우 등</t>
  </si>
  <si>
    <t>모든 경우에 생략 불가</t>
  </si>
  <si>
    <t>계약금액과 무관하게 항상 생략 가능</t>
  </si>
  <si>
    <t>* 정답 (②): 소액 계약 등 일정 요건을 충족하는 경우 검사조서 작성을 생략할 수 있음.</t>
  </si>
  <si>
    <t>국가계약법 시행령 제56조</t>
  </si>
  <si>
    <t>검사 결과 불합격한 경우 계약상대자가 취해야 할 조치는?</t>
  </si>
  <si>
    <t>감액만 요청</t>
  </si>
  <si>
    <t>납품 포기</t>
  </si>
  <si>
    <t>지체 없이 대체품 납품 또는 보완</t>
  </si>
  <si>
    <t>이의신청만 하고 대기</t>
  </si>
  <si>
    <t>* 정답 (③): 불합격 시 계약상대자는 지체 없이 보완·재이행할 의무가 있음.</t>
  </si>
  <si>
    <t>납품검사·검수 절차에서 확인하지 않는 것은?</t>
  </si>
  <si>
    <t>품질·규격</t>
  </si>
  <si>
    <t>시중 거래가격 및 물가변동 등락률</t>
  </si>
  <si>
    <t>계약조건 부합 여부</t>
  </si>
  <si>
    <t>수량</t>
  </si>
  <si>
    <t>* 정답 (②): 해당 단계의 핵심 목적과 무관한 자료는 검사·검수의 확인 대상이 아님.</t>
  </si>
  <si>
    <t>[상황] 검사 결과 일부 불합격 판정을 받았음에도 계약상대자가 그대로 대금지급을 요구했다. 올바른 처리는?</t>
  </si>
  <si>
    <t>불합격 부분에 대한 보완·재검사 절차를 거치도록 하고, 합격분에 한해 대가를 지급한다</t>
  </si>
  <si>
    <t>검사를 다시 하지 않는다</t>
  </si>
  <si>
    <t>요구대로 기성부분에 대한 대가를 우선 산정하여 7일 이내에 지급한다</t>
  </si>
  <si>
    <t>* 정답 (②): 불합격 부분은 보완·재검사를 거쳐야 하며, 대가 지급은 합격이 확인된 부분에 한해 이루어지는 것이 원칙임.</t>
  </si>
  <si>
    <t>[상황] 6개월짜리 용역계약에서 계약담당자가 이행 중간 시점에 진행상황을 확인하기 위해 검사를 실시하려 한다. 이 검사에 대한 설명으로 가장 적절한 것은?</t>
  </si>
  <si>
    <t>이행이 종료되지 않은 상태이므로 검사 자체를 실시할 수 없다</t>
  </si>
  <si>
    <t>이행 도중에 실시하는 검사로서, 최종 완료 여부와 무관하게 진행 상황 점검 목적으로 활용될 수 있다</t>
  </si>
  <si>
    <t>이러한 검사는 법적 근거가 없어 무효이다</t>
  </si>
  <si>
    <t>반드시 외부 전문기관에만 위탁해야 하며 담당공무원은 직접 실시할 수 없다</t>
  </si>
  <si>
    <t>* 정답 (②): 이행 중간 단계에서도 진행상황 점검을 위한 검사를 실시할 수 있으며, 이는 최종검사와 별개로 활용됨. 검사는 원칙적으로 담당공무원이 실시하되 필요시 전문기관에 위탁할 수 있는 것이지, 반드시 외부 위탁이 강제되는 것은 아님.</t>
  </si>
  <si>
    <t>국가계약법 시행령 제54조·제55조</t>
  </si>
  <si>
    <t>국가계약법령을 기준으로, 발주기관이 조달업체(계약상대자)로부터 물품 납품이나 용역 이행이 완료되었음을 공식 통지받은 경우 원칙적으로 며칠 이내에 검사 업무를 완료해야 하는가?</t>
  </si>
  <si>
    <t>공식적인 이행 완료 통지를 접수한 날로부터 7일 이내</t>
  </si>
  <si>
    <t>공식적인 이행 완료 통지를 접수한 날로부터 14일 이내</t>
  </si>
  <si>
    <t>공식적인 이행 완료 통지를 접수한 날로부터 21일 이내</t>
  </si>
  <si>
    <t>공식적인 이행 완료 통지를 접수한 날로부터 30일 이내</t>
  </si>
  <si>
    <t>* 정답 (②): 「국가를 당사자로 하는 계약에 관한 법률 시행령」 제55조(검사) 제1항에 따라, 발주기관은 이행 완료 통지를 받은 날부터 원칙적으로 '14일 이내'에 검사를 완료하여야 합니다. (단, 국가적 경제위기 등 재경부 특례 적용 시 7일 이내로 단축 가능)</t>
  </si>
  <si>
    <t>관련 법령에 따라 발주기관이 물품의 납품 과정에서 대면 검사를 면제할 수 있는 구체적인 사유(대상)로 가장 올바른 것은?</t>
  </si>
  <si>
    <t>산업표준화법에 따라 품질경영 부문 우수 포상의 수상자로 선정된 이력이 있는 자가 제조한 물품</t>
  </si>
  <si>
    <t>조달사업에 관한 법률에 따라 조달청장이 고시한 품질관리능력 평가기준에 적합한 자가 제조한 물품</t>
  </si>
  <si>
    <t>타 공공기관이나 지방자치단체에 납품 완료 실적이 최근 3년 이내 3회 이상 존재하는 시중 기성품</t>
  </si>
  <si>
    <t>중소기업청에서 실시하는 자체 품질 통제 기준을 한시적으로 통과한 일반 중소기업 제품</t>
  </si>
  <si>
    <t>* 정답 (②): 단순 포상 수상 이력(①)이나 납품 실적(③)만으로는 물품 검사가 법적으로 자동 면제되지 않습니다. KS인증, 법정 신제품(NEP) 인증, 조달청장이 고시한 품질관리능력 우수업체 제조 물품 등이 법적 면제 대상입니다.</t>
  </si>
  <si>
    <t>「국가계약법 시행령」 제56조의2</t>
  </si>
  <si>
    <t>검사 완료 후 대가 지급 기한으로 옳은 것은?</t>
  </si>
  <si>
    <t>청구일로부터 30일 이내</t>
  </si>
  <si>
    <t>청구일로부터 5일 이내(공휴일 제외)</t>
  </si>
  <si>
    <t>청구일로부터 5일 이내(공휴일 포함)</t>
  </si>
  <si>
    <t>* 정답 (②): 검사완료일 또는 청구일로부터 5일 이내(공휴일 제외)에 대가를 지급해야 함.</t>
  </si>
  <si>
    <t>대가 지급 청구 시 함께 확인해야 하는 서류는?</t>
  </si>
  <si>
    <t>세금계산서만 있으면 충분</t>
  </si>
  <si>
    <t>소득금액증명원</t>
  </si>
  <si>
    <t>부가세 신고서</t>
  </si>
  <si>
    <t>* 정답 (④): 국세·지방세 체납자는 대금을 수령할 수 없으므로 납세증명서를 확인해야 함.</t>
  </si>
  <si>
    <t>국세징수법 제107조</t>
  </si>
  <si>
    <t>선금을 지급받은 계약상대자 A와, 선금 없이 계약을 이행한 계약상대자 B의 기성대가 지급액 산정 방식 차이로 가장 옳은 것은?</t>
  </si>
  <si>
    <t>A는 기성대가를 아예 지급받지 못한다</t>
  </si>
  <si>
    <t>A는 기성대가에서 선금 정산분을 차감하고 지급받고, B는 기성대가 전액을 그대로 지급받는다</t>
  </si>
  <si>
    <t>A와 B 모두 기성대가를 동일하게 전액 지급받는다</t>
  </si>
  <si>
    <t>B가 오히려 선금 상당액을 추가로 지급받는다</t>
  </si>
  <si>
    <t>* 정답 (②): 선금을 지급받은 경우 기성대가 지급 시마다 선금 비율만큼 정산(차감)하여 지급하므로, 선금 없이 이행한 경우와 실지급액 산정 방식이 달라짐.</t>
  </si>
  <si>
    <t>대금지급 절차에서 확인하지 않는 항목은?</t>
  </si>
  <si>
    <t>청구서 및 증빙서류</t>
  </si>
  <si>
    <t>계약상대자 대표의 개인 취향</t>
  </si>
  <si>
    <t>납세증명</t>
  </si>
  <si>
    <t>검사 완료 여부</t>
  </si>
  <si>
    <t>* 정답 (②): 대표 개인 취향은 대금지급 절차와 무관함.</t>
  </si>
  <si>
    <t>[상황] 계약상대자가 검사완료일 이후 대가지급을 청구했다. 지급기한 기산 시점은?</t>
  </si>
  <si>
    <t>계약상대자의 청구를 받은 날부터 기산한다</t>
  </si>
  <si>
    <t>준공일부터 기산한다</t>
  </si>
  <si>
    <t>검사완료일부터 기산한다</t>
  </si>
  <si>
    <t>계약체결일부터 기산한다</t>
  </si>
  <si>
    <t>* 정답 (①): 검사완료일 이후에 청구한 경우, 청구를 받은 날부터 지급기한을 기산함.</t>
  </si>
  <si>
    <t>국가계약법 시행령 제58조제4항 단서</t>
  </si>
  <si>
    <t>발주기관이 계약상대자로부터 이행 완료 통지를 받은 후 수행해야 하는 검사 및 대가 지급의 법정 기한으로 가장 올바르게 짝지어진 것은?</t>
  </si>
  <si>
    <t>통지를 받은 날부터 14일 이내 검사 완료, 청구일로부터 5일 이내 대가 지급</t>
  </si>
  <si>
    <t>통지를 받은 날부터 21일 이내 검사 완료, 청구일로부터 7일 이내 대가 지급</t>
  </si>
  <si>
    <t>통지를 받은 날부터 10일 이내 검사 완료, 청구일로부터 5일 이내 대가 지급</t>
  </si>
  <si>
    <t>통지를 받은 날부터 7일 이내 검사 완료, 청구일로부터 3일 이내 대가 지급</t>
  </si>
  <si>
    <t>* 정답 (①): 발주기관은 업체로부터 이행 완료 사실을 공식 통지받은 날부터 원칙적으로 '14일 이내'에 검사를 완료해야 하며, 검사 완료 후 대가 지급 청구를 받은 날부터 '5일 이내'에 대금을 지급해야 합니다.</t>
  </si>
  <si>
    <t>「국가계약법 시행령」 제55조 및 제58조</t>
  </si>
  <si>
    <t>국가계약법령상 공공계약의 대가 지급 절차 및 지연이자, 지체상금 등의 상계 처리에 대한 설명으로 가장 올바르지 않은 것은?</t>
  </si>
  <si>
    <t>발주기관의 대가지급 지연에 따른 이자와 계약상대자의 지체상금 채무는 회계 계정이 서로 다르므로 동일 계약 내라도 상계(相計) 처리할 수 없다.</t>
  </si>
  <si>
    <t>계약상대자에게 기성부분이나 기납부분에 대한 대가를 지급하는 경우에는 공정률 등을 참작하여 특별한 사유가 없는 한 적어도 30일마다 지급해야 한다.</t>
  </si>
  <si>
    <t>발주기관이 적법한 대금 지급 청구를 받고도 자금 사정 등으로 기한 내에 대가를 지급하지 못하면 해당 지연일수에 비례하는 지연이자를 지급해야 한다.</t>
  </si>
  <si>
    <t>국유재산의 매각 등 국가의 세입 원인이 되는 계약을 체결한 경우에는 원칙적으로 계약상대자에게 그 대가를 목적물 인도 전에 미리 납부하도록 해야 한다.</t>
  </si>
  <si>
    <t>* 정답 (①): 「국가를 당사자로 하는 계약에 관한 법률」 제15조(대가의 지급 및 지연이자) 제3항에 따라, 발주기관은 동일한 계약에서 발생한 대가 지급지연 이자와 계약상대자가 납부해야 할 지체상금을 서로 상계(相計) 처리할 수 있습니다. 기존 해설에서 언급된 시행령 제58조는 대가 지급 기한에 관한 조항이며, 명확한 상계 근거는 법률 제15조에 명시되어 있습니다. (오답 노트: ② 기성대가는 적어도 30일마다 지급, ③ 지연이자 지급 의무화, ④ 세입 원인 계약은 선납 원칙이므로 모두 맞는 설명입니다.)</t>
  </si>
  <si>
    <t>「국가계약법」 제15조 제3항 및 동법 시행령 제58조</t>
  </si>
  <si>
    <t>계약종결 절차에서 가장 먼저 확인해야 할 사항은?</t>
  </si>
  <si>
    <t>계약해지 여부</t>
  </si>
  <si>
    <t>계약서·설계서 등에서 정한 계약이행이 완료되었는지 여부</t>
  </si>
  <si>
    <t>입찰공고 여부</t>
  </si>
  <si>
    <t>하자보수기간 종료 여부</t>
  </si>
  <si>
    <t>* 정답 (②): 계약종결은 계약이행이 계약서·설계서 등 관계서류대로 완료되었는지 확인하는 데서 시작함.</t>
  </si>
  <si>
    <t>계약이행 완료 후 발주기관이 수행하는 절차 순서로 옳은 것은?</t>
  </si>
  <si>
    <t>대가지급 → 검사 → 계약체결</t>
  </si>
  <si>
    <t>하자보수 → 검사</t>
  </si>
  <si>
    <t>계약해지 → 검사 → 대가지급</t>
  </si>
  <si>
    <t>검사 → 대가 지급 → 계약종결 처리</t>
  </si>
  <si>
    <t>* 정답 (④): 이행 완료 후 검사, 대가 지급, 종결 처리 순으로 진행됨.</t>
  </si>
  <si>
    <t>계약종결 시 준비해야 할 서류가 아닌 것은?</t>
  </si>
  <si>
    <t>경쟁사 입찰정보</t>
  </si>
  <si>
    <t>검사조서</t>
  </si>
  <si>
    <t>준공(납품) 관련 서류</t>
  </si>
  <si>
    <t>대가지급 관련 서류</t>
  </si>
  <si>
    <t>* 정답 (①): 경쟁사 입찰정보는 계약종결과 무관함.</t>
  </si>
  <si>
    <t>계약종결 관리에 해당하지 않는 것은?</t>
  </si>
  <si>
    <t>검사 및 대가청구 관련 서류 준비</t>
  </si>
  <si>
    <t>계약종결 처리</t>
  </si>
  <si>
    <t>계약이 완료되었음에도 관련 서류를 무기한 방치</t>
  </si>
  <si>
    <t>이행완료 확인</t>
  </si>
  <si>
    <t>* 정답 (③): 종결 관련 서류를 정리·보관하지 않고 방치하는 것은 적절한 계약종결 관리로 볼 수 없음.</t>
  </si>
  <si>
    <t>[상황] 계약이 정상적으로 완료되었으나 관련 서류 정리 없이 방치되었다. 이로 인한 문제로 가장 적절한 것은?</t>
  </si>
  <si>
    <t>이후 하자 발생, 감사 등 상황에서 근거자료 확인이 어려워질 수 있다</t>
  </si>
  <si>
    <t>세금이 면제된다</t>
  </si>
  <si>
    <t>* 정답 (①): 종결 서류 미정리는 이후 하자·감사 대응 시 근거자료 부족으로 이어질 수 있음.</t>
  </si>
  <si>
    <t>하자담보책임기간 동안 계약상대자가 납부해야 하는 보증금은?</t>
  </si>
  <si>
    <t>선금보증금</t>
  </si>
  <si>
    <t>하자보수보증금</t>
  </si>
  <si>
    <t>* 정답 (③): 하자담보책임 이행을 담보하기 위해 하자보수보증금을 납부함.</t>
  </si>
  <si>
    <t>국가계약법 시행령 제62조</t>
  </si>
  <si>
    <t>[상황] 계약상대자가 준공검사에 합격했으나 아직 대가를 지급받지 못한 시점이다. 이 시점에 하자보수보증금을 납부해야 하는 이유로 가장 적절한 것은?</t>
  </si>
  <si>
    <t>계약체결 자체의 유효요건이기 때문에</t>
  </si>
  <si>
    <t>대가 지급 이후 하자담보책임기간이 시작되기 전에 담보수단을 확보해두기 위해</t>
  </si>
  <si>
    <t>지체상금 부과를 피하기 위해</t>
  </si>
  <si>
    <t>입찰 참가 자격을 유지하기 위해</t>
  </si>
  <si>
    <t>* 정답 (②): 하자보수보증금은 준공(검사) 후 대가 지급 전까지 납부하여, 이후 시작되는 하자담보책임기간 동안의 담보수단을 미리 확보해두는 것임.</t>
  </si>
  <si>
    <t>하자 발생 시 계약상대자가 취해야 할 조치는?</t>
  </si>
  <si>
    <t>보증금만 납부하면 보수 의무가 없다</t>
  </si>
  <si>
    <t>발주기관이 알아서 처리하도록 둔다</t>
  </si>
  <si>
    <t>무시하고 방치한다</t>
  </si>
  <si>
    <t>하자보수 요구에 따라 지체 없이 보수한다</t>
  </si>
  <si>
    <t>* 정답 (④): 계약상대자는 하자보수 요구에 따라 지체 없이 보수할 의무가 있음.</t>
  </si>
  <si>
    <t>하자보수보증금율에 대한 설명으로 옳지 않은 것은?</t>
  </si>
  <si>
    <t>공종·물품 특성에 따라 법정 요율이 다르다</t>
  </si>
  <si>
    <t>전액 균일하게 50%로 고정되어 있다</t>
  </si>
  <si>
    <t>통상 계약금액의 2~10% 수준이다</t>
  </si>
  <si>
    <t>국가계약법 시행령 제62조에 근거한다</t>
  </si>
  <si>
    <t>* 정답 (②): 하자보수보증금율은 공종·물품별로 상이하며 일률적으로 50%로 고정되어 있지 않음.</t>
  </si>
  <si>
    <t>[상황] 하자보수기간 중 하자가 발생했으나 계약상대자가 보수를 거부하고 있다. 발주기관이 취할 수 있는 조치는?</t>
  </si>
  <si>
    <t>계약보증금을 즉시 몰취한다</t>
  </si>
  <si>
    <t>아무 조치도 할 수 없다</t>
  </si>
  <si>
    <t>하자보수보증금을 사용하여 직접 보수하거나 필요한 조치를 취할 수 있다</t>
  </si>
  <si>
    <t>경찰에 고발 조치하고 민사 소송을 청구한다</t>
  </si>
  <si>
    <t>* 정답 (③): 계약상대자가 하자보수를 거부하는 경우, 발주기관은 하자보수보증금을 활용해 필요한 조치를 취할 수 있음.</t>
  </si>
  <si>
    <t>국가계약법 시행령 제62조·제63조</t>
  </si>
  <si>
    <t>건축물의 기둥·보·내력벽 등 주요구조부에 대한 하자담보책임기간으로 옳은 것은?</t>
  </si>
  <si>
    <t>* 정답 (①): 건축물의 주요구조부(기둥, 보, 내력벽, 기초 등)에 대한 하자담보책임기간은 다른 부위보다 길게 10년으로 정해져 있음.</t>
  </si>
  <si>
    <t>건설산업기본법 시행령 [별표4] 등</t>
  </si>
  <si>
    <t>공공 공사계약에 적용되는 하자보수 및 하자담보책임기간에 대한 설명으로 가장 올바른 것은?</t>
  </si>
  <si>
    <t>하자담보책임 기간 동안 하자보수를 위해 보증금을 사용하고 남은 금액은 계약상대자에게 반환하지 않고 전액 국고에 귀속시킨다.</t>
  </si>
  <si>
    <t>하자의 보수를 위해 하자보수보증금을 직접 사용할 때에는 이를 반드시 해당 회계연도의 세입으로 편성하여 회계처리해야 한다.</t>
  </si>
  <si>
    <t>장기계속공사의 하자담보책임기간은 연차별로 완료되어 발주기관이 인수한 부분별로 기산하여 따로 정해야 한다.</t>
  </si>
  <si>
    <t>정부의 공사계약에서는 부실시공 방지를 위해 어떠한 예외적인 경우에도 하자보수보증금 납부를 면제할 수 없다.</t>
  </si>
  <si>
    <t>* 정답 (③): 장기계속공사의 하자담보책임기간은 전체 총공사를 기준으로 일괄 기산하는 것이 아니라, 연차별로 완료되어 발주기관이 최종 인수한 '연차계약 부분별'로 기산하여 각각 따로 정해야 합니다. (오답 노트: ① 사용하고 남은 금액은 계약상대자에게 반환, ② 세입으로 납입하지 아니하고 세입·세출 외로 구분하여 회계처리, ④ 계약금액 3천만 원 이하 공사 등 일정 요건 충족 시 보증금 납부 면제 가능)</t>
  </si>
  <si>
    <t>「국가계약법 시행령」 제60조 및 제62조</t>
  </si>
  <si>
    <t>낙찰 후 정당한 이유 없이 계약을 체결하지 않을 경우 처리되는 보증금은?</t>
  </si>
  <si>
    <t>* 정답 (②): 낙찰자가 정당한 이유 없이 계약을 체결하지 않으면 입찰보증금(또는 그 지급각서에 따른 상당액)이 국고 등에 귀속됨.</t>
  </si>
  <si>
    <t>국가계약법 시행령 제38조</t>
  </si>
  <si>
    <t>계약상대자가 정당한 이유 없이 계약을 이행하지 않을 때 계약보증금 처리는?</t>
  </si>
  <si>
    <t>이월한다</t>
  </si>
  <si>
    <t>국고에 귀속한다</t>
  </si>
  <si>
    <t>기부한다</t>
  </si>
  <si>
    <t>반환한다</t>
  </si>
  <si>
    <t>* 정답 (②): 계약 불이행에 대한 제재로 계약보증금은 국고에 귀속됨.</t>
  </si>
  <si>
    <t>국가계약법 시행령 제51조</t>
  </si>
  <si>
    <t>공사계약에서 의무적으로 가입해야 하는 보험이 아닌 것은?</t>
  </si>
  <si>
    <t>고용보험</t>
  </si>
  <si>
    <t>임원 개인 생명보험</t>
  </si>
  <si>
    <t>산재보험</t>
  </si>
  <si>
    <t>공사손해보험(대상 공사)</t>
  </si>
  <si>
    <t>* 정답 (②): 임원 개인 생명보험은 공사현장의 안전·인력 보호와 무관한 사적 보험으로 의무가입 대상이 아님.</t>
  </si>
  <si>
    <t>국가계약법 시행령 제53조</t>
  </si>
  <si>
    <t>각 보증금의 성격에 대한 설명으로 옳지 않은 것은?</t>
  </si>
  <si>
    <t>매입채권은 발주기관이 계약상대자에게 부과하는 벌금이다</t>
  </si>
  <si>
    <t>계약보증금은 계약불이행에 대비한 보증이다</t>
  </si>
  <si>
    <t>입찰보증금은 낙찰 후 계약 미체결에 대비한 보증이다</t>
  </si>
  <si>
    <t>하자보수보증금은 하자담보책임 이행을 담보한다</t>
  </si>
  <si>
    <t>* 정답 (①): 매입채권은 벌금이 아니라 계약이행 관련 채권·자금 관리와 관련된 개념으로, 벌금과는 성격이 다름.</t>
  </si>
  <si>
    <t>단가계약과 일반 확정(총액)계약의 계약보증금 산정 기준 차이로 가장 옳은 것은?</t>
  </si>
  <si>
    <t>단가계약은 계약기간 동안의 총 예정물량(금액)을 기준으로 산정하는 반면, 확정계약은 확정된 총 계약금액을 기준으로 산정한다</t>
  </si>
  <si>
    <t>확정계약은 계약보증금을 매 납품 건별로 분할 납부해야 한다</t>
  </si>
  <si>
    <t>단가계약은 계약보증금 자체가 면제된다</t>
  </si>
  <si>
    <t>두 계약방식의 계약보증금 산정 기준은 완전히 동일하다</t>
  </si>
  <si>
    <t>* 정답 (①): 단가계약은 계약기간 동안의 총 예정 물량(금액)을 기준으로 계약보증금을 산정(매회 건별 납부도 가능)하는 반면, 확정계약은 확정된 총 계약금액을 기준으로 산정함.</t>
  </si>
  <si>
    <t>공사계약에서 계약이행보증 방법으로 '계약보증금 납부'를 선택하는 경우의 요율로 옳은 것은?</t>
  </si>
  <si>
    <t>계약금액의 100분의 5 이상</t>
  </si>
  <si>
    <t>계약금액의 100분의 15 이상</t>
  </si>
  <si>
    <t>계약금액의 100분의 20 이상</t>
  </si>
  <si>
    <t>계약금액의 100분의 10 이상</t>
  </si>
  <si>
    <t>* 정답 (④): 관련 법령(국가계약법 시행령 제52조) 개정으로 인하여 공사계약의 계약보증금률은 기존 15%에서 10% 이상으로 하향 조정되었습니다.</t>
  </si>
  <si>
    <t>계약보증금의 전부 또는 일부 납부를 면제할 수 있는 경우로 가장 거리가 먼 것은?</t>
  </si>
  <si>
    <t>조달사업에 관한 법률에 따른 비축물자를 구매하는 경우</t>
  </si>
  <si>
    <t>국가기관·지방자치단체 등과 계약을 체결하는 경우</t>
  </si>
  <si>
    <t>단순히 계약상대자가 대기업이라는 이유만 있는 경우</t>
  </si>
  <si>
    <t>계약금액이 일정 소액 기준 이하인 경우</t>
  </si>
  <si>
    <t>* 정답 (③): 계약상대자가 대기업이라는 사실 자체는 계약보증금 면제 사유가 아님. 국가기관 등과의 계약, 소액계약, 비축물자 구매 등 법령에서 정한 사유가 있어야 면제될 수 있음.</t>
  </si>
  <si>
    <t>국가계약법 시행령 제37조·제50조</t>
  </si>
  <si>
    <t>계약보증금을 국고에 귀속시키기 전에, 발주기관이 계약상대자에게 반드시 부여해야 하는 절차적 기회는 무엇인가?</t>
  </si>
  <si>
    <t>아무런 기회도 부여할 필요 없이 즉시 귀속시키면 된다</t>
  </si>
  <si>
    <t>귀속 결정 전에 계약상대자가 의견을 진술할 수 있는 기회를 부여해야 한다</t>
  </si>
  <si>
    <t>계약상대자가 요청하는 경우에만 예외적으로 소명 기회를 준다</t>
  </si>
  <si>
    <t>귀속 이후 사후적으로만 이의제기 기회를 준다</t>
  </si>
  <si>
    <t>* 정답 (②): 계약보증금을 국고에 귀속시키기 전, 발주기관은 계약상대자에게 의견을 진술할 수 있는 기회를 부여하는 절차를 거치는 것이 원칙이며, 이후 귀속 결정·통보, 보증금(보증서)에 의한 보험금 청구 순으로 이어짐.</t>
  </si>
  <si>
    <t>정부계약 불이행에 따른 계약보증금의 국고 귀속 절차에 대한 설명으로 가장 올바른 것은?</t>
  </si>
  <si>
    <t>계약보증금을 국고에 귀속시키는 경우, 기성부분에 대한 미지급액이 남아 있다면 이를 우선적으로 계약보증금과 상계 처리하는 것이 원칙이다.</t>
  </si>
  <si>
    <t>계약상대자의 귀책사유로 계약을 해제할 때, 이미 기성부분을 검사를 거쳐 인수하였더라도 당초 납부된 계약보증금 전액을 국고에 귀속시켜야 한다.</t>
  </si>
  <si>
    <t>성질상 분할할 수 있는 공사 계약에서 기성부분을 검사를 거쳐 인수한 경우, 당초 계약보증금 중 그 기성부분에 해당하는 금액은 제외하고 국고에 귀속시킨다.</t>
  </si>
  <si>
    <t>계약보증금 납부 의무를 전부 면제받고 지급각서를 제출한 업체가 계약을 불이행한 경우에는 기성 미지급액이 있더라도 상계 처리할 수 없다.</t>
  </si>
  <si>
    <t>* 정답 (③): 「국가계약법 시행령」 제51조 제2항(2022년 신설)에 따라, 분할 가능한 공사에서 기성부분을 인수한 경우 당해 비율에 해당하는 보증금은 제외하고 국고에 귀속시킵니다. (오답 노트: ① 원칙적으로 기성 미지급액과 상계 금지, ② 기성부분 제외 후 귀속, ④ 면제된 보증금은 예외적으로 상계 가능)</t>
  </si>
  <si>
    <t>「국가계약법 시행령」 제51조</t>
  </si>
  <si>
    <t>지체상금과 손해배상액의 예정(민법상 개념)의 관계를 가장 적절하게 설명한 것은?</t>
  </si>
  <si>
    <t>지체상금은 하자보수 불이행에 대한 제재금이다</t>
  </si>
  <si>
    <t>지체상금은 손해배상과 완전히 무관한 별개의 벌금이다</t>
  </si>
  <si>
    <t>지체상금은 계약체결 전에 미리 납부하는 보증금이다</t>
  </si>
  <si>
    <t>지체상금은 이행지연에 대한 손해배상액의 예정 성격을 가지는 것으로 이해된다</t>
  </si>
  <si>
    <t>* 정답 (④): 지체상금은 이행지체에 따른 손해를 배상액 예정의 형태로 미리 정해둔 성격을 가지는 것으로 이해되며, 별도의 보증금이나 하자보수 관련 제재금과는 구별됨.</t>
  </si>
  <si>
    <t>국가계약법 시행령 제74조, 민법 제398조(손해배상액의 예정) 참고</t>
  </si>
  <si>
    <t>계약금액 8억 원인 물품제조 계약이 정당한 사유 없이 10일 지연되었다. 지체상금은 얼마인가?</t>
  </si>
  <si>
    <t>600만원</t>
  </si>
  <si>
    <t>750만원</t>
  </si>
  <si>
    <t>800만원</t>
  </si>
  <si>
    <t>500만원</t>
  </si>
  <si>
    <t>* 정답 (①): 8억원 × 0.75/1,000 × 10일 = 600만원.</t>
  </si>
  <si>
    <t>지체상금 부과 시 최대 한도(상한선)는?</t>
  </si>
  <si>
    <t>계약금액의 20%</t>
  </si>
  <si>
    <t>계약금액의 10%</t>
  </si>
  <si>
    <t>상한선 없음</t>
  </si>
  <si>
    <t>계약금액의 30%</t>
  </si>
  <si>
    <t>* 정답 (④): 과도한 부담을 방지하기 위해 계약금액의 30% 등 상한선을 둠.</t>
  </si>
  <si>
    <t>[상황] 계약상대자가 이행 지연 중, 그 사유가 계약상대자의 자금난 때문인 경우와 발주기관의 관급자재 공급 지연 때문인 경우가 있다고 하자. 지체상금 부과 여부의 차이로 가장 옳은 것은?</t>
  </si>
  <si>
    <t>자금난으로 인한 지연은 지체상금 부과 대상이지만, 발주기관 귀책의 관급자재 지연으로 인한 지연은 그 기간만큼 면제될 수 있다</t>
  </si>
  <si>
    <t>발주기관 귀책 사유라도 지체상금은 지체상금 상한선(계약금액의 30%) 한도 내에서 전액 부과한다</t>
  </si>
  <si>
    <t>두 경우 모두 지체상금이 면제된다</t>
  </si>
  <si>
    <t>두 경우 모두 동일하게 지체상금이 부과된다</t>
  </si>
  <si>
    <t>* 정답 (①): 계약상대자의 자금사정과 같은 자기 귀책사유는 면제 대상이 아니지만, 발주기관의 책임 있는 사유(관급자재 지연 등)로 인한 지연은 해당 기간만큼 지체상금이 면제될 수 있음.</t>
  </si>
  <si>
    <t>[상황] 분할 납품이 가능한 물품계약에서 절반은 기한 내 납품·검사에 합격했고, 나머지 절반은 20일 지연되어 납품되었다. 지체상금 산정 기준으로 가장 옳은 것은?</t>
  </si>
  <si>
    <t>기한 내 납품·검사 합격분은 지체상금 산정 대상에서 제외하고, 지연된 부분에 대해서만 산정한다</t>
  </si>
  <si>
    <t>총 계약금액 전체를 기준으로 산정한다</t>
  </si>
  <si>
    <t>* 정답 (②): 성질상 분할 가능한 목적물의 경우, 기한 내 이행·검사 완료된 부분은 지체상금 산정 기준 금액에서 제외되는 것이 원칙임.</t>
  </si>
  <si>
    <t>국가계약법령상 지체상금률에 대한 설명으로 옳은 것은?</t>
  </si>
  <si>
    <t>계약 유형(공사·물품·용역)에 따라 지체상금률이 서로 다르게 정해져 있다</t>
  </si>
  <si>
    <t>용역계약에는 지체상금률이 적용되지 않는다</t>
  </si>
  <si>
    <t>모든 계약 유형에 동일한 지체상금률이 적용된다</t>
  </si>
  <si>
    <t>지체상금률은 계약담당자가 매번 임의로 정한다</t>
  </si>
  <si>
    <t>* 정답 (①): 지체상금률은 공사(0.5/1,000)·물품 제조·구매(0.75/1,000)·용역 및 기타(1.25/1,000)로 계약 유형별로 상이함.</t>
  </si>
  <si>
    <t>계약금액 5억 원인 용역계약이 20일 지연되었다. 지체상금은 얼마인가?</t>
  </si>
  <si>
    <t>2,000만원</t>
  </si>
  <si>
    <t>1,250만원</t>
  </si>
  <si>
    <t>1,500만원</t>
  </si>
  <si>
    <t>* 정답 (③): 5억원 × 1.25/1,000 × 20일 = 1,250만원.</t>
  </si>
  <si>
    <t>계약금액 20억 원인 공사가 15일 지연되었다. 지체상금은 얼마인가?</t>
  </si>
  <si>
    <t>3,000만원</t>
  </si>
  <si>
    <t>1,000만원</t>
  </si>
  <si>
    <t>2,250만원</t>
  </si>
  <si>
    <t>* 정답 (①): 20억원 × 0.5/1,000 × 15일 = 1,500만원.</t>
  </si>
  <si>
    <t>계약 이행 지연 시 부과되는 지체상금(지연배상금) 제도에 대한 설명으로 가장 올바른 것은?</t>
  </si>
  <si>
    <t>누적되어 납부할 지체상금이 총 계약금액의 100분의 30을 초과하는 경우라도, 지연 손실 보전을 위해 별도의 상한선 없이 발생한 전액을 부과하여야 한다.</t>
  </si>
  <si>
    <t>지체상금 징수 사유가 발생하여 그 금액이 계약보증금 상당액에 달하더라도, 발주기관은 제반 상황을 고려하여 계약 해제 여부를 재량으로 결정할 수 있다.</t>
  </si>
  <si>
    <t>검사를 거쳐 이미 인수한 기성부분이 있더라도 지체상금은 반드시 인수한 부분을 포함한 전체 총계약금액을 기준으로 기산하여 가중 부과해야 한다.</t>
  </si>
  <si>
    <t>계약상대자가 부과된 지체상금을 자진하여 납부하지 않더라도, 발주기관이 지급할 대가금액에서 이를 일방적으로 상계(相計) 처리하여 공제할 수는 없다.</t>
  </si>
  <si>
    <t>* 정답 (②): 지체상금이 계약보증금 상당액에 달했다고 해서 무조건 기계적으로 해제'하여야' 하는 강제 조항이 아니며, 이행 가능성 등을 판단하여 해제·해지 '할 수 있는' 재량 조항입니다. (오답 노트: ① 지체상금 총액은 계약금액의 100분의 30을 초과할 수 없도록 법적 상한선이 있음, ③ 기성부분을 인수한 경우 그 부분의 대가는 공제하고 계산함, ④ 발주기관이 지급할 대가와 지체상금은 상계 처리할 수 있음)</t>
  </si>
  <si>
    <t>「국가계약법 시행령」 제74조 및 제75조</t>
  </si>
  <si>
    <t>효과적 계약관리 계획의 기본 개념/원칙으로 가장 적절한 것은?</t>
  </si>
  <si>
    <t>다음 중 효과적 계약관리 계획 관련 실무통제(리스크 관리)로 가장 적절한 것은?</t>
  </si>
  <si>
    <t>다음 중 효과적 계약관리 계획에 관한 설명으로 옳은 것은?</t>
  </si>
  <si>
    <t>계약관리 계획의 주요 구성 요소로 옳지 않은 것은?</t>
  </si>
  <si>
    <t>계약 목표 및 성과 지표</t>
  </si>
  <si>
    <t>이행 모니터링 방법</t>
  </si>
  <si>
    <t>계약 담당자의 개인 일정</t>
  </si>
  <si>
    <t>위험 관리 계획</t>
  </si>
  <si>
    <t>* 정답 (③): 계약관리 계획에는 목표, 성과 지표, 이행 모니터링, 위험 관리 등이 포함되며, 담당자의 개인 일정은 포함되지 않는다.</t>
  </si>
  <si>
    <t>계약 체결 전에 해야 할 사항으로 옳은 것은?</t>
  </si>
  <si>
    <t>계약 종료 후 정산한다.</t>
  </si>
  <si>
    <t>성과 지표·검수 기준·변경 절차 등을 계약서에 명확히 규정한다.</t>
  </si>
  <si>
    <t>구두 합의만으로 계약 조건을 정한다.</t>
  </si>
  <si>
    <t>낙찰자가 모든 기준을 결정한다.</t>
  </si>
  <si>
    <t>* 정답 (②): 계약 체결 전에 성과 지표, 검수 기준, 변경 절차 등을 계약서에 명확히 규정해야 이행 과정의 분쟁을 예방할 수 있다.</t>
  </si>
  <si>
    <t>이해관계자 소통 계획을 수립하는 이유로 옳은 것은?</t>
  </si>
  <si>
    <t>계약 담당자의 권한을 강화하기 위해</t>
  </si>
  <si>
    <t>이해관계자 간 정보 공유와 조율을 통해 계약 이행의 효율성을 높이기 위해</t>
  </si>
  <si>
    <t>소통을 최소화하기 위해</t>
  </si>
  <si>
    <t>보고 서류를 줄이기 위해</t>
  </si>
  <si>
    <t>* 정답 (②): 이해관계자 소통 계획은 수요부서, 계약담당, 공급자, 감독기관 등 간의 정보 공유와 조율을 원활하게 하여 계약 이행 성과를 높인다.</t>
  </si>
  <si>
    <t>위험 관리 계획에 포함되어야 할 내용으로 옳은 것은?</t>
  </si>
  <si>
    <t>위험은 계약 후 발생하면 해결한다.</t>
  </si>
  <si>
    <t>잠재적 위험 식별·분석·예방 방안 및 비상 대응 절차</t>
  </si>
  <si>
    <t>위험을 공급업체에게 전부 전가한다.</t>
  </si>
  <si>
    <t>위험 관리는 감사원이 수행한다.</t>
  </si>
  <si>
    <t>* 정답 (②): 위험 관리 계획에는 잠재적 위험의 식별, 발생 가능성·영향도 분석, 예방 방안, 비상 시 대응 절차가 포함되어야 한다.</t>
  </si>
  <si>
    <t>성과 측정 지표(KPI)의 역할로 옳은 것은?</t>
  </si>
  <si>
    <t>낙찰자를 자동으로 설정한다.</t>
  </si>
  <si>
    <t>계약 이행이 목표를 달성하고 있는지 객관적으로 측정·평가하는 기준이 된다.</t>
  </si>
  <si>
    <t>계약 금액을 결정한다.</t>
  </si>
  <si>
    <t>이행 기간을 연장하는 수단이다.</t>
  </si>
  <si>
    <t>* 정답 (②): KPI는 계약 이행의 품질, 기간, 비용 등을 객관적으로 측정하는 지표로, 성과 관리와 이행 평가의 기준이 된다.</t>
  </si>
  <si>
    <t>검수(검사) 계획이 중요한 이유로 옳은 것은?</t>
  </si>
  <si>
    <t>검수는 계약 종료 후에만 실시한다.</t>
  </si>
  <si>
    <t>납품 물품이나 서비스가 계약 조건을 충족하는지 사전에 기준을 설정하기 위해</t>
  </si>
  <si>
    <t>공급업체가 검수 기준을 결정한다.</t>
  </si>
  <si>
    <t>검수는 선택 사항이다.</t>
  </si>
  <si>
    <t>* 정답 (②): 검수 계획을 사전에 수립해야 객관적인 기준으로 납품 결과를 평가할 수 있으며 사후 분쟁을 예방할 수 있다.</t>
  </si>
  <si>
    <t>계획 수립 후 실행 단계에서 가장 중요한 활동으로 옳은 것은?</t>
  </si>
  <si>
    <t>계획을 무시하고 상황에 따라 대응</t>
  </si>
  <si>
    <t>계획과 실제 이행의 차이를 지속적으로 모니터링하고 필요시 조치를 취한다.</t>
  </si>
  <si>
    <t>낙찰자에게 모든 관리를 위임한다.</t>
  </si>
  <si>
    <t>계획 문서를 보관만 한다.</t>
  </si>
  <si>
    <t>* 정답 (②): 계획 대비 실제 이행 현황을 지속적으로 모니터링하고, 이탈 시 즉각 시정 조치를 취하는 것이 핵심이다.</t>
  </si>
  <si>
    <t>공공계약의 계약관리 5대 원칙에 해당하지 않는 것은?</t>
  </si>
  <si>
    <t>사전확정 — 계약조건·평가기준·검수기준은 계약 체결 전 명확히 확정</t>
  </si>
  <si>
    <t>공개투명성 — 변경 사항·검수 결과·지급 내역의 명확한 기록·공개</t>
  </si>
  <si>
    <t>동일적용 — 계약 조건의 적용·해석은 모든 참여자에게 동일하게 적용</t>
  </si>
  <si>
    <t>사후재량 — 발주기관 담당자가 사후에 기준을 자유롭게 변경 가능</t>
  </si>
  <si>
    <t>* 정답 (④): 계약관리 5대 원칙은 ① 사전확정, ② 공개투명성, ③ 동일적용, ④ 기록문서화, ⑤ 절차준수이다. 사후재량은 사전확정 원칙에 정면 반하며, 감사·분쟁 리스크를 높인다.</t>
  </si>
  <si>
    <t>계약행정(contract administration)과 계약관리(contract management)의 구분에 관한 설명으로 옳은 것은?</t>
  </si>
  <si>
    <t>계약행정은 구매를 준비하고 완료하기 위해 필요한 모든 행동을, 계약관리는 계약 체결 이후의 이행·관리 단계를 의미한다.</t>
  </si>
  <si>
    <t>두 개념은 동일하며 구분이 없다.</t>
  </si>
  <si>
    <t>계약행정은 계약 체결 이후의 관리, 계약관리는 계약 체결 이전의 준비를 의미한다.</t>
  </si>
  <si>
    <t>계약관리는 단순한 회계 처리만을 의미한다.</t>
  </si>
  <si>
    <t>* 정답 (①): 실무에서 두 용어가 혼용되나, 엄밀하게는 계약행정은 구매 준비·완료 전 과정의 모든 행동을 의미하며, 계약관리는 계약 체결 이후의 이행·관리 단계를 의미하는 좁은 개념이다.</t>
  </si>
  <si>
    <t>착수협의 및 착수보고의 법정 시한에 관한 설명으로 옳은 것은?</t>
  </si>
  <si>
    <t>추정가격 10억 원 미만은 계약 체결일로부터 10일, 10억 원 이상은 20일 이내에 착수보고서를 제출해야 한다.</t>
  </si>
  <si>
    <t>모든 계약은 계약 체결일로부터 30일 이내 착수보고서를 제출해야 한다.</t>
  </si>
  <si>
    <t>착수협의는 권고 사항이며 별도 시한이 없다.</t>
  </si>
  <si>
    <t>추정가격 10억 원 이상은 계약 체결일로부터 5일 이내 착수보고서를 제출해야 한다.</t>
  </si>
  <si>
    <t>* 정답 (①): 착수보고서 제출 시한은 추정가격에 따라 차등 적용되며, ① 10억 원 미만 = 10일, ② 10억 원 이상 = 20일 이내이다. 착수보고는 계약 이행의 공식 개시 선언으로 작용한다.</t>
  </si>
  <si>
    <t>계약관리의 주요 기능에 관한 설명으로 옳지 않은 것은?</t>
  </si>
  <si>
    <t>관리기능 — 계약 이행에 필요한 행동·작업 내용을 촉진하는 기능</t>
  </si>
  <si>
    <t>동기부여기능 — 계약자에게 이행 동기를 부여하여 이윤 창출 의지를 유도</t>
  </si>
  <si>
    <t>위험관리기능 — 계약 이행 과정의 위험을 식별·통제하는 기능</t>
  </si>
  <si>
    <t>비밀유지기능 — 계약 내용을 모든 단계에서 비공개로 유지하는 기능</t>
  </si>
  <si>
    <t>* 정답 (④): 계약관리의 핵심 기능은 ① 관리기능, ② 동기부여기능, ③ 위험관리기능, ④ 성과확인기능 등이다. 계약 내용은 공개 투명성 원칙에 따라 적절히 공개·기록되어야 하며, 모든 단계의 비공개 유지는 원칙에 반한다.</t>
  </si>
  <si>
    <t>계약관리 계획 수립의 첫 번째 핵심 요소로 옳은 것은?</t>
  </si>
  <si>
    <t>목표 설정의 명확성 — 계약의 목적·기대 성과·품질 기준을 구체적으로 정의</t>
  </si>
  <si>
    <t>담당자 임의 결정 — 발주기관 담당자가 자유롭게 결정</t>
  </si>
  <si>
    <t>사후 변경 가능성 확보 — 계획을 수립하지 않고 사후에 결정</t>
  </si>
  <si>
    <t>비밀 유지 — 계약 목표를 모든 참여자에게 비공개</t>
  </si>
  <si>
    <t>* 정답 (①): 계약관리 계획 수립의 첫 번째 요소는 목표 설정의 명확성이며, 계약의 목적·기대 성과·품질 기준을 구체적으로 정의하는 것이 출발점이다. 계획의 충실성이 계약 이행의 안정성과 성과 수준을 결정한다.</t>
  </si>
  <si>
    <t>계약변경 관리의 기본 원칙으로 가장 적절한 것은?</t>
  </si>
  <si>
    <t>계약변경 관리 관련 실무통제(리스크 관리)로 가장 적절한 것은?</t>
  </si>
  <si>
    <t>계약변경 관리에 관한 설명으로 옳은 것은?</t>
  </si>
  <si>
    <t>물가변동에 따른 계약금액 조정의 요건으로 올바른 것은?</t>
  </si>
  <si>
    <t>계약 체결일로부터 60일 이상 경과하고 품목조정률이 5% 이상일 때</t>
  </si>
  <si>
    <t>계약 체결일로부터 90일 이상 경과하고 품목조정률 또는 지수조정률이 3% 이상 증감된 때</t>
  </si>
  <si>
    <t>계약 체결일로부터 120일 이상 경과하고 지수조정률이 3% 이상일 때</t>
  </si>
  <si>
    <t>계약 체결일로부터 90일 이상 경과하면 조정률과 무관하게 조정 가능</t>
  </si>
  <si>
    <t>* 정답 (②): 물가변동 조정요건은 ① 계약 체결일로부터 90일 이상 경과 + ② 품목조정률 또는 지수조정률 3% 이상 증감, 2가지가 동시에 충족되어야 한다(「국가계약법 시행령」 제64조).</t>
  </si>
  <si>
    <t>설계 변경으로 물량이 증가하는 경우 적용하는 단가의 기준으로 올바른 것은?</t>
  </si>
  <si>
    <t>항상 예정가격단가를 적용한다.</t>
  </si>
  <si>
    <t>항상 설계 변경 당시 시가를 적용한다.</t>
  </si>
  <si>
    <t>계약단가를 적용하되, 계약단가가 예정가격단가보다 높은 경우에는 예정가격단가를 적용한다.</t>
  </si>
  <si>
    <t>계약상대자가 제시하는 단가를 그대로 적용한다.</t>
  </si>
  <si>
    <t>* 정답 (③): 설계 변경 시 증감 공사량의 단가는 계약단가로 하되, 계약단가가 예정가격단가보다 높은 경우 물량 증가분에는 예정가격단가를 적용한다(「국가계약법 시행령」 제65조 제3항).</t>
  </si>
  <si>
    <t>단품 슬라이딩에 해당하는 조정 요건으로 올바른 것은?</t>
  </si>
  <si>
    <t>특정 규격의 자재별 가격증감 비율이 100분의 10 이상일 때</t>
  </si>
  <si>
    <t>특정 규격의 자재별 가격증감 비율이 100분의 15 이상일 때</t>
  </si>
  <si>
    <t>모든 자재의 가격이 100분의 5 이상 증가한 때</t>
  </si>
  <si>
    <t>특정 규격의 자재별 가격증감 비율이 100분의 20 이상일 때</t>
  </si>
  <si>
    <t>* 정답 (②): 공사계약의 경우 특정 규격의 자재별 가격변동에 따라 입찰일 기준 해당 자재의 가격증감 비율이 100분의 15 이상인 경우, 그 자재에 한해 계약금액을 조정한다(「국가계약법 시행령」 제64조 제6항).</t>
  </si>
  <si>
    <t>계약 해제와 계약 해지의 차이에 대한 설명으로 옳은 것은?</t>
  </si>
  <si>
    <t>해제와 해지는 동일한 법적 효과를 가진다.</t>
  </si>
  <si>
    <t>해제는 장래에 향하여 효력을 상실시키고, 해지는 소급하여 소멸시킨다.</t>
  </si>
  <si>
    <t>해제는 계약을 소급하여 소멸시키고, 해지는 장래에 향하여 효력을 상실시킨다.</t>
  </si>
  <si>
    <t>해제와 해지 모두 이미 이행된 부분의 효력은 유지된다.</t>
  </si>
  <si>
    <t>* 정답 (③): 계약 해제는 소급적 소멸(처음부터 없었던 것), 계약 해지는 장래적 소멸(해지 시점부터 효력 상실)이다.</t>
  </si>
  <si>
    <t>발주기관의 사정으로 계약을 해제·해지하는 경우의 조치로 올바른 것은?</t>
  </si>
  <si>
    <t>계약보증금을 국고에 귀속한다.</t>
  </si>
  <si>
    <t>해당하는 금액을 해제·해지한 날로부터 30일 이내에 지급한다.</t>
  </si>
  <si>
    <t>해당하는 금액을 해제·해지한 날로부터 14일 이내에 지급하고, 계약보증금을 동시에 반환한다.</t>
  </si>
  <si>
    <t>계약상대자가 별도로 손해배상을 청구해야 한다.</t>
  </si>
  <si>
    <t>* 정답 (③): 발주기관의 불가피한 사정으로 해제·해지 시 해당 금액을 14일 이내에 지급하고, 계약보증금을 동시에 반환하여야 한다(「물품구매(제조)계약 일반조건」 제27조 제2항).</t>
  </si>
  <si>
    <t>합의해제·해지의 경우 손해배상에 대한 설명으로 올바른 것은?</t>
  </si>
  <si>
    <t>법정해제·해지와 동일하게 손해배상을 청구할 수 있다.</t>
  </si>
  <si>
    <t>특별히 약정한 내용이 없다면 채무불이행에 따른 손해배상을 청구할 수 없다.</t>
  </si>
  <si>
    <t>합의해제의 경우에만 손해배상을 청구할 수 있다.</t>
  </si>
  <si>
    <t>합의해지의 경우에는 항상 손해배상 청구가 가능하다.</t>
  </si>
  <si>
    <t>* 정답 (②): 합의해제·해지에서는 한쪽이 배상하기로 약정하거나 배상청구를 유보하지 않는 한, 양 당사자 모두 채무불이행에 따른 손해배상을 청구할 수 없다.</t>
  </si>
  <si>
    <t>공공계약 분쟁해결 방법 중 국가계약분쟁조정위원회를 통한 분쟁 조정의 법적 근거는?</t>
  </si>
  <si>
    <t>「조달사업법」 제28조</t>
  </si>
  <si>
    <t>「중재법」 제3조</t>
  </si>
  <si>
    <t>「행정소송법」 제18조</t>
  </si>
  <si>
    <t>* 정답 (②): 국가계약분쟁조정위원회를 통한 조정은 「국가계약법」 제28조의2 제2항 제1호 및 제29조에 근거한다. 「조달사업법」 제28조는 이의신청, 중재법은 중재, 「행정소송법」은 행정소송에 해당한다.</t>
  </si>
  <si>
    <t>공공계약 계약변경의 주요 유형에 관한 설명으로 옳지 않은 것은?</t>
  </si>
  <si>
    <t>계약금액 조정 — 물가변동·설계 변경·환율 변동 등에 따른 금액 변경</t>
  </si>
  <si>
    <t>계약기간 변경 — 천재지변·발주자 사유 등에 따른 기간 연장·단축</t>
  </si>
  <si>
    <t>계약내용 변경 — 과업 범위·이행 방법 변경</t>
  </si>
  <si>
    <t>발주기관 담당자 임의 변경 — 담당자 재량으로 자유로운 변경</t>
  </si>
  <si>
    <t>* 정답 (④): 계약변경은 법령·계약조건에 정한 사유와 절차에 따라 양 당사자 합의로 이루어진다. 발주기관 담당자의 임의 변경은 사전확정 원칙에 반하며 인정되지 않는다.</t>
  </si>
  <si>
    <t>계약변경의 일반 절차로 옳은 것은?</t>
  </si>
  <si>
    <t>변경 사유 발생 → 변경 요청·검토 → 변경 합의 → 변경 합의서 작성·서명 → 변경 사항 이행</t>
  </si>
  <si>
    <t>변경 사항 이행 → 변경 사유 발생 → 변경 합의서 작성</t>
  </si>
  <si>
    <t>발주기관 통보만으로 즉시 변경 효력 발생</t>
  </si>
  <si>
    <t>변경은 사후 정산만으로 처리 가능</t>
  </si>
  <si>
    <t>* 정답 (①): 계약변경은 ① 변경 사유 발생 → ② 변경 요청·검토 → ③ 양 당사자 합의 → ④ 변경 합의서 작성·서명 → ⑤ 변경 사항 이행의 표준 절차로 진행된다. 합의서 없는 일방적 변경은 효력이 인정되지 않는다.</t>
  </si>
  <si>
    <t>계약금액 조정 사유에 관한 설명으로 옳지 않은 것은?</t>
  </si>
  <si>
    <t>물가변동에 따른 조정 — 일정 기간 경과 후 일정 비율 이상 등락 시</t>
  </si>
  <si>
    <t>설계 변경에 따른 조정 — 과업 범위·내용 변경 시</t>
  </si>
  <si>
    <t>발주기관 사정변경에 따른 조정 — 발주자 측 사유로 비용 증감 발생 시</t>
  </si>
  <si>
    <t>계약상대자의 단순 매출 부진에 따른 조정 — 자사 매출 회복을 위한 임의 증액</t>
  </si>
  <si>
    <t>* 정답 (④): 계약금액 조정은 법령·계약조건에 정한 객관적 사유(물가변동·설계 변경·발주자 사정변경 등)에 한해 인정되며, 계약상대자의 매출 부진은 조정 사유가 아니다.</t>
  </si>
  <si>
    <t>환율 변동에 따른 계약금액 조정에 관한 설명으로 옳은 것은?</t>
  </si>
  <si>
    <t>외국 통화로 표시된 외자조달 계약에서 환율 변동이 일정 비율 이상 발생한 경우 계약금액 조정이 가능하다.</t>
  </si>
  <si>
    <t>모든 국내 계약은 환율 변동을 이유로 자유롭게 금액 조정할 수 있다.</t>
  </si>
  <si>
    <t>환율 변동은 계약금액 조정 사유에 포함되지 않는다.</t>
  </si>
  <si>
    <t>환율 변동 조정은 계약상대자의 일방적 통보만으로 효력이 발생한다.</t>
  </si>
  <si>
    <t>* 정답 (①): 환율 변동에 따른 계약금액 조정은 외국 통화 표시 외자조달 계약 등 환율 노출이 큰 계약에서 일정 요건(변동 비율, 기간 등) 충족 시 인정된다. 양 당사자 합의·합의서 작성을 통해 효력이 발생한다.</t>
  </si>
  <si>
    <t>변경 합의서 작성 시 필수 기재 사항에 해당하지 않는 것은?</t>
  </si>
  <si>
    <t>변경 사유와 근거 법령·계약조항</t>
  </si>
  <si>
    <t>변경 전·후 내용의 명확한 비교</t>
  </si>
  <si>
    <t>변경에 따른 금액·기간·범위 등 영향 사항</t>
  </si>
  <si>
    <t>발주기관 담당자의 개인 신상정보(가족관계 등)</t>
  </si>
  <si>
    <t>* 정답 (④): 변경 합의서는 ① 변경 사유·근거, ② 변경 전·후 내용 비교, ③ 영향 사항(금액·기간·범위), ④ 양 당사자 서명 등을 포함해야 하며, 담당자 개인 신상정보는 기재 사항이 아니다.</t>
  </si>
  <si>
    <t>계약대상물 공급 일반절차에서 '기성검사' 단계의 발주기관 확인사항으로 올바른 것은?</t>
  </si>
  <si>
    <t>착수신고 접수, 투입인력·장비 확인</t>
  </si>
  <si>
    <t>일정·품질·안전 점검, 중간성과 확인</t>
  </si>
  <si>
    <t>기성검사 실시, 기성금 지급 검토</t>
  </si>
  <si>
    <t>최종검사, 검수조서 작성, 대금 지급</t>
  </si>
  <si>
    <t>* 정답 (③): 기성검사 단계에서 발주기관은 기성검사를 실시하고 기성금 지급을 검토한다. A는 착수, B는 이행중 관리, D는 완료 단계에 해당한다.</t>
  </si>
  <si>
    <t>계약 이행이 지연되어 납품된 경우 발주기관이 부과할 수 있는 것은?</t>
  </si>
  <si>
    <t>지체상금(지연배상금)</t>
  </si>
  <si>
    <t>* 정답 (③): 기한 경과 후 납품된 경우에는 지체상금을 부과한다. 계약보증금은 계약상 의무 자체가 이행되지 않았을 때 국고귀속하는 것으로 성격이 다르다.</t>
  </si>
  <si>
    <t>계약보증금의 납부금액 기준으로 올바른 것은?</t>
  </si>
  <si>
    <t>* 정답 (②): 원칙적으로 계약금액의 100분의 10 이상을 납부해야 한다(「국가계약법 시행령」 제50조).</t>
  </si>
  <si>
    <t>성과 기반 용역계약(PBSC)의 특징으로 올바르지 않은 것은?</t>
  </si>
  <si>
    <t>용역 자체가 아니라 용역지원 성과 결과를 구매한다.</t>
  </si>
  <si>
    <t>측정 가능한 요구 성과를 제시하고 객관적인 용어를 사용해 이행을 요구한다.</t>
  </si>
  <si>
    <t>인센티브와 페널티를 통해 성과를 평가한다.</t>
  </si>
  <si>
    <t>단기계약을 원칙으로 하여 경쟁을 유도한다.</t>
  </si>
  <si>
    <t>* 정답 (④): PBSC는 장기계속계약을 체결하여 안정적인 용역 여건을 도모하는 것이 특징이다. 업체는 장기계약으로 시설·설비에 안정적 투자가 가능하다.</t>
  </si>
  <si>
    <t>계약보증금을 국고귀속한 경우 지체상금의 부과에 대한 설명으로 올바른 것은?</t>
  </si>
  <si>
    <t>계약보증금 국고귀속과 지체상금은 동시에 부과해야 한다.</t>
  </si>
  <si>
    <t>계약보증금을 국고귀속한 경우에는 지체상금을 부과하지 않을 필요가 있다.</t>
  </si>
  <si>
    <t>지체상금을 먼저 부과한 후 계약보증금을 국고귀속해야 한다.</t>
  </si>
  <si>
    <t>계약보증금 귀속과 지체상금은 관련이 없다.</t>
  </si>
  <si>
    <t>* 정답 (②): 보증금 귀속은 '의무 자체 미이행' 전제, 지체상금은 '기한 경과 후 이행' 전제이므로 양자는 전제 조건이 다르다. 따라서 보증금 귀속 시 지체상금 미부과가 원칙이다.</t>
  </si>
  <si>
    <t>안정적 계약 이행 관리의 기본 원칙으로 가장 적절한 것은?</t>
  </si>
  <si>
    <t>* 정답 (③): 사전확정·공개·기록·동일적용 원칙은 감사·분쟁 리스크를 줄이는 핵심이다.</t>
  </si>
  <si>
    <t>안정적 계약 이행 관리 관련 실무통제(리스크 관리)로 가장 적절한 것은?</t>
  </si>
  <si>
    <t>안정적 계약 이행 관리에 관한 설명으로 옳은 것은?</t>
  </si>
  <si>
    <t>물품 납품 후 검수의 목적으로 가장 적절한 것은?</t>
  </si>
  <si>
    <t>공급업체의 영업 현황 파악</t>
  </si>
  <si>
    <t>납품된 물품이 계약 조건에 적합한지 확인</t>
  </si>
  <si>
    <t>공급업체의 재무 상태 검토</t>
  </si>
  <si>
    <t>예산 집행 현황 보고</t>
  </si>
  <si>
    <t>* 정답 (②): 검수는 납품 물품이 계약서의 규격·수량·품질·납기 등을 충족하는지 확인하는 핵심 절차이다.</t>
  </si>
  <si>
    <t>계약 조건 위반 시 발주기관의 조치로 옳은 것은?</t>
  </si>
  <si>
    <t>즉시 계약을 취소하고 재입찰</t>
  </si>
  <si>
    <t>시정 요구·지체상금·계약 해제·해지 등 단계적 조치를 취한다.</t>
  </si>
  <si>
    <t>계약 기간이 끝날 때까지 기다린다.</t>
  </si>
  <si>
    <t>업체가 요청하면 무조건 계약 연장</t>
  </si>
  <si>
    <t>* 정답 (②): 계약 위반 시 시정 요구 후 지속 위반 시 지체상금, 계약보증금 몰취, 계약 해제·해지 등 단계적 조치를 취한다.</t>
  </si>
  <si>
    <t>성과 기반 계약(PBC)에 대한 설명으로 옳은 것은?</t>
  </si>
  <si>
    <t>계약 금액만을 기준으로 성과 평가</t>
  </si>
  <si>
    <t>투입 요소보다 실제 성과를 기준으로 이행 관리한다.</t>
  </si>
  <si>
    <t>모든 공공계약에 의무 적용</t>
  </si>
  <si>
    <t>성과 미달 시 계약금액 자동 증액</t>
  </si>
  <si>
    <t>* 정답 (②): 성과 기반 계약은 투입 요소가 아닌 실제 성과를 기준으로 평가·관리하는 방식이다.</t>
  </si>
  <si>
    <t>계약이행 중 위험관리 단계의 올바른 순서는?</t>
  </si>
  <si>
    <t>평가→식별→예방→통제</t>
  </si>
  <si>
    <t>식별→분석→예방→통제</t>
  </si>
  <si>
    <t>예방→식별→통제→분석</t>
  </si>
  <si>
    <t>통제→분석→식별→예방</t>
  </si>
  <si>
    <t>* 정답 (②): 위험관리 절차는 식별 → 분석 → 예방 → 통제 순으로 진행된다.</t>
  </si>
  <si>
    <t>선금(선급금) 지급 후 수급자의 의무로 옳은 것은?</t>
  </si>
  <si>
    <t>선금을 자유롭게 사용 가능</t>
  </si>
  <si>
    <t>해당 계약 이행을 위한 용도로만 사용해야 한다.</t>
  </si>
  <si>
    <t>선금 정산은 계약 종료 후 2년 내</t>
  </si>
  <si>
    <t>선금을 반환할 필요 없음</t>
  </si>
  <si>
    <t>* 정답 (②): 선금은 해당 계약 이행 목적으로만 사용해야 하며 목적 외 사용 시 즉시 반환 및 제재 대상이 된다.</t>
  </si>
  <si>
    <t>계약이행 실적 평가의 활용 목적으로 옳은 것은?</t>
  </si>
  <si>
    <t>낙찰자 재선정에만 활용</t>
  </si>
  <si>
    <t>계약이행 품질 확인 및 향후 계약·입찰의 참고 자료로 활용된다.</t>
  </si>
  <si>
    <t>평가 결과는 공개되지 않음.</t>
  </si>
  <si>
    <t>계약 담당자 인사 평가에만 반영</t>
  </si>
  <si>
    <t>* 정답 (②): 계약이행 실적 평가는 공식 기록으로 남아 향후 계약 참고 자료 및 적격심사 납품실적 등으로 활용된다.</t>
  </si>
  <si>
    <t>계약이행 관리에서 하자이행보증의 목적으로 가장 적절한 것은?</t>
  </si>
  <si>
    <t>세금 납부 보증</t>
  </si>
  <si>
    <t>납품·준공 후 하자 발생 시 보수 이행을 보장하기 위해</t>
  </si>
  <si>
    <t>입찰 참가 자격 확인</t>
  </si>
  <si>
    <t>선금 지급 담보</t>
  </si>
  <si>
    <t>* 정답 (②): 하자이행보증은 납품 완료·공사 준공 후 하자 발생 시 수급자의 하자 보수 이행을 보증하는 담보이다.</t>
  </si>
  <si>
    <t>계약 이행 점검의 일반 원칙에 관한 설명으로 옳지 않은 것은?</t>
  </si>
  <si>
    <t>정기적 모니터링을 통해 이행 진척도와 품질 수준을 확인한다.</t>
  </si>
  <si>
    <t>점검 결과는 문서화하여 사후 검증 가능성을 확보한다.</t>
  </si>
  <si>
    <t>점검에서 이상 징후 발견 시 즉시 시정 요청·합의 절차를 진행한다.</t>
  </si>
  <si>
    <t>점검은 계약 종결 시점에 일괄로 한 번만 실시하면 충분하다.</t>
  </si>
  <si>
    <t>* 정답 (④): 계약 이행 점검은 정기적·지속적으로 실시되어야 하며, 종결 시점 일괄 점검은 위험 조기 식별·시정 기회 상실로 이어진다. 단계별·정기적 모니터링이 원칙이다.</t>
  </si>
  <si>
    <t>검사와 검수의 차이에 관한 설명으로 옳은 것은?</t>
  </si>
  <si>
    <t>검사는 이행 과정의 적합성을 점검하는 행위, 검수는 인수에 앞서 최종 결과물의 적합성을 확인하는 행위이다.</t>
  </si>
  <si>
    <t>검사와 검수는 동일한 개념이다.</t>
  </si>
  <si>
    <t>검수는 이행 과정에서 수시로 실시하고 검사는 종료 후 1회 실시한다.</t>
  </si>
  <si>
    <t>검사·검수는 발주기관 담당자만 단독 수행한다.</t>
  </si>
  <si>
    <t>* 정답 (①): 검사는 이행 과정의 적합성을 점검하는 절차이며, 검수는 최종 인수 전 결과물의 적합성을 확인하는 절차이다. 두 개념은 시점·목적이 구별되며, 필요 시 외부 전문가 참여도 가능하다.</t>
  </si>
  <si>
    <t>기성검사 단계에서 발주기관의 확인 사항으로 옳은 것은?</t>
  </si>
  <si>
    <t>착수신고 접수와 투입인력·장비 확인</t>
  </si>
  <si>
    <t>일정·품질·안전 점검과 중간 성과 확인</t>
  </si>
  <si>
    <t>기성 부분의 검사 실시와 기성금 지급 검토</t>
  </si>
  <si>
    <t>최종 검수와 검수조서 작성</t>
  </si>
  <si>
    <t>* 정답 (③): 기성검사는 계약 이행 중간 단계에서 기성 부분의 적합성을 검사하고 기성금 지급을 검토하는 단계이다. ①은 착수, ②는 이행 중간 점검, ④는 종결 단계 활동이다.</t>
  </si>
  <si>
    <t>계약 이행 위험 모니터링에 관한 설명으로 옳지 않은 것은?</t>
  </si>
  <si>
    <t>일정 위험 — 공정 지연·자재 수급 차질 모니터링</t>
  </si>
  <si>
    <t>품질 위험 — 규격 미달·하자 발생 모니터링</t>
  </si>
  <si>
    <t>비용 위험 — 물가상승·환율변동·설계 변경 영향 모니터링</t>
  </si>
  <si>
    <t>발주기관 담당자 개인 평판 위험 — 담당자 평판 변동 모니터링</t>
  </si>
  <si>
    <t>* 정답 (④): 계약 이행 위험 모니터링은 ① 일정, ② 품질, ③ 비용, ④ 법적, ⑤ 불가항력 등 객관적 위험 요소를 대상으로 한다. 담당자 개인 평판은 위험 모니터링 대상이 아니다.</t>
  </si>
  <si>
    <t>계약 이행 상태 보고에 관한 설명으로 옳은 것은?</t>
  </si>
  <si>
    <t>정기 보고와 비정기 보고로 구분되며, 비정기 보고는 중대 변동·위험 발생 시 즉시 실시한다.</t>
  </si>
  <si>
    <t>보고는 권고 사항으로 자유롭게 생략할 수 있다.</t>
  </si>
  <si>
    <t>정기 보고만 실시하고 비정기 보고는 별도로 없다.</t>
  </si>
  <si>
    <t>보고서는 비공개로 발주기관 내부에서만 보관한다.</t>
  </si>
  <si>
    <t>* 정답 (①): 계약 이행 상태 보고는 정기 보고(주간·월간 등)와 비정기 보고(중대 변동·위험 발생 시 즉시)로 구분되며, 사후 검증을 위해 체계적으로 기록·보존된다.</t>
  </si>
  <si>
    <t>납품 검사의 기한에 대한 설명으로 올바른 것은?</t>
  </si>
  <si>
    <t>계약상대자로부터 이행 완료를 통지받은 날부터 7일 이내</t>
  </si>
  <si>
    <t>계약상대자로부터 이행 완료를 통지받은 날부터 14일 이내</t>
  </si>
  <si>
    <t>계약상대자로부터 이행 완료를 통지받은 날부터 30일 이내</t>
  </si>
  <si>
    <t>계약상대자로부터 이행 완료를 통지받은 날부터 5일 이내</t>
  </si>
  <si>
    <t>* 정답 (②): 계약상대자로부터 해당 계약의 이행을 완료한 사실을 통지받은 날부터 14일 이내에 검사를 완료해야 한다(「국가계약법 시행령」 제55조).</t>
  </si>
  <si>
    <t>지체상금의 법적 성격에 대한 설명으로 올바른 것은?</t>
  </si>
  <si>
    <t>위약벌의 성격이므로 귀책사유의 입증이 필요하다.</t>
  </si>
  <si>
    <t>예정 손해배상액의 성격이므로 귀책사유의 입증이 필요하지 않다.</t>
  </si>
  <si>
    <t>과태료의 성격을 가진다.</t>
  </si>
  <si>
    <t>행정제재의 성격을 가진다.</t>
  </si>
  <si>
    <t>* 정답 (②): 판례의 일반적인 관점은 지체상금의 성격을 해당 지체에 관한 위약벌이 아니라 예정 손해배상액으로 보면서 귀책사유의 입증이 필요하지 않다고 한다(대법원 99다57126, 2002.1.25 등).</t>
  </si>
  <si>
    <t>물품의 제조 및 구매 계약에 적용되는 지체상금률은?</t>
  </si>
  <si>
    <t>1000분의 0.5</t>
  </si>
  <si>
    <t>1000분의 0.75</t>
  </si>
  <si>
    <t>1000분의 1.25</t>
  </si>
  <si>
    <t>1000분의 1.5</t>
  </si>
  <si>
    <t>* 정답 (②): 물품의 제조 및 구매(SW사업 시 물품과 용역을 일괄하여 입찰에 부치는 경우를 포함)의 지체상금률은 1000분의 0.75이다(「국가계약법 시행규칙」 제75조).</t>
  </si>
  <si>
    <t>다음 중 지체상금 면제 사유에 해당하지 않는 것은?</t>
  </si>
  <si>
    <t>천재지변 등 불가항력적인 사유인 경우</t>
  </si>
  <si>
    <t>계약상대자의 자금난으로 인한 제조 지연</t>
  </si>
  <si>
    <t>발주기관의 책임으로 제조 착수가 지연되었을 경우</t>
  </si>
  <si>
    <t>설계도서 승인 후 발주기관의 요구에 따른 설계 변경으로 제작기간이 지연된 경우</t>
  </si>
  <si>
    <t>* 정답 (②): 계약상대자의 자금난은 계약상대자의 책임에 해당하는 사유이므로 지체상금 면제 사유에 해당하지 않는다.</t>
  </si>
  <si>
    <t>다음 보증금 중 계약 완료 시 납부하며 계약금액의 2 ~ 10% 수준인 보증금은?</t>
  </si>
  <si>
    <t>선급금보증금</t>
  </si>
  <si>
    <t>* 정답 (④): 하자보수보증금은 하자 보수 이행을 담보하기 위해 계약 완료 시 납부하며 계약금액의 2 ~ 10%(계약 유형에 따라 상이)이다(「국가계약법 시행령」 제62조).</t>
  </si>
  <si>
    <t>납품검사(검수) 절차에서 '검수'의 정의로 옳은 것은?</t>
  </si>
  <si>
    <t>계약목적물이 계약서(구매규격·시방서)대로 제조·설치되었는지 검사공무원이 확인하는 절차</t>
  </si>
  <si>
    <t>계약목적물의 물리적 기능·성능·특성 또는 화학적 변화·반응 등을 해당 시험기관에서 측정·분석하는 절차</t>
  </si>
  <si>
    <t>검사를 통과한 계약목적물 중 손상품·훼손품이 없고 납품서류상 수량대로 납품되었는지 물품출납담당 공무원이 확인하는 절차</t>
  </si>
  <si>
    <t>납품기한 내 이행 완료 여부를 계약담당공무원이 서류로만 확인하는 행정 절차</t>
  </si>
  <si>
    <t>* 정답 (③): 검수는 검사를 통과한 계약목적물 중 손상품이나 훼손품이 없고, 계약서 또는 납품서류상 기록된 수량대로 납품되었는지 여부를 물품출납담당 공무원이 확인하는 절차이다(「조달청 조달물자 전문기관검사 업무규정」 제3조). '①'은 검사, '②'는 시험의 정의이다.</t>
  </si>
  <si>
    <t>시운전 조건부 납품 검사에서 계약상대자가 납품영수증 발행 시까지 수요기관에 제출해야 하는 시운전 성능이행 보증금의 비율로 옳은 것은?</t>
  </si>
  <si>
    <t>계약금액의 5% 범위에 해당하는 금액</t>
  </si>
  <si>
    <t>계약금액의 10% 범위에 해당하는 금액</t>
  </si>
  <si>
    <t>계약금액의 15% 범위에 해당하는 금액</t>
  </si>
  <si>
    <t>계약금액의 20% 범위에 해당하는 금액</t>
  </si>
  <si>
    <t>* 정답 (③): 「시운전조건부계약 추가특수조건」 제6조 제2항에 따라 계약상대자는 성능을 보증하기 위하여 계약금액의 15% 범위 이내에 해당하는 금액(시운전 성능이행 보증금)을 보증서 등으로 납품영수증 발행 시까지 수요기관에 제출하여야 한다.</t>
  </si>
  <si>
    <t>기성(납품)대가 지급 시 선급정산액 산출 공식으로 옳은 것은?</t>
  </si>
  <si>
    <t>선급정산액 = 선급액 × 기성(또는 기납)부분의 대가상당액 ÷ 계약금액</t>
  </si>
  <si>
    <t>선급정산액 = 계약금액 × 선급금 지급비율 ÷ 지체일수</t>
  </si>
  <si>
    <t>선급정산액 = (계약금액 - 기납금액) × 지체상금률</t>
  </si>
  <si>
    <t>선급정산액 = 선급액 ÷ 계약금액 × 총 납품수량</t>
  </si>
  <si>
    <t>* 정답 (①): 선급정산액 산출 공식은 '선급정산액=선급액×기성(또는 기납)부분의 대가상당액÷계약금액'이다. 기성(납품)대가 청구에 따라 대가를 지급하는 경우 이 공식으로 산출한 선급 정산액을 공제한 후 지급해야 한다. 지체상금 징수대상액 공식[(계약금액-기납금액)×지체일수×지체상금률]과 혼동하지 않도록 주의해야 한다.</t>
  </si>
  <si>
    <t>계약종결 절차의 4단계를 올바른 순서로 나열한 것은?</t>
  </si>
  <si>
    <t>이행평가 → 서류 정리 → 하자보증 설정 → 보증금 반환</t>
  </si>
  <si>
    <t>보증금 반환 → 서류 정리 → 이행평가 → 하자보증 설정</t>
  </si>
  <si>
    <t>서류 정리 → 이행평가 → 보증금 반환 → 하자보증 설정</t>
  </si>
  <si>
    <t>하자보증 설정 → 보증금 반환 → 서류 정리 → 이행평가</t>
  </si>
  <si>
    <t>* 정답 (③): 계약종결 절차는 ① 서류 정리(계약서·변경계약서·검사조서·대금지급 내역 등 일체 정리·보관) → ② 이행평가(계약상대자의 이행실적 평가·기록) → ③ 보증금 반환(하자보수보증금 제외한 계약보증금·선급금보증금 등 반환) → ④ 하자보증 설정(하자보수보증금 납부 또는 하자보증보험증권 제출) 순서이다.</t>
  </si>
  <si>
    <t>공사계약에서 계약이행 담보 방법에 관한 설명으로 옳지 않은 것은?</t>
  </si>
  <si>
    <t>계약금액의 15% 이상의 계약보증금을 납부하는 방법과 공사이행보증서를 제출하는 방법을 병행 운영한다.</t>
  </si>
  <si>
    <t>계약금액의 15% 이상 계약보증금을 납부한 경우, 계약불이행 시 계약보증금 전액이 국고에 귀속된다.</t>
  </si>
  <si>
    <t>공사이행보증서는 계약금액의 40% 이상을 납부할 것을 보증하며, 계약불이행 시 보증서 발급기관이 우선 책임시공한다.</t>
  </si>
  <si>
    <t>공사이행보증서 제출 방법은 금전적 보증기능만 가지며, 역무적 보증 기능은 없다.</t>
  </si>
  <si>
    <t>* 정답 (④): 공사이행보증서(Performance Bond) 제출 방법은 역무적 보증 기능(보증서 발급기관의 책임시공)과 금전적 보증기능(책임시공 불이행 시 보증서 금액 국고 귀속)을 동시에 갖는다. 계약보증금 납부 방법은 금전적 보증 기능만 갖는다. 따라서 '④'의 설명은 계약보증금과 공사이행보증서의 특성을 반대로 기술한 것이다.</t>
  </si>
  <si>
    <t>계약 종결의 일반 절차로 옳은 것은?</t>
  </si>
  <si>
    <t>최종 검사·검수 → 인수 → 잔여 대금 정산·지급 → 보증서·증빙 정리 → 사후 평가</t>
  </si>
  <si>
    <t>사후 평가 → 인수 → 최종 검사·검수 → 잔여 대금 정산</t>
  </si>
  <si>
    <t>인수 → 최종 검사·검수 → 잔여 대금 정산 → 사후 평가</t>
  </si>
  <si>
    <t>잔여 대금 정산 → 사후 평가 → 인수 → 최종 검사·검수</t>
  </si>
  <si>
    <t>* 정답 (①): 계약 종결은 ① 최종 검사·검수 → ② 인수(검수조서 작성) → ③ 잔여 대금 정산·지급 → ④ 보증서·증빙 정리 → ⑤ 사후 평가의 표준 절차로 진행된다.</t>
  </si>
  <si>
    <t>계약 종결 시 정산의 핵심 항목에 해당하지 않는 것은?</t>
  </si>
  <si>
    <t>기성·준공 대가 지급</t>
  </si>
  <si>
    <t>선금 정산 잔액 처리</t>
  </si>
  <si>
    <t>지체상금 부과 여부 확인</t>
  </si>
  <si>
    <t>계약상대자의 향후 영업 전략 수립</t>
  </si>
  <si>
    <t>* 정답 (④): 계약 종결 시 정산은 ① 기성·준공 대가, ② 선금 정산, ③ 지체상금, ④ 보증금 환급 등 계약 관련 사항으로 한정된다. 계약상대자의 영업 전략은 정산과 무관하다.</t>
  </si>
  <si>
    <t>계약상대자 귀책사유로 인한 계약 해제·해지의 효과에 관한 설명으로 옳지 않은 것은?</t>
  </si>
  <si>
    <t>검사·인수한 부분에 상당하는 대가는 지급된다.</t>
  </si>
  <si>
    <t>미정산 선금은 약정이자 상당액을 가산하여 상환받는다.</t>
  </si>
  <si>
    <t>계약보증금이 국고에 귀속될 수 있다.</t>
  </si>
  <si>
    <t>발주기관이 계약상대자의 모든 손실을 배상해야 한다.</t>
  </si>
  <si>
    <t>* 정답 (④): 계약상대자 귀책사유로 해제·해지된 경우 발주기관은 손실을 배상하지 않으며, 오히려 계약보증금 국고 귀속·손해배상 청구·부정당업자 제재 등이 병행될 수 있다.</t>
  </si>
  <si>
    <t>발주기관 사정변경으로 인한 계약 해제·해지의 효과에 관한 설명으로 옳은 것은?</t>
  </si>
  <si>
    <t>미지급 대가가 있으면 14일 이내 지급한다.</t>
  </si>
  <si>
    <t>미정산 선금 잔액은 약정이자 가산 없이 상환한다.</t>
  </si>
  <si>
    <t>계약상대자의 철수비용을 발주기관이 부담한다.</t>
  </si>
  <si>
    <t>* 정답 (④): 발주기관 사정변경으로 해제·해지된 경우 ① 미지급 대가는 14일 이내 지급, ② 선금 잔액은 이자 가산 없이 상환, ③ 계약상대자 철수비용은 발주기관 부담의 후속 조치가 적용된다. 계약상대자의 정당한 비용을 보호하는 구조이다.</t>
  </si>
  <si>
    <t>계약 종결 후 사후 평가의 활용 목적으로 옳지 않은 것은?</t>
  </si>
  <si>
    <t>향후 유사 계약의 평가기준·검수기준 개선 자료</t>
  </si>
  <si>
    <t>우수 공급자·부실 공급자 식별을 통한 향후 입찰 신인도 평가 활용</t>
  </si>
  <si>
    <t>발주기관 내부 절차의 효율성 검토</t>
  </si>
  <si>
    <t>계약상대자의 영업 비밀 정보를 외부에 공개하기 위한 자료</t>
  </si>
  <si>
    <t>* 정답 (④): 사후 평가는 ① 절차·기준 개선, ② 신인도 평가, ③ 내부 효율성 검토 등 발주기관의 학습·개선 목적으로 활용된다. 계약상대자의 영업 비밀 외부 공개는 비밀유지 의무 위반에 해당한다.</t>
  </si>
  <si>
    <t>3-2. 물품 계약관리</t>
  </si>
  <si>
    <t>나라장터에 '제조업체'로 입찰참가자격을 등록하려는 업체가 자신의 생산능력을 증명하기 위해 제출하는 서류로 가장 적절한 것은?</t>
  </si>
  <si>
    <t>최근 3년간 세금 납부내역서</t>
  </si>
  <si>
    <t>직접생산확인증명서</t>
  </si>
  <si>
    <t>법인 정관 요약본</t>
  </si>
  <si>
    <t>사업자등록증 사본만</t>
  </si>
  <si>
    <t>* 정답 (②): 제조업체는 직접 생산 능력을 증명하는 직접생산확인증명서(공장등록, 생산설비 확인 등을 거쳐 발급)를 제출해 제조물품으로 등록함.</t>
  </si>
  <si>
    <t>중소기업제품 구매촉진 및 판로지원에 관한 법률 등</t>
  </si>
  <si>
    <t>나라장터 등록 시, 제조업체가 아닌 '공급업체'가 특정 제조업체의 제품을 독점적으로 공급할 수 있는 자격(예: 다수공급자계약 참여)을 얻기 위해 제조업체로부터 받아야 하는 서류는?</t>
  </si>
  <si>
    <t>공장등록증</t>
  </si>
  <si>
    <t>독점공급확약서</t>
  </si>
  <si>
    <t>산출내역서</t>
  </si>
  <si>
    <t>현장설명서</t>
  </si>
  <si>
    <t>* 정답 (②): 공급업체는 해당 제조업체로부터 독점공급을 확약받은 서류(독점공급확약서)를 제출해야 그 물품에 대한 공급자로서 계약(예: MAS)에 참여할 수 있음.</t>
  </si>
  <si>
    <t>경쟁입찰참가자격 등록증에 등재된 정보 중 상호, 대표자, 주소 등이 변경된 경우 계약상대자가 취해야 할 조치는?</t>
  </si>
  <si>
    <t>변경사항을 지체 없이 갱신 등록한다</t>
  </si>
  <si>
    <t>다음 입찰 공고가 나올 때까지 기다린다</t>
  </si>
  <si>
    <t>별도 조치 없이 방치해도 무방하다</t>
  </si>
  <si>
    <t>등록을 처음부터 다시 신청할 필요는 전혀 없다</t>
  </si>
  <si>
    <t>* 정답 (①): 등록 정보에 변동이 생기면 지체 없이 갱신 등록하여 최신 정보를 유지해야 함.</t>
  </si>
  <si>
    <t>입찰참가자격 등록의 유효기간이 만료된 업체가 계속 입찰에 참여하려는 경우 취해야 할 조치는?</t>
  </si>
  <si>
    <t>유효기간 내에 갱신(재등록) 절차를 밟는다</t>
  </si>
  <si>
    <t>등록 없이도 계속 입찰이 가능하다</t>
  </si>
  <si>
    <t>등록 유효기간이라는 개념 자체가 없다</t>
  </si>
  <si>
    <t>유효기간은 등록증에 표시되지 않는다</t>
  </si>
  <si>
    <t>* 정답 (①): 등록 유효기간이 만료되기 전에 갱신 절차를 거쳐야 계속해서 입찰에 참여할 수 있음.</t>
  </si>
  <si>
    <t>[상황] A사는 국내에 생산시설이 없고 완제품만 유통하는 업체다. 이 업체가 나라장터에 등록할 수 있는 유형으로 가장 적절한 것은?</t>
  </si>
  <si>
    <t>제조 물품으로만 등록</t>
  </si>
  <si>
    <t>구매(공급) 물품으로 등록</t>
  </si>
  <si>
    <t>외자구매 전용으로만 등록 가능</t>
  </si>
  <si>
    <t>등록이 원천적으로 불가능함</t>
  </si>
  <si>
    <t>* 정답 (②): 자체 생산시설 없이 완제품을 유통·공급하는 업체는 구매(공급) 물품으로 입찰참가자격을 등록하는 것이 적절함.</t>
  </si>
  <si>
    <t>경쟁입찰참가자격등록증에 '입찰대리인'을 등록하는 목적으로 가장 적절한 것은?</t>
  </si>
  <si>
    <t>경쟁업체와의 협상을 대행시키기 위해</t>
  </si>
  <si>
    <t>세금 신고를 대행시키기 위해</t>
  </si>
  <si>
    <t>대표자를 대신하여 입찰·계약 관련 행위를 수행할 수 있도록 하기 위해</t>
  </si>
  <si>
    <t>공장 시설을 관리시키기 위해</t>
  </si>
  <si>
    <t>* 정답 (③): 입찰대리인은 대표자를 대신해 입찰·계약에 관한 행위를 할 수 있도록 등록하는 자로, 통상 소속 임직원 중에서 지정함.</t>
  </si>
  <si>
    <t>물품 입찰참가자격 등록 시, 등록하려는 물품에 대해 정부가 부여하는 표준화된 분류·식별 절차를 무엇이라 하는가?</t>
  </si>
  <si>
    <t>세금계산서 발급</t>
  </si>
  <si>
    <t>물품 목록화(식별번호 부여)</t>
  </si>
  <si>
    <t>현장설명 참석</t>
  </si>
  <si>
    <t>계약보증금 납부</t>
  </si>
  <si>
    <t>* 정답 (②): 물품은 목록화 절차를 거쳐 고유 식별번호(품명·품목 분류)를 부여받아야 나라장터에서 거래 대상으로 취급됨.</t>
  </si>
  <si>
    <t>중증장애인생산품 생산시설 등 공공기관의 장이 별도로 지정한 시설에서 생산된 물품을 등록할 때 필요한 서류로 가장 적절한 것은?</t>
  </si>
  <si>
    <t>등록이 아예 불가능함</t>
  </si>
  <si>
    <t>해외 공장등록증</t>
  </si>
  <si>
    <t>해당 시설 지정서 등 직접생산을 확인한 서류</t>
  </si>
  <si>
    <t>일반 사업자등록증만으로 충분</t>
  </si>
  <si>
    <t>* 정답 (③): 중증장애인생산품 생산시설 지정서와 같이 공공기관의 장이 직접생산을 확인한 서류를 제출하면 해당 물품을 등록할 수 있음.</t>
  </si>
  <si>
    <t>[상황] 국외에 소재한 업체가 나라장터에 국외소재업체로 등록하려 한다. 이때 제출할 서류로 가장 적절한 것은?</t>
  </si>
  <si>
    <t>소속 국가의 사업자등록증 또는 이에 준하는 점포소유증명서</t>
  </si>
  <si>
    <t>국내 법인등기부등본</t>
  </si>
  <si>
    <t>국내 세무서 발급 납세증명서</t>
  </si>
  <si>
    <t>국내 공장등록증</t>
  </si>
  <si>
    <t>* 정답 (①): 국외소재업체는 국내 사업자등록증을 발급받을 수 없으므로, 소속 국가의 사업자등록증 또는 점포소유증명서 등으로 갈음함.</t>
  </si>
  <si>
    <t>경쟁입찰참가자격 등록의 법적 의미로 가장 적절한 것은?</t>
  </si>
  <si>
    <t>등록은 공사계약에만 적용되고 물품계약에는 적용되지 않는다</t>
  </si>
  <si>
    <t>등록만으로 특정 계약의 낙찰자로 자동 확정된다</t>
  </si>
  <si>
    <t>등록은 계약 체결 이후에 하는 절차이다</t>
  </si>
  <si>
    <t>공공조달 경쟁입찰에 참여하기 위한 최소한의 자격 요건을 갖췄음을 확인받는 절차이다</t>
  </si>
  <si>
    <t>* 정답 (④): 경쟁입찰참가자격 등록은 입찰에 참여하기 위한 기본 자격요건을 사전에 확인받는 절차임.</t>
  </si>
  <si>
    <t>제조업체가 아닌 유통업체가 나라장터에 자사의 취급 품목을 '공급물품'으로 등록하려 할 때, 시스템 등록 조건에 대한 설명으로 가장 올바른 것은?</t>
  </si>
  <si>
    <t>공급물품은 입찰 참가를 위해 반드시 해당 업체의 자가 공장등록증 사본이 있어야만 승인된다.</t>
  </si>
  <si>
    <t>제조 설비가 없어도 무방하며, 매입하여 납품하려는 물품의 세부품명번호를 지정하여 공급물품으로 등록할 수 있다.</t>
  </si>
  <si>
    <t>공급물품으로 한 번 지정되어 등록된 번호는 향후 공장을 짓더라도 영구적으로 제조물품으로 전환 등록할 수 없다.</t>
  </si>
  <si>
    <t>유통만 하려는 공급물품이라도 최초 등록 시 반드시 원천 제조사의 사업자등록증과 인감증명서를 첨부해야 한다.</t>
  </si>
  <si>
    <t>* 정답 (②): 제조 시설이 없는 단순 유통/도소매 업체의 경우, 공장등록증 없이도 취급하고자 하는 물품의 카테고리(세부품명번호)를 선택하여 합법적으로 '공급물품' 등록이 가능합니다.</t>
  </si>
  <si>
    <t>발주기관이 입찰공고 전에 규격서(과업내용 등)를 미리 공개해 이해관계자의 의견을 수렴하는 제도의 주된 목적으로 가장 적절한 것은?</t>
  </si>
  <si>
    <t>특정 업체에 유리한 규격 설정을 방지하고 다양한 의견을 반영하기 위해</t>
  </si>
  <si>
    <t>계약금액을 사전에 확정하기 위해</t>
  </si>
  <si>
    <t>계약상대자를 미리 내정하기 위해</t>
  </si>
  <si>
    <t>입찰 참가업체 수를 최소화하기 위해</t>
  </si>
  <si>
    <t>* 정답 (①): 사전규격공개는 특정 업체에 유리하게 규격이 설계되는 것을 막고, 다양한 이해관계자의 의견을 반영해 공정성을 높이기 위한 제도임.</t>
  </si>
  <si>
    <t>물품구매 입찰공고문에 통상 포함되어야 할 사항으로 가장 거리가 먼 것은?</t>
  </si>
  <si>
    <t>추정가격 또는 예정가격 관련 기준</t>
  </si>
  <si>
    <t>입찰 방법 및 낙찰자 결정 방법</t>
  </si>
  <si>
    <t>하자담보책임기간 및 하자보수보증금률</t>
  </si>
  <si>
    <t>입찰참가자격 요건</t>
  </si>
  <si>
    <t>* 정답 (③): 하자담보책임기간 및 하자보수보증금률은 입찰공고문에 포함될 사항이 아님.</t>
  </si>
  <si>
    <t>입찰공고 내용 중 법령 위반이나 오류가 발견된 경우 계약담당자가 취해야 할 조치로 가장 적절한 것은?</t>
  </si>
  <si>
    <t>입찰이 종료된 후에만 수정이 가능하다</t>
  </si>
  <si>
    <t>정정 공고 등을 통해 필요한 사항을 바로잡는다</t>
  </si>
  <si>
    <t>이미 공고된 내용은 절대 수정할 수 없다</t>
  </si>
  <si>
    <t>오류를 알고도 그대로 진행해야 한다</t>
  </si>
  <si>
    <t>* 정답 (②): 공고 내용에 오류나 법령 위반 사항이 발견되면 정정공고 등을 통해 바로잡는 것이 원칙임.</t>
  </si>
  <si>
    <t>입찰공고문 검토 시 확인해야 할 사항으로 가장 거리가 먼 것은?</t>
  </si>
  <si>
    <t>특정 업체의 입찰 참여 여부</t>
  </si>
  <si>
    <t>규격·과업내용의 명확성</t>
  </si>
  <si>
    <t>입찰보증금 제출방법</t>
  </si>
  <si>
    <t>* 정답 (①): 특정 업체의 입찰 참여 여부는 발주기관이 확인·통제할 사항이 아님.</t>
  </si>
  <si>
    <t>[상황] 입찰설명회에서 입찰참가자가 규격서 일부 내용에 대해 질의했다. 발주기관이 취할 수 있는 조치로 가장 적절한 것은?</t>
  </si>
  <si>
    <t>입찰을 즉시 취소해야 한다</t>
  </si>
  <si>
    <t>질의한 업체만 몰래 답변해준다</t>
  </si>
  <si>
    <t>필요시 규격서 내용을 명확히 하는 방향으로 공고를 정정할 수 있다</t>
  </si>
  <si>
    <t>질의에 응답할 의무가 전혀 없다</t>
  </si>
  <si>
    <t>* 정답 (③): 설명회 등에서 확인된 불명확한 사항은 필요시 공고 정정 등을 통해 명확히 할 수 있음.</t>
  </si>
  <si>
    <t>입찰보증금의 제출방법으로 일반적으로 인정되지 않는 것은?</t>
  </si>
  <si>
    <t>보증보험증권 제출</t>
  </si>
  <si>
    <t>지급보증서 제출</t>
  </si>
  <si>
    <t>구두로 납부 의사만 표시하는 방법</t>
  </si>
  <si>
    <t>* 정답 (④): 입찰보증금은 현금, 보증보험증권, 지급보증서 등 정해진 방법으로 제출해야 하며, 구두 의사표시만으로는 갈음할 수 없음.</t>
  </si>
  <si>
    <t>입찰공고문에서 '추정가격'이 활용되는 목적으로 가장 거리가 먼 것은?</t>
  </si>
  <si>
    <t>국제입찰 대상 여부를 판단하기 위해</t>
  </si>
  <si>
    <t>수의계약 가능 여부를 판단하기 위해</t>
  </si>
  <si>
    <t>계약상대자의 향후 예상 이익률을 미리 확정하기 위해</t>
  </si>
  <si>
    <t>제한경쟁 등 입찰방법을 결정하기 위해</t>
  </si>
  <si>
    <t>* 정답 (③): 추정가격은 국제입찰 대상 여부, 입찰방법 결정, 수의계약 가능 여부 판단 등의 기준으로 활용되며, 계약상대자의 이익률을 확정하는 개념이 아님.</t>
  </si>
  <si>
    <t>입찰 및 제안준비에 필요한 정보를 입찰참가자가 식별·요청할 수 있는 절차로 가장 적절한 것은?</t>
  </si>
  <si>
    <t>경쟁사에 직접 문의</t>
  </si>
  <si>
    <t>발주기관 담당자와의 사적 접촉</t>
  </si>
  <si>
    <t>비공식 경로를 통한 사전 정보 입수</t>
  </si>
  <si>
    <t>입찰설명회 참석 및 질의응답 활용</t>
  </si>
  <si>
    <t>* 정답 (④): 입찰설명회 등 공식 절차를 통해 필요한 정보를 확인·요청하는 것이 원칙임.</t>
  </si>
  <si>
    <t>물품구매 입찰공고서 검토 단계에서, 규격이 특정 제조사의 제품만 충족할 수 있도록 지나치게 좁게 설정된 경우 발생할 수 있는 문제로 가장 적절한 것은?</t>
  </si>
  <si>
    <t>계약금액이 자동으로 낮아진다</t>
  </si>
  <si>
    <t>아무런 문제가 되지 않는다</t>
  </si>
  <si>
    <t>공정한 경쟁을 저해하는 특혜성 규격이라는 지적을 받을 수 있다</t>
  </si>
  <si>
    <t>입찰 참가업체가 오히려 크게 늘어난다</t>
  </si>
  <si>
    <t>* 정답 (③): 특정 업체만 충족 가능한 과도하게 좁은 규격은 경쟁을 제한하는 특혜성 규격으로 문제될 수 있음.</t>
  </si>
  <si>
    <t>입찰공고서 작성 시, 계약이행 중 준수해야 할 안전·품질 기준 등을 명시하는 이유로 가장 적절한 것은?</t>
  </si>
  <si>
    <t>특정 업체를 배제하기 위해</t>
  </si>
  <si>
    <t>서류 분량을 늘리기 위해</t>
  </si>
  <si>
    <t>입찰참가자가 이행조건을 사전에 명확히 인지하고 그에 맞춰 응찰하도록 하기 위해</t>
  </si>
  <si>
    <t>계약금액을 부풀리기 위해</t>
  </si>
  <si>
    <t>* 정답 (③): 이행조건을 공고 단계에서 명확히 제시해야 입찰참가자가 이를 반영해 적정하게 응찰할 수 있음.</t>
  </si>
  <si>
    <t>가격과 계약이행능력(기술, 경영상태, 신인도 등)을 종합적으로 심사하여 낙찰자를 결정하는 방식은?</t>
  </si>
  <si>
    <t>2단계경쟁</t>
  </si>
  <si>
    <t>* 정답 (①): 적격심사낙찰제는 예정가격 이하 최저가 순으로 입찰가격과 계약이행능력(기술력, 경영상태, 신인도 등)을 종합 심사해 낙찰자를 결정하는 방식임.</t>
  </si>
  <si>
    <t>기술능력 평가 비중이 절대적으로 높아, 전문성이 중요한 물품·용역 조달에 주로 적용되는 낙찰자 결정방식은?</t>
  </si>
  <si>
    <t>단순 가격경쟁입찰</t>
  </si>
  <si>
    <t>* 정답 (②): 협상에 의한 계약은 기술능력평가 비중을 매우 높게 두고, 고득점자 순으로 가격 등을 협상하여 낙찰자를 결정하는 방식으로, 기술 비중이 절대적으로 중요한 계약에 주로 활용됨.</t>
  </si>
  <si>
    <t>규격이 다양하고 사전에 기술 검토가 특히 중요한 물품 조달에 적합한 경쟁 방식으로 옳은 것은?</t>
  </si>
  <si>
    <t>소액수의계약</t>
  </si>
  <si>
    <t>2단계 경쟁입찰(규격·기술 검토 후 가격 경쟁)</t>
  </si>
  <si>
    <t>단순 최저가 일반경쟁입찰</t>
  </si>
  <si>
    <t>* 정답 (③): 2단계 경쟁입찰은 먼저 규격·기술 적합성을 심사한 뒤, 적합 판정을 받은 자를 대상으로 가격 경쟁을 실시하는 방식으로, 규격이 다양하고 기술 검토가 중요한 물품에 적합함.</t>
  </si>
  <si>
    <t>사무용품, 문구류처럼 규격이 표준화되어 있고 다수공급자가 존재하는 상용품 조달에 활용하기 적합한 낙찰자 결정방식으로 옳지 않은 것은?</t>
  </si>
  <si>
    <t>적격심사를 통한 구매</t>
  </si>
  <si>
    <t>나라장터 종합쇼핑몰을 통한 구매</t>
  </si>
  <si>
    <t>다수공급자계약(MAS)을 통한 구매</t>
  </si>
  <si>
    <t>기술능력평가 비중이 절대적인 협상에 의한 계약</t>
  </si>
  <si>
    <t>* 정답 (④): 협상에 의한 계약은 기술력이 특히 중요한 고도의 전문 물품에 주로 적용되며, 표준화된 상용품은 통상 MAS나 적격심사 등으로 구매함.</t>
  </si>
  <si>
    <t>[상황] 발주기관이 특정 규모 이하의 소액 물품을 구매하면서 별도의 경쟁 절차 없이 계약상대자를 선정하려 한다. 이때 적용할 수 있는 낙찰자 결정 방식(계약 방법)은?</t>
  </si>
  <si>
    <t>* 정답 (③): 일정 금액 이하의 소액 물품은 경쟁입찰 절차를 생략하고 수의계약으로 처리할 수 있음.</t>
  </si>
  <si>
    <t>동일한 종류의 물품을 필요한 수량만큼 여러 업체로부터 나누어 구매하고자 할 때 활용하는 낙찰자 결정방식은?</t>
  </si>
  <si>
    <t>단가계약 일반경쟁</t>
  </si>
  <si>
    <t>* 정답 (②): 희망수량경쟁입찰은 입찰자가 공급 가능한 수량을 제시하게 하여, 예정수량 범위 내에서 여러 업체와 나누어 계약을 체결할 수 있는 방식임.</t>
  </si>
  <si>
    <t>적격심사낙찰제에서 평가 항목으로 일반적으로 포함되지 않는 것은?</t>
  </si>
  <si>
    <t>입찰 대상 목적물과 동등 이상 물품에 대한 과거 납품실적</t>
  </si>
  <si>
    <t>해당 계약을 성공적으로 이행하기 위해 요구되는 기술능력</t>
  </si>
  <si>
    <t>신용평가등급 등에 기초하여 산정하는 입찰자의 경영상태 및 신인도</t>
  </si>
  <si>
    <t>사업의 성공적 수행을 위한 입찰 업체의 중장기 경영 비전 및 마케팅 전략</t>
  </si>
  <si>
    <t>* 정답 (④): 경영 비전 및 마케팅 전략은 적격심사 평가 항목이 아님. 납품실적, 기술능력, 경영상태·신인도 등이 평가 대상임.</t>
  </si>
  <si>
    <t>낙찰자 결정방식을 정할 때 발주기관이 우선적으로 고려해야 할 요소로 가장 적절한 것은?</t>
  </si>
  <si>
    <t>조달대상 물품의 성격(규격 표준화 여부, 기술 중요도, 금액 규모 등)</t>
  </si>
  <si>
    <t>계약해당 기관의 과거 관행 및 내부 지침을 우선 적용</t>
  </si>
  <si>
    <t>특정 업체의 요청사항</t>
  </si>
  <si>
    <t>입찰참가업체 계약상대자의 지역경제 기여도 및 사회적 책임</t>
  </si>
  <si>
    <t>* 정답 (①): 낙찰자 결정방식은 물품의 규격 표준화 정도, 기술적 중요도, 계약금액 규모 등 조달대상의 성격을 고려해 정하는 것이 합리적임.</t>
  </si>
  <si>
    <t>낙찰자로 결정되었으나 정당한 이유 없이 계약을 체결하지 않는 경우 통상 발생하는 결과로 가장 적절한 것은?</t>
  </si>
  <si>
    <t>해당 입찰 건에 한하여 차순위 협상자로 자격이 강등된다</t>
  </si>
  <si>
    <t>입찰보증금(또는 그에 상당하는 금액)이 국고 등에 귀속될 수 있다</t>
  </si>
  <si>
    <t>해당 업체가 자동으로 재입찰 우선권을 얻는다</t>
  </si>
  <si>
    <t>계약금액이 자동으로 감액된다</t>
  </si>
  <si>
    <t>* 정답 (②): 낙찰자가 정당한 사유 없이 계약을 체결하지 않으면 입찰보증금이 국고 등에 귀속되는 등 불이익을 받을 수 있음.</t>
  </si>
  <si>
    <t>다수공급자계약(MAS)에 대한 설명으로 가장 적절한 것은?</t>
  </si>
  <si>
    <t>공사계약에만 적용되는 제도이다</t>
  </si>
  <si>
    <t>단 하나의 업체와만 계약을 체결하는 독점 계약 방식이다</t>
  </si>
  <si>
    <t>여러 업체와 단가계약을 체결해 두고, 수요기관이 필요시 나라장터 종합쇼핑몰 등을 통해 구매하는 방식이다</t>
  </si>
  <si>
    <t>신속한 물품 조달을 위해 계약 체결 과정에서 업체의 적격성 평가는 생략된다.</t>
  </si>
  <si>
    <t>* 정답 (③): 다수공급자계약은 여러 공급자와 단가 등을 정해 계약을 맺어두고, 수요기관이 필요에 따라 종합쇼핑몰 등을 통해 선택적으로 구매하는 방식임.</t>
  </si>
  <si>
    <t>소액수의계약이 허용되는 근본적인 취지로 가장 적절한 것은?</t>
  </si>
  <si>
    <t>특정 업체를 지속적으로 우대하기 위해</t>
  </si>
  <si>
    <t>소규모 계약에까지 복잡한 경쟁절차를 강제하는 것이 오히려 행정 비효율을 초래할 수 있기 때문에</t>
  </si>
  <si>
    <t>예산을 아끼지 않기 위해</t>
  </si>
  <si>
    <t>모든 계약에서 경쟁을 배제하기 위해</t>
  </si>
  <si>
    <t>* 정답 (②): 일정 금액 이하의 소액 계약까지 복잡한 경쟁절차를 요구하면 행정 비효율이 크므로, 절차를 간소화한 수의계약을 허용함.</t>
  </si>
  <si>
    <t>국가계약법 시행령 제26조(수의계약 사유)</t>
  </si>
  <si>
    <t>소액수의계약을 체결하기 위해 계약담당자가 통상적으로 거치는 절차로 가장 적절한 것은?</t>
  </si>
  <si>
    <t>2인 이상으로부터 견적서를 받아 비교하는 등 최소한의 가격 비교 절차를 거친다</t>
  </si>
  <si>
    <t>반드시 감사원의 사전 승인을 받는다</t>
  </si>
  <si>
    <t>아무런 절차 없이 임의로 업체를 지정한다</t>
  </si>
  <si>
    <t>반드시 공개경쟁입찰을 실시한다</t>
  </si>
  <si>
    <t>* 정답 (①): 소액수의계약도 통상 2인 이상의 견적서를 비교하는 등 최소한의 가격 비교 절차를 거쳐 적정성을 확보함.</t>
  </si>
  <si>
    <t>동일한 소액 계약 건에 대해 같은 업체와 반복적으로 수의계약을 체결하는 것을 일정 횟수 이상 제한하는 취지로 가장 적절한 것은?</t>
  </si>
  <si>
    <t>특정 업체를 퇴출시키기 위해</t>
  </si>
  <si>
    <t>해당 업체의 매출을 늘려주기 위해</t>
  </si>
  <si>
    <t>행정 절차를 늘리기 위해</t>
  </si>
  <si>
    <t>특정 업체와의 유착이나 경쟁 회피를 방지하기 위해</t>
  </si>
  <si>
    <t>* 정답 (④): 동일 업체와 소액수의계약을 반복적으로 체결하는 것을 제한하는 것은 특정 업체와의 유착이나 경쟁 회피를 방지하기 위함임.</t>
  </si>
  <si>
    <t>소액수의계약 대상에 해당할 가능성이 높은 경우로 가장 적절한 것은?</t>
  </si>
  <si>
    <t>추정가격이 정해진 소액 기준 이하인 물품 구매</t>
  </si>
  <si>
    <t>국제입찰 대상 물품 구매</t>
  </si>
  <si>
    <t>다수공급자계약 대상 물품의 대량 구매</t>
  </si>
  <si>
    <t>추정가격이 매우 큰 대형 장비 구매</t>
  </si>
  <si>
    <t>* 정답 (①): 소액수의계약은 추정가격이 일정 소액 기준 이하인 경우에 활용되는 것이 원칙임.</t>
  </si>
  <si>
    <t>[상황] 계약담당자가 소액수의계약을 체결하면서 견적 비교 없이 평소 친분이 있는 업체와 곧바로 계약했다. 이 처리방식의 문제점으로 가장 적절한 것은?</t>
  </si>
  <si>
    <t>소액계약은 원래 견적 비교가 불필요하다</t>
  </si>
  <si>
    <t>오히려 예산이 절감되므로 권장된다</t>
  </si>
  <si>
    <t>최소한의 가격 비교 절차를 생략해 계약의 적정성·공정성이 저하될 수 있다</t>
  </si>
  <si>
    <t>상호 합의가 있다면 계약조건 위반으로 간주하지 않는다</t>
  </si>
  <si>
    <t>* 정답 (③): 소액수의계약이라도 최소한의 견적 비교 절차를 생략하면 계약의 공정성·적정성이 훼손될 수 있음.</t>
  </si>
  <si>
    <t>소액수의계약과 일반경쟁입찰의 가장 근본적인 차이점으로 가장 적절한 것은?</t>
  </si>
  <si>
    <t>계약상대자의 국적</t>
  </si>
  <si>
    <t>경쟁의 범위와 절차의 복잡성 정도</t>
  </si>
  <si>
    <t>계약이행 기간의 유무</t>
  </si>
  <si>
    <t>계약서 양식</t>
  </si>
  <si>
    <t>* 정답 (②): 두 방식의 핵심적 차이는 경쟁의 범위(다수 vs 소수 견적비교)와 절차의 복잡성 정도에 있음.</t>
  </si>
  <si>
    <t>소액수의계약 체결 후에도 계약담당자가 유의해야 할 사항으로 가장 적절한 것은?</t>
  </si>
  <si>
    <t>소액계약은 계약서 작성 자체가 필요 없다</t>
  </si>
  <si>
    <t>계약금액이 소액이라 하더라도 이행관리·검사 등 일반적인 계약관리 절차는 동일하게 적용된다</t>
  </si>
  <si>
    <t>소액계약은 검사·검수를 생략해도 무방하다</t>
  </si>
  <si>
    <t>소액계약은 대금지급기한 규정이 적용되지 않는다</t>
  </si>
  <si>
    <t>* 정답 (②): 계약금액의 규모와 무관하게 검사·대금지급 등 기본적인 계약관리 절차는 준수해야 함.</t>
  </si>
  <si>
    <t>특정 물품에 대해 조달청장 등이 지정·고시한 품목을 중소기업자로부터 소액으로 구매하는 경우처럼, 특별한 정책적 고려에 따라 수의계약이 허용되는 사례로 가장 적절한 것은?</t>
  </si>
  <si>
    <t>중소기업 지원 등 정책목적에 따른 수의계약 허용 사유</t>
  </si>
  <si>
    <t>무작위로 선정된 사유</t>
  </si>
  <si>
    <t>담당자의 개인적 편의</t>
  </si>
  <si>
    <t>유사한 용역을 반복적으로 수행하여 기존 업체가 수행하는 것이 효율적인 경우</t>
  </si>
  <si>
    <t>* 정답 (①): 중소기업 지원 등 정책적 목적에 따라 법령에서 별도로 정한 수의계약 허용 사유가 존재함.</t>
  </si>
  <si>
    <t>소액수의계약의 견적서 비교 절차를 통해 발주기관이 궁극적으로 확보하고자 하는 가치로 가장 적절한 것은?</t>
  </si>
  <si>
    <t>최대한 복잡한 행정절차</t>
  </si>
  <si>
    <t>계약상대자와의 친분</t>
  </si>
  <si>
    <t>특정 업체의 이익 극대화</t>
  </si>
  <si>
    <t>최소한의 가격 적정성과 절차적 공정성</t>
  </si>
  <si>
    <t>* 정답 (④): 견적 비교는 절차를 간소화하면서도 최소한의 가격 적정성과 공정성을 확보하기 위한 장치임.</t>
  </si>
  <si>
    <t>소액수의계약 관련 법령·예규가 규정하는 목적으로 가장 적절한 것은?</t>
  </si>
  <si>
    <t>대기업의 참여를 제한하기 위해</t>
  </si>
  <si>
    <t>경쟁입찰 제도를 폐지하기 위해</t>
  </si>
  <si>
    <t>모든 계약을 수의계약으로 전환하기 위해</t>
  </si>
  <si>
    <t>소규모 조달의 신속성과 효율성을 높이면서도 최소한의 공정성을 유지하기 위해</t>
  </si>
  <si>
    <t>* 정답 (④): 소액수의계약 제도는 신속성·효율성과 최소한의 공정성 확보라는 두 가지 가치를 균형 있게 달성하려는 취지임.</t>
  </si>
  <si>
    <t>국제 무역거래에서 매도인과 매수인의 비용·위험 분담 기준을 정한 국제상업회의소(ICC)의 표준 규칙을 무엇이라 하는가?</t>
  </si>
  <si>
    <t>신용장통일규칙</t>
  </si>
  <si>
    <t>인코텀즈(Incoterms)</t>
  </si>
  <si>
    <t>관세평가협정</t>
  </si>
  <si>
    <t>비엔나협약</t>
  </si>
  <si>
    <t>* 정답 (②): 인코텀즈는 국제 물품매매에서 매도인·매수인 간 비용과 위험의 분기점을 정형화한 국제상업회의소의 무역조건 규칙임.</t>
  </si>
  <si>
    <t>※ 국제상업회의소(ICC) Incoterms</t>
  </si>
  <si>
    <t>인코텀즈 조건 중, 매도인이 자신의 공장·창고에서 물품을 인도하는 시점에 모든 의무가 끝나 매도인에게 가장 적은 부담을, 매수인에게 가장 큰 부담을 지우는 조건은?</t>
  </si>
  <si>
    <t>CIF(운임·보험료포함인도조건)</t>
  </si>
  <si>
    <t>EXW(공장인도조건)</t>
  </si>
  <si>
    <t>DDP(관세지급인도조건)</t>
  </si>
  <si>
    <t>FOB(본선인도조건)</t>
  </si>
  <si>
    <t>* 정답 (②): EXW는 매도인이 자신의 시설에서 물품을 인도하면 의무가 끝나는 조건으로, 매도인에게 최소 의무, 매수인에게 최대 의무가 부여됨.</t>
  </si>
  <si>
    <t>※ ICC Incoterms</t>
  </si>
  <si>
    <t>매도인이 물품의 선적항 본선 적재 시점까지 위험을 부담하고, 그 이후의 목적항까지의 운임·보험료도 매도인이 부담하는 조건은?</t>
  </si>
  <si>
    <t>* 정답 (②): CIF는 위험 이전 시점(선적항 본선 적재)과 비용 부담 범위(목적항까지의 운임·보험료)가 다른 것이 특징적인 조건임.</t>
  </si>
  <si>
    <t>매도인이 관세까지 지급하고 목적지에서 물품을 인도하여, 매도인에게 가장 큰 부담을 지우는 인코텀즈 조건은?</t>
  </si>
  <si>
    <t>FCA(운송인인도조건)</t>
  </si>
  <si>
    <t>* 정답 (①): DDP는 매도인이 목적지까지의 운송·통관·관세납부까지 모두 책임지는 조건으로 매도인의 의무가 가장 큰 조건에 해당함.</t>
  </si>
  <si>
    <t>외자구매계약의 대금결제 방식으로 국제무역에서 널리 사용되는 수단으로, 은행이 서류의 일치 여부만을 확인하여 대금 지급을 보장하는 것은?</t>
  </si>
  <si>
    <t>약속어음</t>
  </si>
  <si>
    <t>가계수표</t>
  </si>
  <si>
    <t>전자상거래 간편결제</t>
  </si>
  <si>
    <t>신용장(L/C)</t>
  </si>
  <si>
    <t>* 정답 (④): 신용장(L/C) 거래는 '서류 거래의 원칙'에 기반해, 은행이 실제 물품이 아닌 제시된 서류의 일치 여부만을 확인하여 대금을 지급함.</t>
  </si>
  <si>
    <t>신용장(L/C) 거래에서 은행이 대금 지급 여부를 판단하는 핵심 기준으로 가장 적절한 것은?</t>
  </si>
  <si>
    <t>매수인의 개인적 신뢰도</t>
  </si>
  <si>
    <t>제시된 서류가 신용장 조건과 일치하는지 여부</t>
  </si>
  <si>
    <t>매도인의 평판</t>
  </si>
  <si>
    <t>실제 물품의 품질 상태</t>
  </si>
  <si>
    <t>* 정답 (②): 신용장 거래는 서류 거래의 원칙에 따라, 은행은 실물이 아니라 서류의 신용장 조건 일치 여부만을 심사해 지급 여부를 결정함.</t>
  </si>
  <si>
    <t>국내 물품구매계약과 외자구매계약을 비교한 설명으로 가장 옳은 것은?</t>
  </si>
  <si>
    <t>국내 물품구매계약에도 인코텀즈가 항상 적용된다</t>
  </si>
  <si>
    <t>두 계약 유형은 적용 법규가 완전히 동일하다</t>
  </si>
  <si>
    <t>국내 물품구매는 국내 법령이 단독으로 적용되는 반면, 외자구매는 국내 법령과 인코텀즈 등 국제 무역규범이 함께 적용되는 경우가 많다</t>
  </si>
  <si>
    <t>외자구매계약에는 어떠한 국내 법령도 적용되지 않는다</t>
  </si>
  <si>
    <t>* 정답 (③): 외자구매계약은 국내 계약법령과 인코텀즈 등 국제 무역규범이 함께 적용되는 영역인 반면, 순수 국내 물품구매는 국내 법령 위주로 적용됨.</t>
  </si>
  <si>
    <t>외자구매계약에서 계약상대자가 될 수 있는 자로 가장 적절한 것은?</t>
  </si>
  <si>
    <t>국내 업체는 외자구매계약의 당사자가 될 수 없다</t>
  </si>
  <si>
    <t>반드시 조달청 소속 공무원만 계약상대자가 될 수 있다</t>
  </si>
  <si>
    <t>국내 오퍼상(수입대행업체) 또는 해외 수출자가 직접 계약상대자가 될 수 있다</t>
  </si>
  <si>
    <t>계약상대자는 항상 정부기관이어야 한다</t>
  </si>
  <si>
    <t>* 정답 (③): 외자구매계약은 국내 오퍼상이나 해외 수출자가 직접 계약상대자가 되어 체결될 수 있음.</t>
  </si>
  <si>
    <t>외자구매계약과 국내 물품구매계약을 비교했을 때, 외자구매계약에서 특히 고려해야 할 요소로 가장 거리가 먼 것은?</t>
  </si>
  <si>
    <t>국제 운송·보험 관련 위험 분담</t>
  </si>
  <si>
    <t>국내 소액수의계약 가능 금액 기준</t>
  </si>
  <si>
    <t>통관 및 관세 관련 절차</t>
  </si>
  <si>
    <t>환율 변동에 따른 계약금액 산정</t>
  </si>
  <si>
    <t>* 정답 (②): 국내 소액수의계약 금액 기준은 외자구매계약에 특별히 고려할 요소라기보다 국내 계약 전반에 공통되는 기준임. 외자구매는 환율, 통관·관세, 국제운송·보험 등이 특히 중요함.</t>
  </si>
  <si>
    <t>[상황] 국내 업체가 해외 제조사의 장비를 수입해 정부기관에 납품하는 계약을 체결하려 한다. 이 계약에서 특히 검토해야 할 사항으로 가장 적절한 것은?</t>
  </si>
  <si>
    <t>국내 하도급 승인 절차만</t>
  </si>
  <si>
    <t>국내 소액수의계약 가능 여부만</t>
  </si>
  <si>
    <t>계약해당 기관의 과거 관행 및 내부 지침을 우선 적용한다</t>
  </si>
  <si>
    <t>인코텀즈에 따른 위험·비용 분기점과 결제방식(신용장 등)</t>
  </si>
  <si>
    <t>* 정답 (④): 외자구매계약에서는 인코텀즈에 따른 위험·비용 분담 기준과 신용장 등 결제방식을 특히 꼼꼼히 검토해야 함.</t>
  </si>
  <si>
    <t>계약상대자가 납품을 완료했을 때, 발주기관이 계약서·규격서대로 이행되었는지 확인하는 절차를 무엇이라 하는가?</t>
  </si>
  <si>
    <t>검사</t>
  </si>
  <si>
    <t>등록</t>
  </si>
  <si>
    <t>협상</t>
  </si>
  <si>
    <t>공고</t>
  </si>
  <si>
    <t>* 정답 (①): 검사는 계약목적물이 계약서·규격서 등에서 정한 대로 이행되었는지 품질·규격·성능 등을 확인하는 절차임.</t>
  </si>
  <si>
    <t>발주기관은 계약상대자로부터 대금 청구를 받은 날부터(공휴일·토요일 제외) 며칠 이내에 대가를 지급해야 하는가?</t>
  </si>
  <si>
    <t>14일</t>
  </si>
  <si>
    <t>* 정답 (①): 발주기관은 대금 청구를 받은 날부터 5일(공휴일·토요일 제외) 이내에 대가를 지급해야 함.</t>
  </si>
  <si>
    <t>물품 납품 후 일정 기간 내 발생한 하자에 대해 계약상대자가 무상으로 보수할 책임을 지는 것을 무엇이라 하는가?</t>
  </si>
  <si>
    <t>하자담보책임</t>
  </si>
  <si>
    <t>제조물책임</t>
  </si>
  <si>
    <t>채무불이행책임</t>
  </si>
  <si>
    <t>불법행위책임</t>
  </si>
  <si>
    <t>* 정답 (①): 하자담보책임은 납품 후 일정 기간(하자담보책임기간) 내 발생한 하자에 대해 계약상대자가 무상 보수 등의 책임을 지는 것을 말하며, 물품의 종류에 따라 책임기간이 다르게 정해짐.</t>
  </si>
  <si>
    <t>계약상대자가 정당한 이유 없이 납품기한을 지체했을 때 부과되는 금전적 제재는?</t>
  </si>
  <si>
    <t>이행강제금</t>
  </si>
  <si>
    <t>위약벌</t>
  </si>
  <si>
    <t>과징금</t>
  </si>
  <si>
    <t>* 정답 (③): 지체상금은 정당한 사유 없는 납품 지연에 대해 지체일수에 비례하여 부과하는 금전적 제재임.</t>
  </si>
  <si>
    <t>계약이행 과정에서 계약목적물의 품질을 확인하기 위한 절차로, 검사와 함께 행정적 확인 절차를 의미하는 것은?</t>
  </si>
  <si>
    <t>검수</t>
  </si>
  <si>
    <t>* 정답 (①): 검사가 기술적 적합성 확인이라면, 검수는 이를 바탕으로 한 행정적 확인 절차로 이해되며, 검사·검수를 모두 통과해야 대금지급 절차로 이어질 수 있음.</t>
  </si>
  <si>
    <t>물품계약 이행 중 안전관리와 관련해 계약상대자가 부담하는 일반적인 의무로 가장 적절한 것은?</t>
  </si>
  <si>
    <t>안전기준은 계약상대자가 임의로 정할 수 있다</t>
  </si>
  <si>
    <t>안전관리는 발주기관이 전적으로 대행할 의무</t>
  </si>
  <si>
    <t>관계 법령에 따른 안전기준을 준수하며 이행할 의무</t>
  </si>
  <si>
    <t>안전관리는 계약과 무관한 사항이다</t>
  </si>
  <si>
    <t>* 정답 (③): 계약상대자는 계약이행 과정에서 관계 법령상의 안전기준을 준수할 의무가 있음.</t>
  </si>
  <si>
    <t>검사에 불합격한 물품에 대해 계약상대자가 취해야 할 조치로 가장 적절한 것은?</t>
  </si>
  <si>
    <t>계약을 임의로 포기한다</t>
  </si>
  <si>
    <t>불합격 사실을 무시하고 대금을 청구한다</t>
  </si>
  <si>
    <t>지체 없이 대체품 납품 또는 보완 조치를 한다</t>
  </si>
  <si>
    <t>이의신청만 하고 아무 조치도 하지 않는다</t>
  </si>
  <si>
    <t>* 정답 (③): 불합격 시 계약상대자는 지체 없이 보완·재이행 등의 조치를 취해야 함.</t>
  </si>
  <si>
    <t>계약이행 중 품질 저하나 안전사고 발생 위험이 확인된 경우 계약담당자가 취할 수 있는 조치로 가장 적절한 것은?</t>
  </si>
  <si>
    <t>즉시 아무 조치 없이 방치한다</t>
  </si>
  <si>
    <t>계약상대자에게 책임을 전가하고 손을 뗀다</t>
  </si>
  <si>
    <t>시정을 요구하고 필요시 이행상황을 강화하여 점검한다</t>
  </si>
  <si>
    <t>* 정답 (④): 품질·안전상 문제가 확인되면 시정요구 및 점검 강화 등 단계적 조치를 취하는 것이 합리적임.</t>
  </si>
  <si>
    <t>계약이행 완료에 따라 검사·검수 및 대금 청구 등 계약 종결 처리와 관련해 계약담당자가 준비해야 할 서류로 가장 거리가 먼 것은?</t>
  </si>
  <si>
    <t>납품 관련 확인서류</t>
  </si>
  <si>
    <t>물가변동으로 인한 계약금액 조정 내역</t>
  </si>
  <si>
    <t>대가지급 청구서 관련 서류</t>
  </si>
  <si>
    <t>* 정답 (②): 경쟁사의 납품 단가 정보는 계약 종결 처리와 무관함.</t>
  </si>
  <si>
    <t>[상황] 계약상대자가 하자보수를 요청받았음에도 정당한 사유 없이 이를 거부하고 있다. 발주기관이 취할 수 있는 조치로 가장 적절한 것은?</t>
  </si>
  <si>
    <t>계약상대자의 자발적 이행을 촉구하는 공문만 발송할 수 있다</t>
  </si>
  <si>
    <t>계약금액을 즉시 증액해준다</t>
  </si>
  <si>
    <t>하자보수보증금을 활용하는 등 필요한 조치를 취할 수 있다</t>
  </si>
  <si>
    <t>* 정답 (④): 계약상대자가 정당한 사유 없이 하자보수를 거부하면, 발주기관은 하자보수보증금을 활용하는 등 필요한 조치를 취할 수 있음.</t>
  </si>
  <si>
    <t>물품계약에서 설계(규격)변경이 발생하는 사유로 가장 거리가 먼 것은?</t>
  </si>
  <si>
    <t>계약상대자의 신기술 제안 채택</t>
  </si>
  <si>
    <t>계약수요기관 장의 재량에 따라 별도의 지침을 적용한다</t>
  </si>
  <si>
    <t>발주기관의 필요에 따른 규격 변경 요청</t>
  </si>
  <si>
    <t>규격서 내용의 불분명 또는 오류</t>
  </si>
  <si>
    <t>* 정답 (②): 개인적 취향 변화는 정당한 설계(규격)변경 사유가 될 수 없음. 규격서 오류, 발주기관의 필요, 신기술 제안 채택 등이 일반적 사유임.</t>
  </si>
  <si>
    <t>설계(규격)변경으로 물량이 증가한 기존 비목의 단가 산정 기준으로 가장 적절한 것은?</t>
  </si>
  <si>
    <t>계약상대자가 임의로 정한다</t>
  </si>
  <si>
    <t>단가 산정 없이 발주기관이 임의로 결정한다</t>
  </si>
  <si>
    <t>기존 계약단가를 적용한다</t>
  </si>
  <si>
    <t>무조건 시장 최고가를 적용한다</t>
  </si>
  <si>
    <t>* 정답 (③): 설계변경으로 증감된 물량 중 기존에 계약서에 있던 비목은 원칙적으로 계약단가를 적용함.</t>
  </si>
  <si>
    <t>설계(규격)변경으로 계약서에 없던 신규 비목이 발생한 경우 단가 산정 기준으로 가장 적절한 것은?</t>
  </si>
  <si>
    <t>예정가격을 그대로 적용한다</t>
  </si>
  <si>
    <t>계약체결 당시의 단가를 그대로 적용한다</t>
  </si>
  <si>
    <t>계약상대자가 요구하는 금액을 그대로 인정한다</t>
  </si>
  <si>
    <t>설계변경 당시를 기준으로 산정한 단가를 적용한다</t>
  </si>
  <si>
    <t>* 정답 (④): 계약서에 없던 신규 비목의 단가는 계약체결 당시가 아니라 설계변경 당시를 기준으로 새로 산정하는 것이 원칙임.</t>
  </si>
  <si>
    <t>물가변동으로 인한 계약금액 조정(Escalation)을 신청하기 위해 충족해야 할 요건으로 옳은 것은?</t>
  </si>
  <si>
    <t>계약체결 후 60일 이상 경과, 등락률 5% 이상</t>
  </si>
  <si>
    <t>계약체결 후 30일 이상 경과, 등락률과 무관하게 신청 가능</t>
  </si>
  <si>
    <t>기간 요건 없이 등락률 1% 이상</t>
  </si>
  <si>
    <t>계약체결 후 90일 이상 경과, 품목조정률 또는 지수조정률 3% 이상 증감</t>
  </si>
  <si>
    <t>* 정답 (④): 물가변동으로 인한 계약금액 조정은 계약체결일로부터 90일 이상 경과하고, 품목조정률 또는 지수조정률이 3% 이상 증감해야 신청할 수 있음.</t>
  </si>
  <si>
    <t>다음 계약금액 조정 사유 중 나머지 셋과 성격이 다른 하나는?</t>
  </si>
  <si>
    <t>계약상대자의 신기술 제안이 채택되어 일부 부품이 변경되었다</t>
  </si>
  <si>
    <t>발주기관의 요청으로 사양을 한 단계 상향 조정하였다</t>
  </si>
  <si>
    <t>규격서 내용이 불분명하여 새로운 부품이 추가되었다</t>
  </si>
  <si>
    <t>계약체결 후 90일이 지나 원자재 가격이 상승하였다</t>
  </si>
  <si>
    <t>* 정답 (④): 90일 경과 후 원자재 가격 상승은 물가변동(Escalation)에 의한 조정 사유이고, 나머지 셋(규격 불분명, 발주기관 요청, 신기술 제안)은 모두 설계(규격)변경에 의한 조정 사유임.</t>
  </si>
  <si>
    <t>국가계약법 시행령 제64조·제65조</t>
  </si>
  <si>
    <t>설계(규격)변경으로 계약금액이 증액될 때 일반관리비·이윤 적용 원칙으로 가장 적절한 것은?</t>
  </si>
  <si>
    <t>기존 산출내역서상의 비율을 적용하되 법정 요율을 초과할 수 없다</t>
  </si>
  <si>
    <t>무조건 법정 최고 요율을 적용한다</t>
  </si>
  <si>
    <t>발주기관이 매번 임의로 새로 정한다</t>
  </si>
  <si>
    <t>* 정답 (①): 계약금액 증액 시 일반관리비·이윤은 기존 계약의 비율을 따르되 법정 상한을 넘을 수 없음.</t>
  </si>
  <si>
    <t>신기술 적용으로 계약상대자가 자발적으로 비용을 절감·제안한 경우, 설계(규격)변경 관련 계약금액 조정에 대한 설명으로 가장 적절한 것은?</t>
  </si>
  <si>
    <t>신기술 제안은 설계변경 사유가 될 수 없다</t>
  </si>
  <si>
    <t>절감액과 무관하게 계약금액은 그대로 유지된다</t>
  </si>
  <si>
    <t>절감액 전부를 반드시 감액해야 한다</t>
  </si>
  <si>
    <t>절감액의 일부만 감액하여 기술 개발 유인을 유지하는 방식으로 처리될 수 있다</t>
  </si>
  <si>
    <t>* 정답 (④): 계약상대자의 자발적 기술개선으로 비용이 절감된 경우, 절감액 전부가 아니라 일부만 감액하여 기술개발 유인을 유지하는 방식이 일반적임.</t>
  </si>
  <si>
    <t>[상황] 계약체결 후 65일이 경과한 시점에 품목조정률이 4% 상승했다며 계약상대자가 물가변동에 따른 계약금액 조정을 신청했다. 이 신청에 대한 판단으로 가장 적절한 것은?</t>
  </si>
  <si>
    <t>등락률 요건은 충족했으나 기간 요건(90일)을 충족하지 못해 조정 대상이 아니다</t>
  </si>
  <si>
    <t>두 요건을 모두 충족했으므로 즉시 조정해야 한다</t>
  </si>
  <si>
    <t>조정 신청 자체가 금지되어 있다</t>
  </si>
  <si>
    <t>기간과 무관하게 등락률만 넘으면 조정된다</t>
  </si>
  <si>
    <t>* 정답 (①): 90일 기간 요건을 충족하지 못했으므로, 등락률이 3%를 넘었더라도 조정 대상이 되지 않음.</t>
  </si>
  <si>
    <t>계약금액 조정과 관련해 발주기관이 계약상대자의 청구를 받은 경우, 조정 관련 서류 심사·처리 시 유의할 사항으로 가장 적절한 것은?</t>
  </si>
  <si>
    <t>계약상대자가 요구하는 금액을 임의로 절반만 인정한다</t>
  </si>
  <si>
    <t>서류 없이 구두 요청만으로 처리한다</t>
  </si>
  <si>
    <t>조정 요건(기간·비율 등) 충족 여부와 산정 근거를 꼼꼼히 확인한다</t>
  </si>
  <si>
    <t>청구가 들어오면 무조건 그대로 승인한다</t>
  </si>
  <si>
    <t>* 정답 (③): 계약금액 조정 청구는 요건 충족 여부와 산정 근거를 확인한 뒤 처리하는 것이 원칙임.</t>
  </si>
  <si>
    <t>설계(규격)변경 및 계약금액 조정 전반에 대한 설명으로 가장 적절한 것은?</t>
  </si>
  <si>
    <t>설계변경은 계약금액에 전혀 영향을 주지 않는다</t>
  </si>
  <si>
    <t>계약금액 조정은 계약서 변경 없이 구두로만 처리해도 무방하다</t>
  </si>
  <si>
    <t>계약금액 조정은 준공 이후에만 가능하다</t>
  </si>
  <si>
    <t>변경 사유·근거를 문서화하고, 조정 요건에 따라 계약금액·계약서를 함께 변경 관리해야 한다</t>
  </si>
  <si>
    <t>* 정답 (④): 설계변경·계약금액 조정은 사유와 근거를 문서화하고, 조정요건에 따라 계약서 등 관련 문서를 함께 변경 관리하는 것이 원칙임.</t>
  </si>
  <si>
    <t>전산소모품을 구매하는 예정가격이 20,000,000원이고 낙찰하한율이 88% 이상인 (소액)수의 입찰에서 개찰결과가 아래와 같을 때 낙찰자는?
[개찰 결과]
| 순번 | 업체명 | 투찰 금액(원) |
|------|--------|---------------|
|   1  |   A    |   19,800,000  |
|   2  |   B    |   17,650,000  |
|   3  |   C    |   17,610,450  |
|   4  |   D    |   17,599,000  |
|   5  |   E    |   17,610,450  |</t>
  </si>
  <si>
    <t>C</t>
  </si>
  <si>
    <t>D</t>
  </si>
  <si>
    <t>E</t>
  </si>
  <si>
    <t>C, E 중에서 추첨으로 결정</t>
  </si>
  <si>
    <t>* 정답 (④): 최저가격은 D 17,599,000원 투찰률 87.995%이나 낙찰하한율 88% 미만이므로 제외하고, 낙찰하한율 88% 이상 최저가인 17,610,450원 투찰률 88.052% 2개사(C, E) 중에서 추첨으로 낙찰자를 결정한다.</t>
  </si>
  <si>
    <t>추정가격이 10억 원 이상인 적격심사로 낙찰자를 결정하는 입찰에서 해당 물품 납품 이행능력의 심사분야가 아닌 것은?</t>
  </si>
  <si>
    <t>납품 실적</t>
  </si>
  <si>
    <t>기술 능력(등급)</t>
  </si>
  <si>
    <t>신인도</t>
  </si>
  <si>
    <t>입찰 가격</t>
  </si>
  <si>
    <t>* 정답 (④): 해당 물품 납품 이행능력 심사분야는 납품 실적, 기술 능력, 경영상태, 신인도이다.</t>
  </si>
  <si>
    <t>국가기관(중앙조달, 조달청 계약 건)이 2025년 1월 30일 공고한 추정가격이 3억 원인 중소기업자 간 경쟁물품 입찰에서 동등 이상 물품 납품 실적이 아래 표와 같을 때 각 업체의 납품실적 점수는?
[납품실적] (단위: 백만 원)
| 업체 | 기업구분 | 18년 | 19년 | 20년 | 21년 | 22년 | 23년 | 24년 | 실적점수 |
|------|----------|------|------|------|------|------|------|------|----------|
|   A  | 소상공인 |  10  |  10  |  20  |  30  |  30  |  40  |  40  |    ?     |
|   B  |  중기업  |  10  |  20  |  20  |  30  |  40  |  40  |  50  |    ?     |
|   C  | 창업기업 |  10  |  10  |  20  |  30  |  30  |  40  |  40  |    ?     |</t>
  </si>
  <si>
    <t>해당없음</t>
  </si>
  <si>
    <t>A 10점 / B 9.0점 / C 10점</t>
  </si>
  <si>
    <t>A 9.0점 / B 9.0점 / C 9.5점</t>
  </si>
  <si>
    <t>A 9.5점 / B 9.0점 / C 9.5점</t>
  </si>
  <si>
    <t>* 정답 (①): 국가기관의 중앙조달(조달청 계약) 건이므로, 추정가격 3억 원(고시금액 이상 5억 원 미만)인 중소기업자 간 경쟁물품 입찰은 「조달청 중소기업자간 경쟁물품에 대한 계약이행능력심사 세부기준」 [별표 3]이 적용된다. 해당 별표 3의 심사 항목에는 '납품이행능력(납품실적)' 평가 기준 자체가 존재하지 않으므로 납품실적 점수는 산정되지 않는다(해당없음).</t>
  </si>
  <si>
    <t>적격심사 해당 물품 납품 이행 능력의 심사분야의 하나인 신인도에 대한 설명 중 틀린 것은?</t>
  </si>
  <si>
    <t>정부 정책 동참 유도 수단으로 가점 또는 감점이 있다.</t>
  </si>
  <si>
    <t>신인도 점수에는 각 입찰의 규모에 따라 최대 가점 점수와 최대 감점 점수의 상한 및 하한이 있다.</t>
  </si>
  <si>
    <t>해당 물품 납품 이행 능력 점수에 취득한 신인도 점수를 전부 가점 또는 감점한다.</t>
  </si>
  <si>
    <t>신인도 점수 적용 상한 및 하한은 일자리 창출 점수가 있는 경우 입찰 금액에 따라 변경되어지기도 한다.</t>
  </si>
  <si>
    <t>* 정답 (③): 취득한 신인도 점수는 해당 물품 납품 이행 능력 점수 배점 한도 내에서 가점이 가능하다.</t>
  </si>
  <si>
    <t>전문성·기술성이 요구되는 물품 또는 용역계약으로서 기술적 요구 사항이나 최종 계약 목적물의 세부내용을 미리 정하기 어려운 경우 적용하는 낙찰자 결정 방식은?</t>
  </si>
  <si>
    <t>적격심사에 의한 낙찰자 결정 방식</t>
  </si>
  <si>
    <t>* 정답 (②): 전문성·기술성이 요구되는 물품/용역으로, 세부내용을 미리 정하기 어려운 경우 '경쟁적 대화에 의한 계약' 방식을 적용한다.</t>
  </si>
  <si>
    <t>품질 등에 의한 낙찰자의 결정 대상제품군이 아닌 것은?</t>
  </si>
  <si>
    <t>엘리베이터, 문서세단기 등 에너지 소비효율 적용 제품</t>
  </si>
  <si>
    <t>문구, 마우스 등 디자인·편의성 적용 제품</t>
  </si>
  <si>
    <t>휠체어, 소방대원피복 등 안전·성능 등 기타 적용 제품</t>
  </si>
  <si>
    <t>에어컨, 프린터 등 환경우월성기준 적용 제품</t>
  </si>
  <si>
    <t>* 정답 (②): 교복, 앨범 등 디자인·편의성 적용제품군은 대상이지만 문구, 마우스 등 소모품은 포함되지 않는다.</t>
  </si>
  <si>
    <t>OOO공사에서 겨울철 제설자재 소금 수량 5,000톤을 예정가격 120,000원/톤으로 구매하는 희망수량 입찰을 개찰한 결과가 아래와 같을 때 3번째 낙찰자 및 수량은?
[개찰 결과]
| 순위 | 업체명 |   투찰 가격   | 희망 수량 |
|------|--------|---------------|-----------|
|   1  |   A    |  100,000원/톤 |  3,000톤  |
|   2  |   B    |  102,000원/톤 |  1,000톤  |
|   3  |   C    |  105,000원/톤 |  2,000톤  |
|   3  |   D    |  105,000원/톤 |  1,000톤  |
* 투찰 합계: 7,000톤
[낙찰자 선정 결과]
| 순위 | 업체명 |   낙찰 단가   | 낙찰 수량 |
|------|--------|---------------|-----------|
|   1  |   A    |  100,000원/톤 |  3,000톤  |
|   2  |   B    |  102,000원/톤 |  1,000톤  |
|   3  |   ?    |  105,000원/톤 |     ?     |
* 낙찰 합계: 5,000톤</t>
  </si>
  <si>
    <t>C사, D사 각 500톤</t>
  </si>
  <si>
    <t>C사 1,000톤</t>
  </si>
  <si>
    <t>D사 1,000톤</t>
  </si>
  <si>
    <t>C사, D사 중 추첨으로 업체 선정 1,000톤</t>
  </si>
  <si>
    <t>* 정답 (②): 동일가격으로 입찰한 자가 2인 이상일 경우 입찰수량이 많은 입찰자를 낙찰자로 결정한다. (C사가 2,000톤으로 수량이 더 많으므로 C사가 1,000톤 낙찰됨)</t>
  </si>
  <si>
    <t>물품 구매·제조 입찰 참가 자격 등록 시 사업자등록증 확인에 관한 설명으로 옳은 것은?</t>
  </si>
  <si>
    <t>사업자등록증의 업태·종목이 납품하려는 물품과 일치해야 하며, 제조업체는 제조업이 명시되어야 한다.</t>
  </si>
  <si>
    <t>사업자등록증의 업태·종목은 입찰 후 사후 확인 사항이다.</t>
  </si>
  <si>
    <t>모든 사업자는 업태·종목과 무관하게 모든 물품 입찰에 참가할 수 있다.</t>
  </si>
  <si>
    <t>제조업체도 도소매업으로만 등록된 사업자등록증으로 입찰 참가가 가능하다.</t>
  </si>
  <si>
    <t>* 정답 (①): 「국가계약법 시행규칙」 제15조에 따라 사업자등록증의 업태·종목이 납품하려는 물품과 일치해야 한다. 제조업체는 제조업이 명시되어야 하며, 도소매업만 등록된 경우 제조 입찰 참가가 자격이 없다.</t>
  </si>
  <si>
    <t>「국가계약법 시행령」 제36조상 물품구매 입찰공고 기재사항에 해당하지 않는 것은?</t>
  </si>
  <si>
    <t>입찰에 부치는 사항(품명·규격·수량·납품장소·기한)</t>
  </si>
  <si>
    <t>입찰·개찰의 장소와 일시</t>
  </si>
  <si>
    <t>입찰 참가 자격 및 보증금 관련 사항</t>
  </si>
  <si>
    <t>입찰 참가 업체의 임직원 명단</t>
  </si>
  <si>
    <t>* 정답 (④): 「국가계약법 시행령」 제36조의 17개 호 기재사항은 입찰에 부치는 사항, 일시·장소, 참가자격, 보증금, 낙찰방법, 계약조건 등이다. 입찰 참가 업체의 임직원 명단은 기재 사항이 아니며, 개인정보로 보호된다.</t>
  </si>
  <si>
    <t>물품 입찰의 종합낙찰제에 관한 설명으로 옳은 것은?</t>
  </si>
  <si>
    <t>입찰가격 외에 품질·에너지 소비효율·환경우월성·디자인편의성·안전·성능 등을 종합 평가하여 낙찰자를 결정한다.</t>
  </si>
  <si>
    <t>입찰가격만으로 낙찰자를 결정한다.</t>
  </si>
  <si>
    <t>모든 물품 입찰에 의무 적용된다.</t>
  </si>
  <si>
    <t>발주기관 담당자의 주관적 평가만으로 낙찰자를 결정한다.</t>
  </si>
  <si>
    <t>* 정답 (①): 종합낙찰제는 가격 중심 낙찰의 한계(낮은 품질·부실 우려)를 보완하기 위해 도입된 제도로, 가격에 더해 품질·에너지효율·환경·디자인·안전성능 등 종합 가치를 평가하여 낙찰자를 결정한다.</t>
  </si>
  <si>
    <t>희망수량 경쟁입찰(다량물품 입찰)에 관한 설명으로 옳지 않은 것은?</t>
  </si>
  <si>
    <t>다량물품 매입 시 여러 업체에 분할 발주하여 안정적 조달을 가능하게 한다.</t>
  </si>
  <si>
    <t>「국가계약법 시행령」에 근거한 입찰 방식이다.</t>
  </si>
  <si>
    <t>다량물품 매각에는 적용되지 않으며 매입 전용 방식이다.</t>
  </si>
  <si>
    <t>매입 시에는 예정가격 이하 최저가부터 누적 수량이 발주량에 도달할 때까지 낙찰자를 결정한다.</t>
  </si>
  <si>
    <t>* 정답 (③): 희망수량 경쟁입찰은 다량물품 매입뿐만 아니라 매각에도 적용 가능하다. 매각 시에는 예정가격 이상 최고가부터 누적 수량이 매각량에 도달할 때까지 낙찰자를 결정한다.</t>
  </si>
  <si>
    <t>단일 제조사 제품만을 지정하여 협상하는 방식이다.</t>
  </si>
  <si>
    <t>「국가계약법 시행령」에 근거가 없는 임의 절차이다.</t>
  </si>
  <si>
    <t>모든 물품 입찰에 의무 적용되는 표준 방식이다.</t>
  </si>
  <si>
    <t>* 정답 (①): 유사물품 복수경쟁입찰은 「국가계약법 시행령」 제25조에 근거하며, 한 제조사 제품만 지정 시 발생하는 독점 구매·가격 상승 문제를 방지하기 위해 동등 이상의 성능 기준을 충족하는 복수 제품을 경쟁시키는 방식이다.</t>
  </si>
  <si>
    <t>물품 계약에서 물품계약 일반절차 관리와 연계하여 가장 중점적으로 관리해야 할 사항은?</t>
  </si>
  <si>
    <t>공사 공정표(공정률) 관리</t>
  </si>
  <si>
    <t>규격·성능·검사/검수 기준 및 납품요구 조건의 명확화</t>
  </si>
  <si>
    <t>구두로 납품일자를 정하고 변경 기록은 남기지 않기</t>
  </si>
  <si>
    <t>기술용역 산출물(보고서) 목차만 확인</t>
  </si>
  <si>
    <t>* 정답 (②): 물품은 규격·성능·검사/검수·납품조건이 품질·분쟁에 직결되므로 핵심 통제포인트다.</t>
  </si>
  <si>
    <t>물품구매·제조 낙찰자 결정 방법의 기본 개념/원칙으로 가장 적절한 것은?</t>
  </si>
  <si>
    <t>다음 중 물품구매·제조 낙찰자 결정 방법 관련 실무통제(리스크 관리)로 가장 적절한 것은?</t>
  </si>
  <si>
    <t>적격심사낙찰제에서 최저가낙찰제와의 가장 핵심적인 차이점은?</t>
  </si>
  <si>
    <t>가격과 함께 계약이행능력을 종합적으로 평가한다.</t>
  </si>
  <si>
    <t>수의계약에도 적용된다.</t>
  </si>
  <si>
    <t>예정가격 초과 입찰자도 낙찰 대상이다.</t>
  </si>
  <si>
    <t>* 정답 (②): 적격심사낙찰제는 가격뿐 아니라 이행실적·기술능력·재무상태 등까지 종합 평가하므로 발주기관의 재량 폭이 넓어진다.</t>
  </si>
  <si>
    <t>외자구매계약에서 인코텀즈 2020의 FCA 조건에 대한 설명으로 옳은 것은?</t>
  </si>
  <si>
    <t>매도인이 목적지까지 모든 비용과 위험을 부담한다.</t>
  </si>
  <si>
    <t>지정장소에서 운송인에게 인도한 이후 비용과 위험이 매수인에게 이전된다.</t>
  </si>
  <si>
    <t>매도인이 적하보험에 가입할 의무가 있다.</t>
  </si>
  <si>
    <t>본선 적재 시점에서 위험이 이전된다.</t>
  </si>
  <si>
    <t>* 정답 (②): FCA(Free Carrier)는 지정장소 운송인 인도 조건으로, 인도 이후의 비용·위험은 매수인이 부담한다.</t>
  </si>
  <si>
    <t>지체상금에 대한 설명으로 틀린 것은?</t>
  </si>
  <si>
    <t>판례는 지체상금의 성격을 예정 손해배상액으로 본다.</t>
  </si>
  <si>
    <t>불가항력적 사유에 해당하면 그 기간은 지체일수에서 제외된다.</t>
  </si>
  <si>
    <t>물품 제조·구매의 상금률은 「국가계약법」상 1,000분의 0.75이다.</t>
  </si>
  <si>
    <t>계약상대자에게 책임이 없는 사유라도 지체상금을 반드시 부과해야 한다.</t>
  </si>
  <si>
    <t>* 정답 (④): 계약상대자의 책임이 아닌 사유로 지체된 기간은 지체일수에 산입하지 않는다.</t>
  </si>
  <si>
    <t>물품계약의 검수 절차에 관한 설명으로 옳은 것은?</t>
  </si>
  <si>
    <t>검수는 납품된 물품이 계약 규격·수량·품질에 부합하는지 확인하는 절차이다.</t>
  </si>
  <si>
    <t>검수는 납품 후 1년 경과 시점에 실시한다.</t>
  </si>
  <si>
    <t>검수 없이 납품과 동시에 자동으로 인수된다.</t>
  </si>
  <si>
    <t>검수는 발주기관 담당자의 임의 판단으로 생략 가능하다.</t>
  </si>
  <si>
    <t>* 정답 (①): 검수는 납품된 물품이 계약 규격·수량·품질에 부합하는지 확인하는 인수 전 필수 절차이며, 검수조서 작성·서명을 통해 공식 인수가 완료된다.</t>
  </si>
  <si>
    <t>물품 납품 시 일반적으로 적용되는 인도조건에 관한 설명으로 옳지 않은 것은?</t>
  </si>
  <si>
    <t>국내 조달의 경우 발주기관이 지정한 납품장소까지 공급자가 운송·인도한다.</t>
  </si>
  <si>
    <t>외자조달의 경우 인코텀즈(Incoterms)에 따른 인도조건이 적용된다.</t>
  </si>
  <si>
    <t>인도조건에는 비용·위험 분담 기준이 명시된다.</t>
  </si>
  <si>
    <t>모든 물품 계약은 발주기관이 직접 공급자 사업장에서 인수한다.</t>
  </si>
  <si>
    <t>* 정답 (④): 물품 인도는 일반적으로 공급자가 발주기관의 지정 납품장소로 운송·인도하는 방식이다. 외자조달은 인코텀즈에 따라 다양한 인도조건(FOB, CIF, DAP 등)이 선택되며, 발주기관 직접 인수가 모든 계약에 적용되지 않는다.</t>
  </si>
  <si>
    <t>물품 대금지급 기한에 관한 설명으로 옳은 것은?</t>
  </si>
  <si>
    <t>「조달사업법」에 따라 조달청은 검사 완료 후 일정 기한 내에 대금을 지급해야 하며, 지연 시 지연이자가 부과된다.</t>
  </si>
  <si>
    <t>대금지급 기한은 법령에 별도 규정이 없어 발주기관 재량이다.</t>
  </si>
  <si>
    <t>검사 완료 후 1년 이내 지급하면 충분하다.</t>
  </si>
  <si>
    <t>대금 지급 지연에 대한 이자 부담은 인정되지 않는다.</t>
  </si>
  <si>
    <t>* 정답 (①): 「조달사업법」 제15조·제17조 등은 대금지급 기한과 지연이자(연체료)를 규정하여 공급자의 적시 대금 수령 권리를 보호한다. 지연 시 지연이자 부담이 법정 의무로 부과된다.</t>
  </si>
  <si>
    <t>물품의 하자담보 책임에 관한 설명으로 옳지 않은 것은?</t>
  </si>
  <si>
    <t>공급자는 납품한 물품에 일정 기간 하자담보 책임을 진다.</t>
  </si>
  <si>
    <t>하자담보 기간은 물품의 종류·계약조건에 따라 차등 적용된다.</t>
  </si>
  <si>
    <t>하자 발생 시 공급자는 무상 보수·교환·환급 등의 의무를 진다.</t>
  </si>
  <si>
    <t>하자담보는 인수와 동시에 종료되어 사후 책임이 없다.</t>
  </si>
  <si>
    <t>* 정답 (④): 물품 인수 후에도 하자담보 기간 중에는 공급자가 하자에 대한 책임을 지며, 무상 보수·교환·환급 등의 의무가 부과된다. 인수와 동시에 종료되는 것이 아니다.</t>
  </si>
  <si>
    <t>납품된 물품에 중대 하자가 발견된 경우의 일반적 처리에 관한 설명으로 옳은 것은?</t>
  </si>
  <si>
    <t>발주기관은 회수·교환·재납품을 요구할 수 있으며, 공급자는 정당한 사유 없이 거부할 수 없다.</t>
  </si>
  <si>
    <t>하자가 발견된 물품도 일단 인수한 후에는 책임을 묻지 않는다.</t>
  </si>
  <si>
    <t>모든 하자는 발주기관이 부담하며 공급자 책임은 없다.</t>
  </si>
  <si>
    <t>중대 하자도 공급자가 보수 의향이 없으면 처리되지 않는다.</t>
  </si>
  <si>
    <t>* 정답 (①): 납품 물품에 중대 하자가 발견되면 발주기관은 계약조건에 따라 회수·교환·재납품·환급·계약해제 등을 요구할 수 있으며, 공급자는 정당한 사유 없이 거부할 수 없고 부정당업자 제재로 이어질 수 있다.</t>
  </si>
  <si>
    <t>3-3. 용역·다수공급자 계약 관리</t>
  </si>
  <si>
    <t>용역계약 중 설계·감리처럼 기술적 전문성을 바탕으로 하는 용역을 무엇이라 하는가?</t>
  </si>
  <si>
    <t>일반용역</t>
  </si>
  <si>
    <t>소액용역</t>
  </si>
  <si>
    <t>단순노무용역</t>
  </si>
  <si>
    <t>기술용역</t>
  </si>
  <si>
    <t>* 정답 (④): 기술용역은 설계, 감리 등 전문 기술력을 바탕으로 이행되는 용역을 말함.</t>
  </si>
  <si>
    <t>청소, 경비 등 주로 인력의 노무 제공을 통해 계약목적을 달성하는 용역을 무엇이라 하는가?</t>
  </si>
  <si>
    <t>시설공사</t>
  </si>
  <si>
    <t>연구용역</t>
  </si>
  <si>
    <t>* 정답 (①): 일반용역은 청소·경비 등 노무 제공을 중심으로 하는 용역을 말하며, 기술적 전문성이 핵심인 기술용역과 구분됨.</t>
  </si>
  <si>
    <t>다음 중 통상 '기술용역'으로 분류되기 어려운 것은?</t>
  </si>
  <si>
    <t>단순 폐기물 수거·운반 용역</t>
  </si>
  <si>
    <t>시설물 안전진단 용역</t>
  </si>
  <si>
    <t>정보시스템 개발 용역</t>
  </si>
  <si>
    <t>건설공사 설계 용역</t>
  </si>
  <si>
    <t>* 정답 (①): 단순 폐기물 수거·운반처럼 노무 제공이 중심인 용역은 일반용역으로 분류되는 것이 일반적이며, 설계·정보시스템개발·안전진단 등은 기술적 전문성이 핵심인 기술용역에 해당함.</t>
  </si>
  <si>
    <t>발주기관이 필요한 용역의 과업 내용, 요구사항, 평가 기준 등을 구체적으로 기술하여 입찰참가자에게 제안서 제출을 요청하는 문서는?</t>
  </si>
  <si>
    <t>제안요청서(RFP)</t>
  </si>
  <si>
    <t>계약특수조건</t>
  </si>
  <si>
    <t>입찰유의서</t>
  </si>
  <si>
    <t>과업지시서</t>
  </si>
  <si>
    <t>* 정답 (①): 제안요청서(RFP, Request for Proposal)는 과업 내용·요구사항·평가기준 등을 상세히 기술해 제안서 제출을 요청하는 문서임.</t>
  </si>
  <si>
    <t>제안요청서(RFP)를 분석할 때 확인해야 할 핵심 항목으로 가장 거리가 먼 것은?</t>
  </si>
  <si>
    <t>경쟁업체의 입찰 참여 여부 및 전략</t>
  </si>
  <si>
    <t>제안서 작성 지침과 양식</t>
  </si>
  <si>
    <t>과업의 내용과 범위</t>
  </si>
  <si>
    <t>평가 항목 및 배점</t>
  </si>
  <si>
    <t>* 정답 (①): 경쟁업체의 입찰 참여 여부는 RFP에 명시되지 않으며 사전에 파악하기도 어려운 정보로, RFP 분석의 대상이 아님.</t>
  </si>
  <si>
    <t>[상황] 발주기관이 용역 입찰공고문을 작성하면서 평가기준을 명확히 제시하지 않았다. 이로 인해 예상되는 문제로 가장 적절한 것은?</t>
  </si>
  <si>
    <t>평가기준은 원래 공고문에 포함되지 않는 사항이다</t>
  </si>
  <si>
    <t>입찰참가자들이 제안 방향을 잡기 어렵고 사후 평가의 공정성 시비가 발생할 수 있다</t>
  </si>
  <si>
    <t>오히려 모든 참가자에게 유리하게 작용한다</t>
  </si>
  <si>
    <t>* 정답 (②): 평가기준이 불명확하면 입찰참가자의 제안 방향 설정이 어려워지고, 평가 공정성에 대한 이의가 제기될 수 있음.</t>
  </si>
  <si>
    <t>용역 입찰공고문에 일반적으로 포함되어야 할 사항으로 가장 거리가 먼 것은?</t>
  </si>
  <si>
    <t>낙찰자 결정 방법</t>
  </si>
  <si>
    <t>제안서 제출 방법과 기한</t>
  </si>
  <si>
    <t>공동수급체 구성원의 출자비율 및 분담내용</t>
  </si>
  <si>
    <t>과업 내용 및 범위</t>
  </si>
  <si>
    <t>* 정답 (③): 경쟁사 담당자의 개인정보는 입찰공고문에 포함될 사항이 아님.</t>
  </si>
  <si>
    <t>공공조달 입찰 시 전문적인 지식이나 기술을 요하는 「기술용역」의 법적 범위에 포함되지 않고 '일반용역'으로 분류되는 과업은?</t>
  </si>
  <si>
    <t>정보통신공사업법에 근거한 정보통신망 실시설계 및 감리</t>
  </si>
  <si>
    <t>엔지니어링산업진흥법에 따라 수행되는 기계설비 엔지니어링 활동</t>
  </si>
  <si>
    <t>시설물 내부 청소, 야간 순찰 경비 및 단순 건축물 시설관리 용역</t>
  </si>
  <si>
    <t>건설기술진흥법령에 근거하여 발주되는 교량 건설 설계 및 감리</t>
  </si>
  <si>
    <t>* 정답 (③): 청소, 경비, 폐기물 처리 등은 고도의 기술적 판단보다 단순 노무나 정형화된 업무 성격이 강하여 기술용역이 아닌 '일반용역'으로 별도 입찰을 진행합니다.</t>
  </si>
  <si>
    <t>기술용역 입찰공고문을 작성할 때 관련 법령 및 예규에 따라 의무적으로 명시하지 않아도 되는 사항은 무엇인가?</t>
  </si>
  <si>
    <t>향후 계약 체결 시 계약상대자가 사용할 내부 직인(인감) 샘플 파일</t>
  </si>
  <si>
    <t>해당 입찰에 적용될 구체적인 용역수행능력 평가 기준 및 배점 한도</t>
  </si>
  <si>
    <t>적격심사에 필요한 실적증명서 등의 필수 서류 목록 및 제출 기한</t>
  </si>
  <si>
    <t>기초금액을 바탕으로 최종 낙찰자를 결정하는 명확한 산정 방법</t>
  </si>
  <si>
    <t>* 정답 (①): 낙찰 방법, 평가 기준, 서류 기한 등은 공고의 핵심 필수 요소이나, 아직 낙찰자가 정해지지도 않은 단계에서 업체의 직인 샘플을 미리 공고문에 명시하거나 요구할 필요는 없습니다.</t>
  </si>
  <si>
    <t>[상황] A사는 제안서에 '탁월한 기술력을 보유하고 있다'는 문구만 반복해서 작성했다. B사는 '유사 사업 수행 실적 5건, 관련 자격 보유 인력 3명'을 구체적으로 명시했다. 두 제안서에 대한 평가로 가장 적절한 것은?</t>
  </si>
  <si>
    <t>B사처럼 구체적·정량적 근거를 제시하는 것이 신뢰성 확보에 더 유리하다</t>
  </si>
  <si>
    <t>A사의 추상적 서술이 평가자에게 더 신뢰를 준다</t>
  </si>
  <si>
    <t>두 방식은 평가에 미치는 영향이 동일하다</t>
  </si>
  <si>
    <t>제안서에는 실적이나 인력 정보를 기재하면 안 된다</t>
  </si>
  <si>
    <t>* 정답 (①): '최고의 기술력'과 같은 추상적 표현보다 실적 건수·인력 자격 등 구체적이고 정량적인 근거로 강점을 증명하는 것이 평가자의 신뢰를 얻는 데 유리함.</t>
  </si>
  <si>
    <t>제안서에서 복잡한 수행체계나 조직도를 설명할 때 가장 효과적인 방법은?</t>
  </si>
  <si>
    <t>모든 내용을 줄글로만 서술한다</t>
  </si>
  <si>
    <t>다이어그램 등 시각 자료를 활용해 표현한다</t>
  </si>
  <si>
    <t>설명을 생략하고 결론만 제시한다</t>
  </si>
  <si>
    <t>경쟁사의 조직도를 인용한다</t>
  </si>
  <si>
    <t>* 정답 (②): 복잡한 수행체계는 다이어그램 등 시각 자료로 표현하면 이해도를 높일 수 있음.</t>
  </si>
  <si>
    <t>제안서 작성 시 RFP와의 정합성을 확보하기 위한 방법으로 가장 적절한 것은?</t>
  </si>
  <si>
    <t>RFP를 참고하지 않고 자사의 표준 양식만 사용한다</t>
  </si>
  <si>
    <t>평가 항목과 무관하게 자유 서술한다</t>
  </si>
  <si>
    <t>제안서 순서를 무작위로 구성한다</t>
  </si>
  <si>
    <t>RFP의 목차와 평가 항목 순서에 맞춰 제안서를 구성한다</t>
  </si>
  <si>
    <t>* 정답 (④): RFP의 목차·평가항목 순서에 맞춰 작성해야 평가자가 항목별로 비교·평가하기 쉬워짐.</t>
  </si>
  <si>
    <t>제안서에서 경쟁사와의 차별점을 부각하는 방법으로 가장 적절한 것은?</t>
  </si>
  <si>
    <t>자사만의 고유한 수행 전략과 차별화된 강점을 구체적으로 제시한다</t>
  </si>
  <si>
    <t>경쟁사를 직접적으로 비방한다</t>
  </si>
  <si>
    <t>차별점은 언급하지 않는 것이 안전하다</t>
  </si>
  <si>
    <t>모든 경쟁사와 동일한 내용으로 작성한다</t>
  </si>
  <si>
    <t>* 정답 (①): 경쟁사 비방이 아니라 자사 고유의 차별화된 강점을 구체적으로 제시하는 것이 바람직함.</t>
  </si>
  <si>
    <t>[상황] A사는 제안서에서 '탁월한 역량을 보유하고 있다'는 표현만 반복적으로 사용했다. 이 제안서의 개선 방향으로 가장 적절한 것은?</t>
  </si>
  <si>
    <t>경쟁사 비교표를 삭제한다</t>
  </si>
  <si>
    <t>추상적 표현을 더 많이 추가한다</t>
  </si>
  <si>
    <t>구체적인 실적, 수치, 사례 등 객관적 근거를 보강한다</t>
  </si>
  <si>
    <t>분량만 늘린다</t>
  </si>
  <si>
    <t>* 정답 (③): 추상적 자기 홍보보다 구체적 근거를 제시해야 신뢰성 있는 제안서가 됨.</t>
  </si>
  <si>
    <t>제안서 작성 시 과업 이해도를 보여주기 위한 방법으로 가장 적절한 것은?</t>
  </si>
  <si>
    <t>과업과 무관한 일반론을 서술한다</t>
  </si>
  <si>
    <t>과업 이해도는 평가와 무관하다</t>
  </si>
  <si>
    <t>RFP 내용을 그대로 복사해 붙여넣는다</t>
  </si>
  <si>
    <t>RFP상의 과업 목표와 현황을 정확히 파악해 이를 반영한 수행방안을 제시한다</t>
  </si>
  <si>
    <t>* 정답 (④): 과업 목표·현황을 정확히 반영한 수행방안 제시가 과업 이해도를 보여주는 핵심 방법임.</t>
  </si>
  <si>
    <t>제안서 제출 전 최종 점검 단계에서 확인해야 할 사항으로 가장 거리가 먼 것은?</t>
  </si>
  <si>
    <t>제출 서식·분량 등 형식 요건 충족 여부</t>
  </si>
  <si>
    <t>오탈자 및 수치 오류 여부</t>
  </si>
  <si>
    <t>경쟁사의 예상 제안 내용</t>
  </si>
  <si>
    <t>평가 항목별 대응 여부</t>
  </si>
  <si>
    <t>* 정답 (③): 경쟁사의 예상 제안 내용은 자사가 확인·통제할 수 있는 사항이 아님.</t>
  </si>
  <si>
    <t>전문성·기술성·창의성이 특히 중요한 용역(예: 전문 컨설팅)에 주로 적용되는 낙찰자 결정방식은?</t>
  </si>
  <si>
    <t>* 정답 (②): 협상에 의한 계약은 전문성·기술성·창의성이 요구되는 용역에 주로 적용되는 방식임.</t>
  </si>
  <si>
    <t>건물 경비 용역처럼 업무가 비교적 표준화된 용역에 적용하기 적합한 낙찰자 결정방식으로 가장 적절한 것은?</t>
  </si>
  <si>
    <t>경쟁적 대화 방식 계약</t>
  </si>
  <si>
    <t>수의계약(항상)</t>
  </si>
  <si>
    <t>* 정답 (①): 업무가 표준화되어 가격 비중이 상대적으로 큰 용역은 적격심사낙찰제가 적합함.</t>
  </si>
  <si>
    <t>협상에 의한 계약에서 제안서 평가는 통상 어떤 비중으로 구성되는가?</t>
  </si>
  <si>
    <t>기술평가는 반영되지 않는다</t>
  </si>
  <si>
    <t>기술과 가격이 항상 50:50이다</t>
  </si>
  <si>
    <t>기술평가 비중이 절대적으로 높고 가격평가는 상대적으로 낮다</t>
  </si>
  <si>
    <t>가격평가만으로 결정된다</t>
  </si>
  <si>
    <t>* 정답 (③): 협상에 의한 계약은 기술능력평가 비중이 절대적으로 높고, 가격평가 비중은 상대적으로 낮게 설정되는 것이 일반적임.</t>
  </si>
  <si>
    <t>기술용역과 일반용역의 낙찰자 결정방식에 대한 설명으로 가장 옳은 것은?</t>
  </si>
  <si>
    <t>기술용역은 반드시 최저가로만 결정한다</t>
  </si>
  <si>
    <t>기술적 전문성 정도에 따라 서로 다른 낙�찰자 결정방식이 적용될 수 있다</t>
  </si>
  <si>
    <t>일반용역에는 낙찰자 결정방식이 존재하지 않는다</t>
  </si>
  <si>
    <t>두 용역은 항상 동일한 방식으로만 낙찰자를 결정한다</t>
  </si>
  <si>
    <t>* 정답 (②): 기술적 전문성이 중요한 기술용역은 협상에 의한 계약 등이, 표준화된 일반용역은 적격심사 등이 적용되는 등 성격에 따라 방식이 달라짐.</t>
  </si>
  <si>
    <t>낙찰자 결정방식을 선택할 때 발주기관이 우선 고려해야 할 요소로 가장 적절한 것은?</t>
  </si>
  <si>
    <t>과업의 수행 기간 및 투입 인원 규모</t>
  </si>
  <si>
    <t>용역의 기술적 난이도와 전문성 정도</t>
  </si>
  <si>
    <t>입찰참가업체의 친분관계</t>
  </si>
  <si>
    <t>* 정답 (②): 용역의 기술적 난이도·전문성 정도에 따라 적합한 낙찰자 결정방식을 선택하는 것이 합리적임.</t>
  </si>
  <si>
    <t>[상황] 고도의 창의적 설계 역량이 요구되는 용역에 단순 최저가낙찰제를 적용했다. 이 선택의 문제점으로 가장 적절한 것은?</t>
  </si>
  <si>
    <t>비용을 가장 절감할 수 있어 항상 바람직하다</t>
  </si>
  <si>
    <t>기술력·창의성이 평가에 반영되지 못해 품질 저하 우려가 있다</t>
  </si>
  <si>
    <t>오히려 절차가 더 복잡해진다</t>
  </si>
  <si>
    <t>* 정답 (③): 기술·창의성이 핵심인 용역에 가격만으로 낙찰자를 정하면 품질 저하 위험이 커짐.</t>
  </si>
  <si>
    <t>낙찰자 결정방식 선정 시, 용역 결과물이 무형의 서비스이고 수행 과정의 전문성이 품질을 좌우하는 경우 고려할 사항으로 가장 적절한 것은?</t>
  </si>
  <si>
    <t>평가 없이 임의로 선정한다</t>
  </si>
  <si>
    <t>가격만을 기준으로 결정한다</t>
  </si>
  <si>
    <t>가격뿐 아니라 수행인력의 전문성·경험 등 기술적 요소를 함께 평가하는 방식을 검토한다</t>
  </si>
  <si>
    <t>용역명을 기준으로 자동 결정한다</t>
  </si>
  <si>
    <t>* 정답 (③): 무형의 서비스이고 전문성이 품질을 좌우하는 용역은 기술적 요소를 함께 평가하는 방식이 적합함.</t>
  </si>
  <si>
    <t>고난도의 공공 기술용역(설계, 감리 등) 발주 시 활용되는 '사업수행능력평가' 제도의 세부적인 평가 방식(Track) 3가지 분류 체계에 법적으로 포함되지 않는 것은?</t>
  </si>
  <si>
    <t>기술자평가서 제출을 통한 심층 인터뷰 종합 평가 (SOQ)</t>
  </si>
  <si>
    <t>구체적 과업 수행 계획을 담은 기술제안서 정성 평가 (TP)</t>
  </si>
  <si>
    <t>기업 경영상태 및 신용등급에 기반한 재무가치 평가 (EV)</t>
  </si>
  <si>
    <t>참여 기술자의 과거 유사 수행 실적 등에 의한 정량 평가 (PQ)</t>
  </si>
  <si>
    <t>* 정답 (③): 용역의 난이도와 특성에 따라 사업수행능력을 검증하는 방식은 가장 기본적인 실적 위주의 '수행실적평가(PQ)', 인력 중심의 '기술자평가(SOQ)', 구체적 과제 해결 위주의 '기술제안서평가(TP)' 3가지로만 구분됩니다.</t>
  </si>
  <si>
    <t>제안서 평가의 공정성과 전문성을 확보하기 위해 관련 분야의 내·외부 전문가로 구성하는 조직은?</t>
  </si>
  <si>
    <t>제안서 평가위원회</t>
  </si>
  <si>
    <t>계약심의위원회</t>
  </si>
  <si>
    <t>기술자문위원회</t>
  </si>
  <si>
    <t>일상감사위원회</t>
  </si>
  <si>
    <t>* 정답 (①): 제안서 평가는 공정성·전문성 확보를 위해 내·외부 전문가로 구성된 제안서 평가위원회를 통해 이루어짐.</t>
  </si>
  <si>
    <t>제안서의 기술평가 항목으로 일반적으로 포함되지 않는 것은?</t>
  </si>
  <si>
    <t>과업에 대한 이해도</t>
  </si>
  <si>
    <t>제안사의 신용평가등급</t>
  </si>
  <si>
    <t>사업 수행 조직 및 인력 구성</t>
  </si>
  <si>
    <t>기술적 해결방안의 적절성</t>
  </si>
  <si>
    <t>* 정답 (②): 신용평가등급은 통상 입찰참가자격이나 적격심사 단계의 경영상태 평가 항목으로 활용되며, 기술평가 항목과는 거리가 멂.</t>
  </si>
  <si>
    <t>제안발표(프레젠테이션) 평가에서 평가위원이 중점적으로 확인하는 사항으로 가장 적절한 것은?</t>
  </si>
  <si>
    <t>제안요청서(RFP)에 명시되지 않은 혁신적 기술 적용 여부</t>
  </si>
  <si>
    <t>프레젠테이션(PT) 자료의 시각적 디자인 완성도</t>
  </si>
  <si>
    <t>제안서에 기재된 수행방안의 실현 가능성과 이해도</t>
  </si>
  <si>
    <t>사업수행 책임자(PM)의 발표 태도 및 의사소통 능력</t>
  </si>
  <si>
    <t>* 정답 (③): 제안발표는 제안서 내용의 실현 가능성과 발표자의 과업 이해도를 확인하는 절차로 활용됨.</t>
  </si>
  <si>
    <t>제안서 평가위원 선정 시 반드시 고려해야 할 사항으로 가장 적절한 것은?</t>
  </si>
  <si>
    <t>평가 대상 업체와 이해관계가 있는 자를 배제(회피)한다</t>
  </si>
  <si>
    <t>평가위원 수를 최소 1인으로 제한한다</t>
  </si>
  <si>
    <t>평가위원 명단을 사전에 모든 참가업체에 공개한다</t>
  </si>
  <si>
    <t>평가위원은 반드시 발주기관 소속 공무원만으로 구성한다</t>
  </si>
  <si>
    <t>* 정답 (①): 이해상충 방지를 위해 평가 대상 업체와 이해관계가 있는 위원은 회피시키는 것이 원칙임.</t>
  </si>
  <si>
    <t>[상황] 평가위원 중 한 명이 특정 참가업체 임원과 친인척 관계임이 뒤늦게 확인되었다. 이 경우 취해야 할 조치로 가장 적절한 것은?</t>
  </si>
  <si>
    <t>그대로 평가를 진행해도 무방하다</t>
  </si>
  <si>
    <t>평가 자체를 취소할 필요는 없다고 판단한다</t>
  </si>
  <si>
    <t>해당 평가위원을 심사에서 회피시키고 필요시 재구성한다</t>
  </si>
  <si>
    <t>해당 업체만 감점 처리한다</t>
  </si>
  <si>
    <t>* 정답 (③): 이해상충이 확인된 평가위원은 심사에서 회피시켜 공정성을 확보해야 함.</t>
  </si>
  <si>
    <t>제안서 평가표에서 정성평가(전문가 주관 평가)와 정량평가(수치화된 평가)를 함께 활용하는 이유로 가장 적절한 것은?</t>
  </si>
  <si>
    <t>특정 업체에 유리하게 하기 위해</t>
  </si>
  <si>
    <t>평가 항목 수를 줄이기 위해</t>
  </si>
  <si>
    <t>평가를 더 오래 걸리게 하기 위해</t>
  </si>
  <si>
    <t>기술적 완성도와 객관적 조건을 균형 있게 반영하기 위해</t>
  </si>
  <si>
    <t>* 정답 (④): 정성·정량평가를 함께 활용하면 기술적 완성도와 객관적 조건을 균형 있게 반영할 수 있음.</t>
  </si>
  <si>
    <t>제안발표 이후 평가결과에 대해 이의가 제기된 경우 발주기관이 취할 수 있는 조치로 가장 적절한 것은?</t>
  </si>
  <si>
    <t>평가 자체를 비공개로 전환한다</t>
  </si>
  <si>
    <t>무조건 이의를 기각한다</t>
  </si>
  <si>
    <t>평가 근거와 절차를 확인하여 소명하거나 필요한 시정조치를 검토한다</t>
  </si>
  <si>
    <t>이의제기 자체를 금지한다</t>
  </si>
  <si>
    <t>* 정답 (③): 이의제기 시 평가 근거·절차를 확인해 소명하거나 필요한 조치를 취하는 것이 원칙임.</t>
  </si>
  <si>
    <t>협상에 의한 계약의 일반적인 절차 순서로 옳은 것은?</t>
  </si>
  <si>
    <t>입찰공고 → 제안서 평가 → 협상적격자 선정 → 기술 및 가격 협상</t>
  </si>
  <si>
    <t>입찰공고 → 협상적격자 선정 → 제안서 평가 → 협상</t>
  </si>
  <si>
    <t>협상 → 입찰공고 → 제안서 평가</t>
  </si>
  <si>
    <t>제안서 평가 → 입찰공고 → 협상</t>
  </si>
  <si>
    <t>* 정답 (①): 협상에 의한 계약은 입찰공고, 제안서 평가, 협상적격자 선정, 기술·가격 협상, 계약체결 순으로 진행됨.</t>
  </si>
  <si>
    <t>제안서 기술평가 점수가 일정 기준 이상인 자를 선정해 협상을 진행할 자격을 부여하는 것을 무엇이라 하는가?</t>
  </si>
  <si>
    <t>협상적격자</t>
  </si>
  <si>
    <t>적격심사대상자</t>
  </si>
  <si>
    <t>낙찰예정자</t>
  </si>
  <si>
    <t>수의계약대상자</t>
  </si>
  <si>
    <t>* 정답 (①): 기술평가 점수가 일정 점수 이상인 자를 협상적격자로 선정하여 고득점 순으로 협상을 진행함.</t>
  </si>
  <si>
    <t>협상에 의한 계약에서 1순위 협상대상자와의 협상이 최종 결렬된 경우 발주기관이 취할 조치로 가장 적절한 것은?</t>
  </si>
  <si>
    <t>동일한 기준과 절차에 따라 차순위 협상적격자와 협상을 진행한다</t>
  </si>
  <si>
    <t>협상 없이 1순위 업체와 그대로 계약을 체결한다</t>
  </si>
  <si>
    <t>수의계약으로 전환하여 임의의 업체와 계약한다</t>
  </si>
  <si>
    <t>즉시 재공고 입찰을 실시한다</t>
  </si>
  <si>
    <t>* 정답 (①): 1순위와의 협상이 결렬되면 동일한 기준·절차로 차순위 협상적격자와 협상을 진행하는 것이 원칙임.</t>
  </si>
  <si>
    <t>발주기관이 완벽한 제안요청서(RFP)를 사전에 만들기 어려운 경우, 입찰자와의 대화를 통해 과업 내용을 함께 확정해가는 계약 방식은?</t>
  </si>
  <si>
    <t>일반경쟁계약</t>
  </si>
  <si>
    <t>* 정답 (②): 경쟁적 대화 방식 계약은 발주기관과 입찰자가 대화를 통해 최적의 해법을 찾아가며 과업 내용을 구체화하는 방식임.</t>
  </si>
  <si>
    <t>경쟁적 대화 방식 계약과 협상에 의한 계약의 가장 근본적인 차이점으로 가장 적절한 것은?</t>
  </si>
  <si>
    <t>과업 내용을 사전에 확정된 것으로 볼지, 대화를 통해 함께 확정해나갈지 여부</t>
  </si>
  <si>
    <t>계약 이행 기간</t>
  </si>
  <si>
    <t>계약금액의 규모</t>
  </si>
  <si>
    <t>* 정답 (①): 경쟁적 대화 방식은 과업 내용 자체를 대화를 통해 구체화해나간다는 점에서, 이미 어느 정도 확정된 제안을 두고 협상하는 방식과 구별됨.</t>
  </si>
  <si>
    <t>협상에 의한 계약에서 가격 협상의 기준이 되는 가격으로 가장 적절한 것은?</t>
  </si>
  <si>
    <t>입찰공고 시의 추정가격</t>
  </si>
  <si>
    <t>예정가격 그 자체</t>
  </si>
  <si>
    <t>경쟁사가 제시한 가격</t>
  </si>
  <si>
    <t>협상적격자가 제안한 가격을 바탕으로 한 협상 기준가격</t>
  </si>
  <si>
    <t>* 정답 (④): 가격 협상은 사업예산 이내에서 협상대상자가 제안한 가격 등을 기준(협상기준가격)으로 진행됨.</t>
  </si>
  <si>
    <t>[상황] 기술협상 과정에서 발주기관이 최초 RFP에 없던 과업을 추가로 요구했다. 제안사가 우선적으로 취해야 할 대응으로 가장 적절한 것은?</t>
  </si>
  <si>
    <t>기술적으로 불가능하다며 일방적으로 거부한다</t>
  </si>
  <si>
    <t>협상을 즉시 중단한다</t>
  </si>
  <si>
    <t>과업 추가에 따른 대가(비용·기간) 조정을 명확히 요구한다</t>
  </si>
  <si>
    <t>과업의 원활한 수행을 위해 발주기관의 추가 요구를 무상으로 수용한다</t>
  </si>
  <si>
    <t>* 정답 (③): 정당한 과업 범위 변경·추가 요구에는 응하되, 이에 상응하는 대가 조정을 명확히 요구해 권리를 확보해야 함.</t>
  </si>
  <si>
    <t>일반용역 적격심사에서 주로 평가하는 항목으로 가장 적절한 것은?</t>
  </si>
  <si>
    <t>해당 지역업체와의 공동도급 여부</t>
  </si>
  <si>
    <t>이행실적, 경영상태, 입찰가격 등</t>
  </si>
  <si>
    <t>제안서의 총 분량 및 목차 구성</t>
  </si>
  <si>
    <t>제안 기술의 혁신성 위주</t>
  </si>
  <si>
    <t>* 정답 (②): 일반용역 적격심사는 이행실적, 경영상태, 입찰가격 등을 중심으로 평가함.</t>
  </si>
  <si>
    <t>일반용역 적격심사와 협상에 의한 계약의 평가 중점 차이로 가장 적절한 것은?</t>
  </si>
  <si>
    <t>두 방식은 평가요소가 완전히 동일하다</t>
  </si>
  <si>
    <t>적격심사에는 평가요소가 없다</t>
  </si>
  <si>
    <t>적격심사는 가격·이행실적 등 비교적 정형화된 요소를, 협상계약은 기술 제안의 혁신성을 중시하는 경향이 있다</t>
  </si>
  <si>
    <t>협상계약은 가격만 평가한다</t>
  </si>
  <si>
    <t>* 정답 (③): 제안 기술의 혁신성은 주로 협상에 의한 계약에서 중요하게 평가되는 항목이며, 일반용역 적격심사는 이행실적·경영상태 등 정형화된 요소가 중심임.</t>
  </si>
  <si>
    <t>적격심사에서 계약이행능력을 평가하는 취지로 가장 적절한 것은?</t>
  </si>
  <si>
    <t>계약상대자가 계약을 안정적으로 이행할 수 있는지 사전에 확인하기 위해</t>
  </si>
  <si>
    <t>입찰참가업체 수를 늘리기 위해</t>
  </si>
  <si>
    <t>가장 저렴한 업체만 걸러내기 위해</t>
  </si>
  <si>
    <t>특정 업체에 특혜를 주기 위해</t>
  </si>
  <si>
    <t>* 정답 (①): 계약이행능력 평가는 계약이 안정적으로 이행될 수 있는지를 사전에 확인하기 위한 절차임.</t>
  </si>
  <si>
    <t>일반용역 적격심사 결과 일정 점수에 미달하는 업체에 대한 처리로 가장 적절한 것은?</t>
  </si>
  <si>
    <t>차순위 적격심사 대상자를 대상으로 심사를 진행한다</t>
  </si>
  <si>
    <t>심사를 생략하고 계약을 체결한다</t>
  </si>
  <si>
    <t>점수와 무관하게 최저가 업체와 계약한다</t>
  </si>
  <si>
    <t>수의계약으로 전환하여 즉시 계약을 체결한다</t>
  </si>
  <si>
    <t>* 정답 (①): 적격심사 기준에 미달하면 차순위자를 대상으로 심사를 이어가는 것이 일반적 절차임.</t>
  </si>
  <si>
    <t>[상황] 적격심사 대상 업체가 제출한 이행실적 서류에 오류가 발견되었다. 이 경우 적절한 처리방향은?</t>
  </si>
  <si>
    <t>계약을 자동으로 해지한다</t>
  </si>
  <si>
    <t>오류를 이유로 무조건 형사고발한다</t>
  </si>
  <si>
    <t>서류 오류는 무시하고 그대로 진행한다</t>
  </si>
  <si>
    <t>사실관계를 확인하고 필요시 보완요청 또는 심사결과에 반영한다</t>
  </si>
  <si>
    <t>* 정답 (④): 서류 오류는 사실관계 확인 후 보완요청 등 절차에 따라 처리하는 것이 합리적임.</t>
  </si>
  <si>
    <t>용역적격심사에서 '경영상태' 평가가 이루어지는 이유로 가장 적절한 것은?</t>
  </si>
  <si>
    <t>주식 시가총액을 평가하기 위해</t>
  </si>
  <si>
    <t>최근 회계연도 재무제표상의 부채비율 및 유동비율</t>
  </si>
  <si>
    <t>국세 및 지방세 완납 여부를 통한 신용도 평가를 위해</t>
  </si>
  <si>
    <t>계약기간 동안 안정적으로 용역을 수행할 재무적 여력이 있는지 확인하기 위해</t>
  </si>
  <si>
    <t>* 정답 (④): 경영상태 평가는 계약기간 중 안정적 이행이 가능한 재무적 여력이 있는지를 확인하기 위한 것임.</t>
  </si>
  <si>
    <t>적격심사 결과가 이후 계약관리에 활용되는 방식으로 가장 적절한 것은?</t>
  </si>
  <si>
    <t>경쟁사에 공개되어야 한다</t>
  </si>
  <si>
    <t>적격심사 결과는 계약체결과 동시에 폐기된다</t>
  </si>
  <si>
    <t>이후 어떤 목적으로도 활용되지 않는다</t>
  </si>
  <si>
    <t>이행 중 문제 발생 시 계약상대자의 이행능력을 판단하는 참고자료로 활용될 수 있다</t>
  </si>
  <si>
    <t>* 정답 (④): 적격심사 결과는 이행 중 참고자료로 활용될 수 있음.</t>
  </si>
  <si>
    <t>기술용역 입찰에 따른 적격심사를 진행할 때, 업체의 실적이나 경영상태 등을 평가하는 기준일(심사항목별 심사기준일)로 가장 원칙적인 날짜는 언제인가? (별도 명시 없는 경우)</t>
  </si>
  <si>
    <t>입찰서 제출 마감일</t>
  </si>
  <si>
    <t>입찰 공고일</t>
  </si>
  <si>
    <t>최종 계약 체결일</t>
  </si>
  <si>
    <t>낙찰예정자 통보일</t>
  </si>
  <si>
    <t>* 정답 (②): 업체의 평가 기준일은 원칙적으로 '입찰 공고일'이며, 공고일 다음 날 이후에 변동되거나 새로 발생한 실적, 면허 취득 등은 적격심사 평가 대상에서 엄격히 제외됩니다.</t>
  </si>
  <si>
    <t>조달청 기술용역 적격심사 세부기준 제2조</t>
  </si>
  <si>
    <t>고시금액 미만 규모의 기술용역 입찰에서 낙찰자를 결정하기 위해 적격심사를 실시할 때, 업체의 경영상태와 입찰 가격의 심사 배점 비중으로 올바른 것은?</t>
  </si>
  <si>
    <t>경영상태 50점 + 입찰가격 50점 (총 100점)</t>
  </si>
  <si>
    <t>경영상태 10점 + 입찰가격 90점 (총 100점)</t>
  </si>
  <si>
    <t>경영상태 30점 + 입찰가격 70점 (총 100점)</t>
  </si>
  <si>
    <t>경영상태 20점 + 입찰가격 80점 (총 100점)</t>
  </si>
  <si>
    <t>* 정답 (②): 규모가 작은 고시금액 미만 기술용역의 적격심사는 기술력에 대한 까다로운 평가를 완화하고, 업체의 '경영상태 10점'과 투찰한 '입찰 가격 90점'을 합산하여 간소하게 평가합니다.</t>
  </si>
  <si>
    <t>조달청 기술용역 적격심사 세부기준</t>
  </si>
  <si>
    <t>소프트웨어(SW) 개발 등 정보화 사업의 제안, 계약, 과업 수행 등 전 과정을 온라인으로 통합 관리하는 시스템은?</t>
  </si>
  <si>
    <t>e-발주시스템</t>
  </si>
  <si>
    <t>조달정보개방포털</t>
  </si>
  <si>
    <t>온비드</t>
  </si>
  <si>
    <t>나라장터 종합쇼핑몰</t>
  </si>
  <si>
    <t>* 정답 (①): e-발주시스템은 SW 개발 등 정보화 사업의 제안부터 계약, 과업수행까지 전 과정을 온라인으로 통합 관리하는 시스템임.</t>
  </si>
  <si>
    <t>e-발주시스템을 활용하는 주된 목적으로 가장 거리가 먼 것은?</t>
  </si>
  <si>
    <t>과업 진행 상황을 체계적으로 관리하는 것</t>
  </si>
  <si>
    <t>계약·이행 과정의 투명성을 높이는 것</t>
  </si>
  <si>
    <t>산출물 관리의 효율성을 높이는 것</t>
  </si>
  <si>
    <t>입찰참가 가능 기업 수를 제한하는 것</t>
  </si>
  <si>
    <t>* 정답 (④): e-발주시스템은 투명성·효율성 제고가 목적이며, 입찰참가 기업 수 제한과는 관련이 없음.</t>
  </si>
  <si>
    <t>e-발주시스템을 통해 관리할 수 있는 항목으로 가장 거리가 먼 것은?</t>
  </si>
  <si>
    <t>이행실적 및 평가 자료</t>
  </si>
  <si>
    <t>제안 및 계약 관련 문서</t>
  </si>
  <si>
    <t>과업 진행상황 및 산출물</t>
  </si>
  <si>
    <t>과업지시서에 따른 산출물의 규격 및 수량</t>
  </si>
  <si>
    <t>* 정답 (④): 경쟁사의 내부 원가 정보는 e-발주시스템의 관리 대상이 아니며, 접근할 수도 없음.</t>
  </si>
  <si>
    <t>e-발주시스템 활용이 계약관리에 주는 이점으로 가장 적절한 것은?</t>
  </si>
  <si>
    <t>과업 진행 이력이 시스템에 기록되어 사후 확인·검증이 용이해진다</t>
  </si>
  <si>
    <t>계약담당자의 재량권이 무제한으로 확대된다</t>
  </si>
  <si>
    <t>검사·검수 절차가 전면 생략된다</t>
  </si>
  <si>
    <t>서면 계약서 작성이 완전히 불필요해진다</t>
  </si>
  <si>
    <t>* 정답 (①): 시스템에 이력이 기록되면 사후 확인·검증이 쉬워져 계약관리의 투명성이 높아짐.</t>
  </si>
  <si>
    <t>[상황] 정보화 사업 계약에서 e-발주시스템을 활용하지 않고 모든 서류를 수기로 관리했다. 이로 인한 문제점으로 가장 적절한 것은?</t>
  </si>
  <si>
    <t>오히려 관리가 더 정확해진다</t>
  </si>
  <si>
    <t>진행상황 추적과 문서 관리의 효율성이 떨어지고 투명성 확보가 어려워진다</t>
  </si>
  <si>
    <t>* 정답 (②): 시스템을 활용하지 않으면 진행상황 추적·문서관리 효율성이 떨어지고 투명성 확보도 어려워짐.</t>
  </si>
  <si>
    <t>e-발주시스템과 나라장터의 관계에 대한 설명으로 가장 적절한 것은?</t>
  </si>
  <si>
    <t>e-발주시스템은 나라장터를 완전히 대체한다</t>
  </si>
  <si>
    <t>e-발주시스템은 정보화 사업 등 특정 영역의 과업관리에 특화된 별도 시스템으로 활용된다</t>
  </si>
  <si>
    <t>e-발주시스템은 공사계약 전용 시스템이다</t>
  </si>
  <si>
    <t>e-발주시스템은 나라장터와 전혀 무관한 민간 시스템이다</t>
  </si>
  <si>
    <t>* 정답 (②): e-발주시스템은 정보화 사업 등 특정 영역의 과업 관리를 위해 활용되는 시스템으로 이해할 수 있음.</t>
  </si>
  <si>
    <t>e-발주시스템을 활용한 과업관리에서 계약담당자가 유의할 사항으로 가장 적절한 것은?</t>
  </si>
  <si>
    <t>시스템 기록은 법적 효력이 없다고 간주한다</t>
  </si>
  <si>
    <t>시스템 접근권한을 아무에게나 부여한다</t>
  </si>
  <si>
    <t>시스템 등록 후에는 더 이상 확인할 필요가 없다</t>
  </si>
  <si>
    <t>시스템에 기록된 진행상황·산출물을 주기적으로 확인·점검한다</t>
  </si>
  <si>
    <t>* 정답 (④): 시스템에 기록된 정보를 주기적으로 확인·점검하는 것이 이행관리의 기본임.</t>
  </si>
  <si>
    <t>조달청이 운영하는 온라인 구매 플랫폼으로, 다수공급자계약이 체결된 상품이 등록되어 수요기관이 규격·가격을 비교해 구매할 수 있는 시스템은?</t>
  </si>
  <si>
    <t>* 정답 (②): 종합쇼핑몰은 조달청이 운영하는 온라인 구매 플랫폼으로, MAS 계약이 체결된 상품이 등록되어 수요기관이 규격·가격을 비교·구매할 수 있음.</t>
  </si>
  <si>
    <t>나라장터 종합쇼핑몰의 이용 대상으로 가장 적절한 것은?</t>
  </si>
  <si>
    <t>해외 소재 민간기업</t>
  </si>
  <si>
    <t>특정 대기업에 한정</t>
  </si>
  <si>
    <t>국가·지방자치단체 등 공공기관인 수요기관</t>
  </si>
  <si>
    <t>일반 국민 누구나</t>
  </si>
  <si>
    <t>* 정답 (③): 종합쇼핑몰은 공공기관 수요를 위한 구매 플랫폼으로, 일반 국민이 자유롭게 구매할 수 있는 시스템이 아님.</t>
  </si>
  <si>
    <t>종합쇼핑몰에서 수요기관이 물품을 구매하기 전 확인할 수 있는 정보로 가장 적절한 것은?</t>
  </si>
  <si>
    <t>경쟁사의 원가 구조</t>
  </si>
  <si>
    <t>등록된 상품의 규격과 계약단가</t>
  </si>
  <si>
    <t>타 기관의 예산 내역</t>
  </si>
  <si>
    <t>계약담당자의 개인정보</t>
  </si>
  <si>
    <t>* 정답 (②): 종합쇼핑몰에서는 등록된 상품의 규격과 계약단가 등을 비교해 확인할 수 있음.</t>
  </si>
  <si>
    <t>일정 금액 미만의 구매 시 별도의 2단계 경쟁 없이 종합쇼핑몰에서 바로 구매할 수 있도록 하는 취지로 가장 적절한 것은?</t>
  </si>
  <si>
    <t>가격 비교를 아예 못하게 하기 위해</t>
  </si>
  <si>
    <t>특정 업체를 우대하기 위해</t>
  </si>
  <si>
    <t>모든 구매에 항상 경쟁을 배제하기 위해</t>
  </si>
  <si>
    <t>소액 구매의 신속성과 행정 효율성을 높이기 위해</t>
  </si>
  <si>
    <t>* 정답 (④): 소액 구매까지 2단계경쟁을 요구하면 행정 비효율이 커지므로, 일정 금액 미만은 종합쇼핑몰에서 바로 구매할 수 있도록 함.</t>
  </si>
  <si>
    <t>[상황] 수요기관 담당자가 종합쇼핑몰에서 상품을 검색해 규격과 가격을 비교하고 있다. 이 단계에서 이루어지는 절차로 가장 적절한 것은?</t>
  </si>
  <si>
    <t>계약 해지 절차</t>
  </si>
  <si>
    <t>구매 대상 상품의 사전 탐색 및 비교</t>
  </si>
  <si>
    <t>입찰공고 작성</t>
  </si>
  <si>
    <t>하자보수보증금 산정</t>
  </si>
  <si>
    <t>* 정답 (②): 종합쇼핑몰에서의 규격·가격 비교는 구매 전 사전 탐색 단계에 해당함.</t>
  </si>
  <si>
    <t>종합쇼핑몰에 등록되는 상품의 전제조건으로 가장 적절한 것은?</t>
  </si>
  <si>
    <t>다수공급자계약(MAS)이 체결된 상품일 것</t>
  </si>
  <si>
    <t>계약 없이 임의로 등록 가능</t>
  </si>
  <si>
    <t>소액수의계약 대상일 것만으로 충분</t>
  </si>
  <si>
    <t>공사용 자재일 것</t>
  </si>
  <si>
    <t>* 정답 (①): 종합쇼핑몰에는 다수공급자계약이 체결된 상품이 등록되어 거래됨.</t>
  </si>
  <si>
    <t>수요기관이 종합쇼핑몰을 통해 구매할 때 유의해야 할 사항으로 가장 적절한 것은?</t>
  </si>
  <si>
    <t>예산 범위 내에서 필요한 규격에 맞는 상품을 선택해야 한다</t>
  </si>
  <si>
    <t>구매 기록은 남지 않는다</t>
  </si>
  <si>
    <t>구매 절차에 대한 규정은 없다</t>
  </si>
  <si>
    <t>가격과 무관하게 아무 상품이나 구매해도 된다</t>
  </si>
  <si>
    <t>* 정답 (①): 수요기관은 예산 범위와 필요 규격에 맞춰 종합쇼핑몰 구매를 진행해야 함.</t>
  </si>
  <si>
    <t>품질·성능 등이 유사한 물품에 대해 2인 이상의 공급자와 단가계약을 체결하는 제도이다</t>
  </si>
  <si>
    <t>단 하나의 업체와만 계약을 체결하는 제도이다</t>
  </si>
  <si>
    <t>계약 체결 후에는 상품이 등록되지 않는다</t>
  </si>
  <si>
    <t>* 정답 (②): MAS는 품질·성능 등이 동등·유사한 물품에 대해 2인 이상의 계약상대자와 단가계약을 체결하는 제도임.</t>
  </si>
  <si>
    <t>다수공급자계약 업무처리기준(조달청 고시)</t>
  </si>
  <si>
    <t>MAS 계약과 총액계약(1회성 사업 전체를 총액으로 계약)을 비교한 설명으로 가장 옳은 것은?</t>
  </si>
  <si>
    <t>MAS는 총액계약의 하위 개념으로 총액계약 없이는 성립할 수 없다</t>
  </si>
  <si>
    <t>MAS는 1회성 사업에만 적용되고 총액계약은 반복구매에만 적용된다</t>
  </si>
  <si>
    <t>MAS는 정해진 기간 동안 단가를 정해두고 실제 구매는 수요기관의 필요에 따라 이루어지는 단가계약인 반면, 총액계약은 총 금액을 사전에 확정하는 방식이다</t>
  </si>
  <si>
    <t>MAS와 총액계약은 완전히 동일한 계약방식이다</t>
  </si>
  <si>
    <t>* 정답 (③): MAS는 정해진 기간의 단가를 미리 정해두고 실제 구매는 수요에 따라 이루어지는 단가계약이며, 총액계약(1회성 사업 전체를 총액으로 계약하는 방식)과는 성격이 다름.</t>
  </si>
  <si>
    <t>MAS 계약의 유효기간에 대한 설명으로 가장 적절한 것은?</t>
  </si>
  <si>
    <t>통상 일정 기간(예: 3년 내외)이며, 계약이행실적 평가 등에 따라 연장될 수 있다</t>
  </si>
  <si>
    <t>유효기간은 1년으로 고정되며 연장이 불가능하다</t>
  </si>
  <si>
    <t>유효기간에 제한이 없어 영구적으로 유지된다</t>
  </si>
  <si>
    <t>유효기간은 수요기관이 구매 건별로 임의로 정한다</t>
  </si>
  <si>
    <t>* 정답 (①): MAS 계약은 일정한 유효기간을 두고, 계약이행실적 평가 등에 따라 연장 여부가 결정됨.</t>
  </si>
  <si>
    <t>MAS 계약업체가 지켜야 하는 '우대가격 유지의무'의 내용으로 가장 적절한 것은?</t>
  </si>
  <si>
    <t>계약체결 시점의 가격을 영원히 고정해야 한다</t>
  </si>
  <si>
    <t>계약가격이 시중 거래가격보다 불리하지(비싸지) 않도록 유지해야 한다</t>
  </si>
  <si>
    <t>매년 반드시 가격을 인상해야 한다</t>
  </si>
  <si>
    <t>조달청에만 무조건 더 비싸게 공급해야 한다</t>
  </si>
  <si>
    <t>* 정답 (②): 우대가격 유지의무는 계약가격이 시중 거래가격보다 불리하지 않도록(더 비싸지 않도록) 유지해야 하는 의무를 말함.</t>
  </si>
  <si>
    <t>[상황] MAS 계약업체가 시중에서는 더 낮은 가격에 동일 제품을 판매하면서 조달청 종합쇼핑몰에는 더 높은 가격을 유지했다. 이는 어떤 의무 위반에 해당하는가?</t>
  </si>
  <si>
    <t>계약보증금 납부의무 위반</t>
  </si>
  <si>
    <t>우대가격 유지의무 위반</t>
  </si>
  <si>
    <t>입찰참가자격 등록의무 위반</t>
  </si>
  <si>
    <t>납세의무 위반</t>
  </si>
  <si>
    <t>* 정답 (②): 시중가격보다 불리한(비싼) 가격을 유지한 것은 우대가격 유지의무 위반에 해당함.</t>
  </si>
  <si>
    <t>MAS 계약업체가 계약기간 중 공급가격을 변경하려는 경우의 절차로 가장 적절한 것은?</t>
  </si>
  <si>
    <t>다른 계약업체들의 동의만 받으면 된다</t>
  </si>
  <si>
    <t>수요기관에만 통보하면 충분하다</t>
  </si>
  <si>
    <t>조달청에 가격 변경을 신청하고 증빙자료를 제출해 승인을 받아야 한다</t>
  </si>
  <si>
    <t>계약기간 중에는 어떠한 경우에도 가격 변경이 불가능하다</t>
  </si>
  <si>
    <t>* 정답 (③): 가격 변경은 조달청에 신청하고 증빙자료를 제출해 승인받는 절차를 거쳐야 함.</t>
  </si>
  <si>
    <t>MAS 제도가 다수의 공급자와 계약을 체결하는 방식을 택한 이유로 가장 적절한 것은?</t>
  </si>
  <si>
    <t>경쟁을 원천적으로 배제하기 위해</t>
  </si>
  <si>
    <t>특정 업체 하나에만 이익을 몰아주기 위해</t>
  </si>
  <si>
    <t>수요기관의 상시적·다양한 수요에 유연하게 대응하기 위해</t>
  </si>
  <si>
    <t>계약 절차를 더 복잡하게 만들기 위해</t>
  </si>
  <si>
    <t>* 정답 (③): 다수 공급자와의 계약은 수요기관의 상시적이고 다양한 수요에 유연하게 대응하기 위한 것임.</t>
  </si>
  <si>
    <t>다수 기관이 필요로 하는 공통 물자를 조달청이 미리 단가만 정해두고, 각 기관이 직접 납품을 요구하는 계약은?</t>
  </si>
  <si>
    <t>제3자를 위한 단가계약</t>
  </si>
  <si>
    <t>희망수량 경쟁계약</t>
  </si>
  <si>
    <t>사후원가검토 조건부계약</t>
  </si>
  <si>
    <t>* 정답 (②): 조달청이 체결하여 종합쇼핑몰 등에 등록하고 각 기관이 직접 대금을 지급·요구하는 제도는 '제3자를 위한 단가계약'입니다.</t>
  </si>
  <si>
    <t>조달사업법 제12조 및 제13조</t>
  </si>
  <si>
    <t>일반적인 민법상 계약 당사자는 2명이지만, 조달청이 운영하는 다수공급자계약(MAS) 등이 '제3자 단가계약'이라는 특수한 법적 명칭으로 불리는 가장 정확한 실무적 이유는?</t>
  </si>
  <si>
    <t>조달청과 공급업체가 맺은 계약의 실질적인 효력(물품 납품 및 이용)을 누리는 주체가 제3자인 '개별 공공기관(수요기관)'이기 때문</t>
  </si>
  <si>
    <t>영세 하도급 업체를 보호하기 위해 대금 지급을 원도급자가 아닌 제3의 은행 에스크로 계좌를 거치도록 법으로 강제했기 때문</t>
  </si>
  <si>
    <t>조달청, 공급업체, 그리고 이들의 계약 이행을 법적으로 보증하는 제3의 공제조합이 모두 계약서에 공동 날인해야 성립하기 때문</t>
  </si>
  <si>
    <t>지방자치단체가 조달청을 거치지 않고 민간 업체와 직계약을 맺을 때, 제3자인 조달청이 사후 원가 검토를 대행하는 구조이기 때문</t>
  </si>
  <si>
    <t>* 정답 (①): 계약서에 서명하는 법적 당사자는 조달청과 공급업체 단 둘이지만, 단가만 정해둔 이 계약 틀 안에서 물건을 직접 요구하고 사용하여 이익을 얻는 자는 제3자인 전국의 공공기관들이기 때문입니다.</t>
  </si>
  <si>
    <t>MAS 적격성 평가에서 업체의 재무 건전성과 계약이행 능력을 확인하기 위해 주로 활용하는 지표는?</t>
  </si>
  <si>
    <t>납품된 물품의 하자 발생률 및 A/S 처리 기간</t>
  </si>
  <si>
    <t>최근 3년간의 관급공사 납품 실적</t>
  </si>
  <si>
    <t>본점 소재지 및 공장 등록 여부</t>
  </si>
  <si>
    <t>신용평가등급</t>
  </si>
  <si>
    <t>* 정답 (④): 신용평가등급은 업체의 재무 건전성을 나타내는 지표로, 계약기간 동안 안정적으로 공급할 수 있는 능력이 있는지 확인하기 위해 평가함.</t>
  </si>
  <si>
    <t>MAS 적격성 평가 단계에서 일반적으로 검토하는 항목이 아닌 것은?</t>
  </si>
  <si>
    <t>필수 인증 보유 여부</t>
  </si>
  <si>
    <t>입찰가격 그 자체</t>
  </si>
  <si>
    <t>납품실적</t>
  </si>
  <si>
    <t>* 정답 (③): 입찰가격은 적격성 평가 단계가 아니라, 적격성 평가 통과 이후 진행되는 가격 협상 단계에서 다뤄짐.</t>
  </si>
  <si>
    <t>MAS 적격성 평가를 통과하지 못한 업체에 대한 처리로 가장 적절한 것은?</t>
  </si>
  <si>
    <t>다른 업체의 계약을 대신 이전받는다</t>
  </si>
  <si>
    <t>해당 물품에 대한 MAS 계약 체결 대상에서 제외된다</t>
  </si>
  <si>
    <t>평가와 무관하게 계약이 체결된다</t>
  </si>
  <si>
    <t>자동으로 최우선 계약대상자가 된다</t>
  </si>
  <si>
    <t>* 정답 (②): 적격성 평가를 통과하지 못하면 해당 물품에 대한 MAS 계약 체결 대상에서 제외됨.</t>
  </si>
  <si>
    <t>MAS 적격성 평가에서 '필수 인증 보유 여부'를 확인하는 이유로 가장 적절한 것은?</t>
  </si>
  <si>
    <t>입찰 경쟁을 완전히 배제하기 위해</t>
  </si>
  <si>
    <t>인증서 발급기관을 홍보하기 위해</t>
  </si>
  <si>
    <t>해당 물품이 법령·규격상 요구되는 최소한의 품질·안전 기준을 충족하는지 확인하기 위해</t>
  </si>
  <si>
    <t>계약서 분량을 늘리기 위해</t>
  </si>
  <si>
    <t>* 정답 (③): 필수 인증은 물품이 법령·규격상 요구되는 최소 품질·안전 기준을 충족하는지 확인하는 수단임.</t>
  </si>
  <si>
    <t>[상황] MAS 적격성 평가를 앞둔 업체가 납품실적 서류를 허위로 작성해 제출했다. 이후 이 사실이 확인된 경우 예상되는 결과로 가장 적절한 것은?</t>
  </si>
  <si>
    <t>해당 실적은 무효 처리되나 입찰 참가 자격 자체는 유지된다</t>
  </si>
  <si>
    <t>평가 자체가 무효가 되어 전체 참가자가 재심사를 받는다</t>
  </si>
  <si>
    <t>부정한 서류 제출에 따른 제재(계약 배제 등) 대상이 될 수 있다</t>
  </si>
  <si>
    <t>* 정답 (④): 허위서류 제출은 부정행위로서 계약 배제 등 제재 대상이 될 수 있음.</t>
  </si>
  <si>
    <t>MAS 적격성 평가와 일반 경쟁입찰의 적격심사를 비교했을 때 공통적인 목적으로 가장 적절한 것은?</t>
  </si>
  <si>
    <t>가격을 무조건 낮추는 것</t>
  </si>
  <si>
    <t>계약상대자가 계약을 안정적으로 이행할 수 있는지 사전에 확인하는 것</t>
  </si>
  <si>
    <t>경쟁을 완전히 없애는 것</t>
  </si>
  <si>
    <t>서류 작업을 늘리는 것</t>
  </si>
  <si>
    <t>* 정답 (②): 두 절차 모두 계약상대자의 안정적 이행 가능성을 사전에 확인하려는 공통 목적을 가짐.</t>
  </si>
  <si>
    <t>MAS 적격성 평가 결과가 계약 체결 이후에도 의미를 갖는 이유로 가장 적절한 것은?</t>
  </si>
  <si>
    <t>평가 결과는 계약 체결과 동시에 완전히 폐기되기 때문</t>
  </si>
  <si>
    <t>이행 중 문제 발생 시 사전 평가 당시의 자료가 참고자료로 활용될 수 있기 때문</t>
  </si>
  <si>
    <t>평가는 계약과 무관한 별개의 절차이기 때문</t>
  </si>
  <si>
    <t>평가 결과는 공개되어야 하기 때문</t>
  </si>
  <si>
    <t>* 정답 (②): 적격성 평가 당시의 자료는 이행 중 문제 발생 시 참고자료로 활용될 수 있음.</t>
  </si>
  <si>
    <t>MAS 2단계경쟁 제도의 기본 취지로 가장 적절한 것은?</t>
  </si>
  <si>
    <t>경쟁 없이 임의로 업체를 선정하기 위해</t>
  </si>
  <si>
    <t>일정 금액 이상 구매 시 MAS 계약업체 간 추가 경쟁을 거쳐 수요기관에 더 유리한 조건으로 구매하도록 하기 위해</t>
  </si>
  <si>
    <t>2단계경쟁은 특정 업체를 배제하기 위한 절차이다</t>
  </si>
  <si>
    <t>모든 구매를 무조건 최저가로만 결정하기 위해</t>
  </si>
  <si>
    <t>* 정답 (②): 일정 금액 이상의 구매에서는 MAS 계약업체 간 추가 경쟁을 거쳐 수요기관에 더 유리한 조건을 확보하도록 하는 취지임.</t>
  </si>
  <si>
    <t>2단계경쟁을 실시해야 하는 구매금액 기준으로 옳은 것은?</t>
  </si>
  <si>
    <t>금액과 무관하게 항상 실시</t>
  </si>
  <si>
    <t>모든 물품에 동일하게 5천만원 이상</t>
  </si>
  <si>
    <t>중소기업자간 경쟁제품은 1억원 이상, 그 외 제품은 5천만원 이상</t>
  </si>
  <si>
    <t>모든 물품에 동일하게 1억원 이상</t>
  </si>
  <si>
    <t>* 정답 (③): 2단계경쟁은 수요물자가 중소기업자간 경쟁제품인 경우 1회 납품요구예산 1억원 이상, 그 외의 경우 5천만원 이상일 때 실시하는 것이 원칙임.</t>
  </si>
  <si>
    <t>2단계경쟁에서 수요기관이 제안요청을 하는 계약상대자의 수는 원칙적으로 몇 인 이상인가?</t>
  </si>
  <si>
    <t>* 정답 (②): 2단계경쟁은 원칙적으로 5인 이상의 계약상대자를 대상으로 제안요청을 하는 것을 원칙으로 함(예외적으로 2인 이상 5인 미만도 사유서를 통해 가능).</t>
  </si>
  <si>
    <t>2단계경쟁에서 제안서 평가 시 일반적으로 포함되지 않는 항목은?</t>
  </si>
  <si>
    <t>기술(품질) 점수</t>
  </si>
  <si>
    <t>납기 조건</t>
  </si>
  <si>
    <t>가격 점수</t>
  </si>
  <si>
    <t>업체 대표이사의 개인 학력</t>
  </si>
  <si>
    <t>* 정답 (④): 대표이사의 개인 학력은 평가 항목이 아니며, 기술·가격·납기 등을 종합 평가함.</t>
  </si>
  <si>
    <t>2단계경쟁에서 탈락한 MAS 계약업체에 대한 설명으로 옳은 것은?</t>
  </si>
  <si>
    <t>MAS 계약 자격이 즉시 박탈된다</t>
  </si>
  <si>
    <t>향후 1년간 모든 2단계경쟁 참여가 금지된다</t>
  </si>
  <si>
    <t>해당 건에서만 배제될 뿐 MAS 계약 자격 자체는 유지되어 다른 구매 건에 참여할 수 있다</t>
  </si>
  <si>
    <t>해당 수요기관과의 모든 거래가 영구 정지된다</t>
  </si>
  <si>
    <t>* 정답 (③): 특정 2단계경쟁에서 탈락하더라도 MAS 계약 자격 자체는 유지되며, 다른 수요기관의 구매 건이나 다른 2단계경쟁에 계속 참여할 수 있음.</t>
  </si>
  <si>
    <t>2단계경쟁 제안요청 시, 특정 제조사의 물품만을 대상으로 제안요청을 하는 것에 대한 설명으로 가장 적절한 것은?</t>
  </si>
  <si>
    <t>제조사 지정은 아무 제한이 없다</t>
  </si>
  <si>
    <t>항상 특정 제조사만을 대상으로 요청해야 한다</t>
  </si>
  <si>
    <t>제안요청 대상이 공급사인 경우 단일 제조사 물품만을 대상으로 제안요청할 수 없다</t>
  </si>
  <si>
    <t>공급사는 반드시 배제해야 한다</t>
  </si>
  <si>
    <t>* 정답 (③): 제안요청 대상이 공급사인 경우, 단일 제조사의 물품만을 대상으로 제안요청하는 것은 제한됨.</t>
  </si>
  <si>
    <t>MAS 계약이행실적 평가에서 '납기 준수율'을 중요하게 평가하는 이유로 가장 적절한 것은?</t>
  </si>
  <si>
    <t>납기와 품질은 무관하기 때문</t>
  </si>
  <si>
    <t>납기 준수율이 높으면 가격이 자동으로 인상되기 때문</t>
  </si>
  <si>
    <t>수요기관의 행정 일정과 예산 집행에 직접적인 영향을 미치기 때문</t>
  </si>
  <si>
    <t>납기는 평가와 관련 없는 형식적 항목이기 때문</t>
  </si>
  <si>
    <t>* 정답 (③): 공공기관은 정해진 행정 일정과 예산 집행 계획에 따라 운영되므로, 납기 지연은 업무 차질·예산 이월 등 문제를 야기할 수 있어 중요하게 평가됨.</t>
  </si>
  <si>
    <t>MAS 계약이행실적 평가 항목으로 가장 거리가 먼 것은?</t>
  </si>
  <si>
    <t>품질 만족도</t>
  </si>
  <si>
    <t>납기 준수율</t>
  </si>
  <si>
    <t>수요기관 만족도</t>
  </si>
  <si>
    <t>업체의 영업이익률</t>
  </si>
  <si>
    <t>* 정답 (④): 업체의 영업이익률은 계약 이행 성실도와 직접적 관련이 없어 평가 항목에 포함되지 않음.</t>
  </si>
  <si>
    <t>MAS 계약이행실적 평가 결과의 활용 방안으로 가장 거리가 먼 것은?</t>
  </si>
  <si>
    <t>업체 대표이사에 대한 개인 포상 추천</t>
  </si>
  <si>
    <t>차기 계약 연장 심사 시 반영</t>
  </si>
  <si>
    <t>부실 이행 업체에 대한 계약 해지 근거</t>
  </si>
  <si>
    <t>2단계경쟁 시 가점 부여</t>
  </si>
  <si>
    <t>* 정답 (①): 업체 대표이사 개인에 대한 포상 추천은 계약이행실적 평가 결과의 공식적 활용 방안이 아님.</t>
  </si>
  <si>
    <t>MAS 계약의 갱신(연장) 여부를 결정하는 데 가장 중요하게 작용하는 요소는?</t>
  </si>
  <si>
    <t>업체의 광고·홍보 활동 규모</t>
  </si>
  <si>
    <t>계약기간 동안의 계약이행실적 평가 결과</t>
  </si>
  <si>
    <t>대표이사의 대외활동 빈도</t>
  </si>
  <si>
    <t>업체의 매출액 증가율</t>
  </si>
  <si>
    <t>* 정답 (②): MAS 계약의 갱신(연장)은 계약기간 동안의 이행실적 평가 결과를 바탕으로 결정됨.</t>
  </si>
  <si>
    <t>[상황] 특정 MAS 계약업체가 반복적으로 납기를 지키지 못해 수요기관의 불만이 누적되었다. 이에 대한 조치로 가장 적절한 것은?</t>
  </si>
  <si>
    <t>아무 조치 없이 방치한다</t>
  </si>
  <si>
    <t>다른 수요기관에는 알리지 않는다</t>
  </si>
  <si>
    <t>오히려 계약금액을 증액해준다</t>
  </si>
  <si>
    <t>이행실적 평가에 반영하고, 필요시 계약 연장 제한이나 해지 등을 검토한다</t>
  </si>
  <si>
    <t>* 정답 (④): 반복적 납기 지연은 이행실적 평가에 반영되고, 필요시 계약 연장 제한·해지 등의 조치로 이어질 수 있음.</t>
  </si>
  <si>
    <t>이행실적 평가에서 '수요기관 만족도'를 조사하는 목적으로 가장 적절한 것은?</t>
  </si>
  <si>
    <t>가격을 인하시키기 위해</t>
  </si>
  <si>
    <t>조달청 직원을 평가하기 위해</t>
  </si>
  <si>
    <t>업체의 매출을 늘려주기 위해</t>
  </si>
  <si>
    <t>실제 이용 기관의 체감 품질과 서비스 수준을 파악하기 위해</t>
  </si>
  <si>
    <t>* 정답 (④): 수요기관 만족도 조사는 실제 이용 기관이 체감하는 품질·서비스 수준을 파악하기 위한 것임.</t>
  </si>
  <si>
    <t>이행실적 평가 결과를 활용해 부실 업체를 관리하는 방식으로 가장 적절한 것은?</t>
  </si>
  <si>
    <t>평가 결과가 저조한 업체에 대해 계약 해지, 재계약 제한 등의 근거로 활용한다</t>
  </si>
  <si>
    <t>평가 결과를 비공개로 폐기한다</t>
  </si>
  <si>
    <t>저조한 업체에 오히려 우선권을 부여한다</t>
  </si>
  <si>
    <t>평가 결과와 무관하게 모든 업체를 동일하게 대우한다</t>
  </si>
  <si>
    <t>* 정답 (①): 저조한 평가 결과는 계약 해지·재계약 제한 등 관리 조치의 근거로 활용됨.</t>
  </si>
  <si>
    <t>규격이 표준화되기 어려운 다양한 품목(예: 맞춤형 가구 등)을 다수공급자계약 방식으로 공급하기 위해 도입된 제도는?</t>
  </si>
  <si>
    <t>카탈로그계약</t>
  </si>
  <si>
    <t>* 정답 (①): 카탈로그계약은 규격이 표준화되기 어려운 다양한 품목을 카탈로그 형태로 제시해 MAS 방식으로 공급하기 위해 도입된 제도임.</t>
  </si>
  <si>
    <t>다수공급자계약 업무처리기준·디지털서비스몰 운영기준(조달청 고시)</t>
  </si>
  <si>
    <t>카탈로그계약과 일반 MAS 계약의 차이점으로 가장 적절한 것은?</t>
  </si>
  <si>
    <t>카탈로그계약은 2단계경쟁 자체가 완전히 면제된다</t>
  </si>
  <si>
    <t>카탈로그계약은 대량 표준품에만 적용된다</t>
  </si>
  <si>
    <t>카탈로그 내 다수 품목의 가격을 함께 제시하는 방식으로 운영된다</t>
  </si>
  <si>
    <t>카탈로그계약은 외국 제품에만 적용된다</t>
  </si>
  <si>
    <t>* 정답 (③): 카탈로그계약은 카탈로그 내 다수 품목의 가격을 함께 제시하는 방식이 특징이며, 일정 금액 이상 구매 시에는 카탈로그계약도 2단계경쟁을 거쳐야 함.</t>
  </si>
  <si>
    <t>클라우드 컴퓨팅, AI 기반 데이터 분석, SaaS(Software as a Service) 등을 대상으로 하는 계약을 무엇이라 하는가?</t>
  </si>
  <si>
    <t>단순물품계약</t>
  </si>
  <si>
    <t>외자구매계약</t>
  </si>
  <si>
    <t>공사계약</t>
  </si>
  <si>
    <t>디지털서비스 계약</t>
  </si>
  <si>
    <t>* 정답 (④): 디지털서비스 계약은 클라우드, AI, SaaS 등 디지털 신기술 서비스를 대상으로 하는 계약임.</t>
  </si>
  <si>
    <t>사무용 가구 납품이 디지털서비스 계약의 대상이 아닌 이유로 가장 적절한 것은?</t>
  </si>
  <si>
    <t>가구는 가격이 너무 저렴하기 때문</t>
  </si>
  <si>
    <t>가구는 카탈로그계약 대상이 아니기 때문</t>
  </si>
  <si>
    <t>가구는 국산품이 아니기 때문</t>
  </si>
  <si>
    <t>디지털 신기술 서비스가 아니라 일반 물품계약에 해당하기 때문</t>
  </si>
  <si>
    <t>* 정답 (④): 사무용 가구 납품은 물품계약에 해당하며, 디지털 신기술 서비스를 대상으로 하는 디지털서비스 계약과는 성격이 다름.</t>
  </si>
  <si>
    <t>디지털서비스 계약을 위해 사전에 서비스의 기술성·보안성·안정성 등을 전문적으로 심사하는 조직은?</t>
  </si>
  <si>
    <t>제안서 평가위원회(일반)</t>
  </si>
  <si>
    <t>디지털서비스 계약 심사위원회</t>
  </si>
  <si>
    <t>* 정답 (②): 디지털서비스 계약 심사위원회는 해당 서비스가 공공부문에 공급되기 적합한지 기술성·보안성·안정성 등을 사전에 전문적으로 심사하는 역할을 함.</t>
  </si>
  <si>
    <t>[상황] 수요기관이 클라우드 서비스를 처음 도입하려 한다. 계약 이전에 거쳐야 할 절차로 가장 적절한 것은?</t>
  </si>
  <si>
    <t>디지털서비스 계약 심사위원회의 사전 심사를 거쳐 등록된 서비스인지 확인한다</t>
  </si>
  <si>
    <t>외자구매계약 절차만 거치면 된다</t>
  </si>
  <si>
    <t>아무 절차 없이 바로 계약을 체결한다</t>
  </si>
  <si>
    <t>일반 물품계약 절차만 거치면 된다</t>
  </si>
  <si>
    <t>* 정답 (①): 클라우드 등 디지털서비스는 심사위원회의 사전 심사를 거쳐 등록된 서비스인지 확인 후 계약을 진행하는 것이 원칙임.</t>
  </si>
  <si>
    <t>카탈로그계약과 디지털서비스계약의 공통적인 도입 취지로 가장 적절한 것은?</t>
  </si>
  <si>
    <t>특정 산업만을 지원하기 위해</t>
  </si>
  <si>
    <t>모든 조달을 단순화하여 획일적으로 처리하기 위해</t>
  </si>
  <si>
    <t>경쟁을 최소화하기 위해</t>
  </si>
  <si>
    <t>표준화된 일반 물품 조달 방식으로는 다루기 어려운 다양하거나 새로운 유형의 조달 수요에 대응하기 위해</t>
  </si>
  <si>
    <t>* 정답 (④): 두 제도 모두 기존의 표준화된 방식으로 다루기 어려운 다양하거나 새로운 유형의 조달 수요(비정형 품목, 디지털 서비스 등)에 대응하기 위해 도입됨.</t>
  </si>
  <si>
    <t>용역 입찰공고문에 물품이나 공사와 달리 반드시 추가로 포함해야 하는 핵심 문서는?</t>
  </si>
  <si>
    <t>설계도서</t>
  </si>
  <si>
    <t>규격서·시방서</t>
  </si>
  <si>
    <t>과업지시서(RFP)</t>
  </si>
  <si>
    <t>공사비 내역서</t>
  </si>
  <si>
    <t>* 정답 (③): 용역 공고에서는 수행해야 할 업무의 목적·범위·평가기준을 담은 과업지시서(RFP)를 필수로 첨부해야 한다. 물품은 규격서, 공사는 설계도서가 이에 해당한다.</t>
  </si>
  <si>
    <t>「국가계약법 시행령」 제33조 및 제35조에 따라 나라장터에 용역 입찰을 공고하는 경우, 입찰서 제출 마감 전일부터 기산한 최소 공고 기간은?(긴급이 아닌 일반적인 경우)</t>
  </si>
  <si>
    <t>* 정답 (②): 「국가계약법 시행령」 제35조는 나라장터를 통한 전자입찰 공고 시 입찰서 제출 마감 전일부터 기산해 7일 이상 공고 기간을 확보하도록 규정한다. 긴급한 경우에는 5일로 단축 가능하다.</t>
  </si>
  <si>
    <t>용역계약에서 제안서에 명시된 내용과 달리 무단으로 변경할 경우 계약 위반이 될 수 있는 항목은?</t>
  </si>
  <si>
    <t>성과물 제출 장소</t>
  </si>
  <si>
    <t>투입 인력의 구성과 자격</t>
  </si>
  <si>
    <t>보고서 분량 및 형태</t>
  </si>
  <si>
    <t>업무 수행 사무실 위치</t>
  </si>
  <si>
    <t>* 정답 (②): 제안서에 명시된 투입 인력은 계약의 일부로서 법적 구속력을 가지며, 무단 교체 시 용역계약 일반조건 제11조에 따라 계약 위반으로 처리된다. 핵심 인력 교체는 반드시 발주기관의 사전 동의를 받아야 한다.</t>
  </si>
  <si>
    <t>발주 시점에 과업 내용을 확정하기 어려운 첨단·복합 용역에서 입찰 참여 업체와 수차례 기술 대화를 거쳐 과업 범위를 함께 확정한 뒤 최종 제안서를 평가하는 낙찰 방식은?</t>
  </si>
  <si>
    <t>* 정답 (③): 경쟁적 대화에 의한 계약은 「국가계약법 시행령」 제43조의3에 근거하며, 발주기관과 입찰 참여자가 2회 이상의 대화를 거쳐 과업 규격을 공동으로 확정한 후 최종 제안서를 평가하는 방식이다. 2019년에 신설되었다.</t>
  </si>
  <si>
    <t>용역 낙찰자 결정 방식에 대한 설명으로 옳지 않은 것은?</t>
  </si>
  <si>
    <t>적격심사는 시설관리·청소 등 정형화된 일반용역에 주로 적용된다.</t>
  </si>
  <si>
    <t>협상계약은 기술 전문성이 중요한 기술용역·학술용역에 적합하다.</t>
  </si>
  <si>
    <t>경쟁적 대화 계약에서 낙찰 탈락자에게는 예산 범위 내 참여비용을 지급할 수 있다.</t>
  </si>
  <si>
    <t>협상계약에서 협상의 목적은 최대한 가격을 인하하는 것이다.</t>
  </si>
  <si>
    <t>* 정답 (④): 협상계약에서 협상은 과업 범위·수행 방법·대가·일정을 구체화하는 것이 목적이며, 단순히 가격 인하를 위한 절차가 아니다. 협상 결과는 계약서에 정확히 반영되어야 한다.</t>
  </si>
  <si>
    <t>용역 제안발표(PT)에 관한 설명으로 옳은 것은?</t>
  </si>
  <si>
    <t>모든 용역 입찰에서 법령상 의무적으로 실시해야 한다.</t>
  </si>
  <si>
    <t>발주기관이 필요하다고 판단하는 경우 제안서 제출자에게 부여할 수 있다.</t>
  </si>
  <si>
    <t>제안발표는 가격평가 점수를 별도로 결정하는 절차이다.</t>
  </si>
  <si>
    <t>입찰 마감 전에 반드시 실시되어야 한다.</t>
  </si>
  <si>
    <t>* 정답 (②): 제안발표(PT)는 법령상 의무사항이 아니라 발주기관이 필요하다고 판단할 때 부여하는 보완적 평가 수단이다. 발표 시간·형식·평가 반영 비율은 사전에 공고에서 안내되어야 한다.</t>
  </si>
  <si>
    <t>다음 중 협상에 의한 계약의 절차를 올바른 순서로 나열한 것은?</t>
  </si>
  <si>
    <t>입찰공고 → 가격입찰서 개봉 → 제안서 평가 → 협상 → 계약 체결</t>
  </si>
  <si>
    <t>입찰공고 → 제안서·가격입찰서 동시 제출 → 제안서 평가 → 가격입찰서 개봉 → 우선협상대상자 선정 → 협상 → 계약 체결</t>
  </si>
  <si>
    <t>제안서 평가 → 입찰공고 → 가격 협상 → 계약 체결</t>
  </si>
  <si>
    <t>입찰공고 → 가격입찰서 제출 → 협상 → 제안서 평가 → 계약 체결</t>
  </si>
  <si>
    <t>* 정답 (②): 협상계약은 제안서와 가격입찰서를 동시에 제출받되, 제안서 평가를 먼저 완료한 후 가격입찰서를 개봉하며, 기술+가격 합산 최고점자를 우선협상대상자로 선정한다. 협상은 과업 내용 구체화 목적이며 이후 계약 체결로 이어진다.</t>
  </si>
  <si>
    <t>물품 적격심사와 비교한 용역 적격심사의 특징으로 옳은 것은?</t>
  </si>
  <si>
    <t>용역 적격심사는 가격평점이 없다.</t>
  </si>
  <si>
    <t>용역 적격심사는 예정가격 규모에 따른 구분만 있으며 용역 성격에 따른 구분은 없다.</t>
  </si>
  <si>
    <t>용역 적격심사는 용역의 성격에 따른 구분이 있고, 각각에 예정가격 규모 구분이 추가된다.</t>
  </si>
  <si>
    <t>용역 적격심사는 항상 협상계약과 병행하여 실시된다.</t>
  </si>
  <si>
    <t>* 정답 (③): 물품 적격심사는 예정가격 규모에 따른 구분만 있지만, 용역 적격심사는 용역의 성격(일반용역·기술용역·학술용역 등)에 따른 구분이 먼저 이루어지고, 그 안에서 다시 예정가격 규모에 따른 세부 기준이 적용되는 이중 구조를 갖는다.</t>
  </si>
  <si>
    <t>e-발주시스템에 관한 설명으로 옳지 않은 것은?</t>
  </si>
  <si>
    <t>과업지시서 작성부터 계약 체결, 이행관리까지 전 과정을 온라인으로 지원한다.</t>
  </si>
  <si>
    <t>제안서 마감 시각은 시스템 기준으로 엄격하게 적용되므로 사전 제출이 권장된다.</t>
  </si>
  <si>
    <t>조달청이 운영하는 용역 발주·관리 전자시스템이다.</t>
  </si>
  <si>
    <t>시스템에 입력된 과업지시서는 언제든지 수정이 가능하며 법적 구속력이 없다.</t>
  </si>
  <si>
    <t>* 정답 (④): e-발주시스템에 입력된 내용은 공식 문서로서 법적 구속력을 가지며, 과업지시서·평가기준 등의 오류는 입찰 무효 또는 분쟁의 원인이 될 수 있다. 입찰공고 이후 임의 수정은 허용되지 않는다.</t>
  </si>
  <si>
    <t>용역계약 이행 중 계약상대자가 발주기관의 동의 없이 핵심 투입 인력을 임의로 교체한 경우, 발주기관이 취할 수 있는 조치로 가장 적절한 것은?</t>
  </si>
  <si>
    <t>즉시 형사고발 조치</t>
  </si>
  <si>
    <t>계약 자동 해지 처리</t>
  </si>
  <si>
    <t>시정 요구, 필요 시 감점 및 계약 위반 처리</t>
  </si>
  <si>
    <t>추가 계약보증금 납부 요구</t>
  </si>
  <si>
    <t>* 정답 (③): 수행인력 무단 교체에 대해 발주기관은 시정 요구를 1차로 실시하며, 이행하지 않을 경우 감점 또는 계약 위반으로 처리할 수 있다. 자동해지나 형사고발은 일반적인 1차 조치가 아니다. 용역계약 일반조건 제11조가 근거 규정이다.</t>
  </si>
  <si>
    <t>공공조달 용역의 4가지 유형에 해당하지 않는 것은?</t>
  </si>
  <si>
    <t>학술연구용역</t>
  </si>
  <si>
    <t>건설기술용역(설계·감리)</t>
  </si>
  <si>
    <t>정보화용역(SW사업)</t>
  </si>
  <si>
    <t>물품제조용역</t>
  </si>
  <si>
    <t>* 정답 (④): 공공조달 용역은 ① 학술연구용역, ② 건설기술용역, ③ 정보화용역, ④ 일반용역의 4가지 유형으로 구분된다. 물품제조는 별개 카테고리(물품 계약)로 용역에 포함되지 않는다.</t>
  </si>
  <si>
    <t>학술연구용역의 인건비 산정 기준에 관한 설명으로 옳은 것은?</t>
  </si>
  <si>
    <t>연구원 급여(기본급 + 제수당 + 상여금 + 퇴직급여충당금 + 복리후생비)를 기준으로 산정한다.</t>
  </si>
  <si>
    <t>직접인건비(기술자 노임단가)만을 기준으로 산정한다.</t>
  </si>
  <si>
    <t>발주기관이 임의로 결정한 단가를 적용한다.</t>
  </si>
  <si>
    <t>인건비는 산정하지 않고 총액 기준으로만 계약한다.</t>
  </si>
  <si>
    <t>* 정답 (①): 학술연구용역은 연구원 급여(기본급 + 제수당 + 상여금 + 퇴직급여충당금 + 복리후생비)를 인건비 기준으로 산정한다. 직접인건비 노임단가는 건설기술용역의 산정 기준이다.</t>
  </si>
  <si>
    <t>건설기술용역(설계·감리)과 정보화용역(SW사업)의 원가계산 기준 차이에 관한 설명으로 옳은 것은?</t>
  </si>
  <si>
    <t>건설기술용역은 직접인건비(기술자 노임단가)를 기준으로 하고, 정보화용역은 학술연구용역과 동일 기준을 적용한다.</t>
  </si>
  <si>
    <t>두 용역 유형은 동일한 기준을 적용한다.</t>
  </si>
  <si>
    <t>정보화용역은 노임단가 방식만을 사용한다.</t>
  </si>
  <si>
    <t>건설기술용역은 인건비 기준이 없고 총액으로만 산정한다.</t>
  </si>
  <si>
    <t>* 정답 (①): 건설기술용역은 직접인건비(기술자 노임단가)를 기준으로 하고, 정보화용역은 학술연구용역 기준을 준용한다. 두 용역의 원가계산 기준은 인건비 산정 방식에서 명확히 구분된다.</t>
  </si>
  <si>
    <t>학술연구용역 및 일반용역의 이윤 한도에 관한 설명으로 옳은 것은?</t>
  </si>
  <si>
    <t>인건비 + 경비 + 일반관리비의 10% 이내로 한정된다.</t>
  </si>
  <si>
    <t>이윤은 한도가 없으며 공급자가 자유롭게 결정한다.</t>
  </si>
  <si>
    <t>인건비의 50% 이내로 한정된다.</t>
  </si>
  <si>
    <t>이윤은 항목 자체가 없다.</t>
  </si>
  <si>
    <t>* 정답 (①): 학술연구용역과 일반용역의 이윤은 인건비 + 경비 + 일반관리비 합계의 10% 이내로 법정 한도가 정해져 있다. 「국가계약법 시행규칙」 예정가격작성기준에 근거한다.</t>
  </si>
  <si>
    <t>용역계약 이행관리의 특수성에 관한 설명으로 옳지 않은 것은?</t>
  </si>
  <si>
    <t>용역은 무형의 성과물(연구보고서·설계도면·SW·자문 등)이 주된 이행 결과이다.</t>
  </si>
  <si>
    <t>이행 점검은 단계별 중간 산출물 검토를 통해 이루어진다.</t>
  </si>
  <si>
    <t>검수는 최종 성과물의 품질·완성도를 평가하는 절차이다.</t>
  </si>
  <si>
    <t>용역은 무형이므로 이행 점검·검수 절차가 불필요하다.</t>
  </si>
  <si>
    <t>* 정답 (④): 용역은 무형의 성과물이라도 이행 점검과 검수 절차가 필수이다. 오히려 무형이기 때문에 단계별 중간 산출물 검토와 최종 검수가 더욱 중요하며, 절차 없이 인수가 이루어지지 않는다.</t>
  </si>
  <si>
    <t>용역계약에서 '협상에 의한 계약'이 주로 사용되는 경우는?</t>
  </si>
  <si>
    <t>단순 물품 구매</t>
  </si>
  <si>
    <t>기술·전문성이 중요한 용역</t>
  </si>
  <si>
    <t>최저가 공사</t>
  </si>
  <si>
    <t>긴급 수의계약</t>
  </si>
  <si>
    <t>* 정답 (②): 협상계약은 기술제안서 평가 등 전문성이 중요한 용역에서 활용된다.</t>
  </si>
  <si>
    <t>제안서 평가에서 '기술평가'의 목적은?</t>
  </si>
  <si>
    <t>예정가격 작성</t>
  </si>
  <si>
    <t>수행능력·방법론·인력 등을 평가</t>
  </si>
  <si>
    <t>계약보증금 산정</t>
  </si>
  <si>
    <t>낙찰률 조정</t>
  </si>
  <si>
    <t>* 정답 (②): 기술평가는 과업수행 능력과 실현 가능성을 점수화한다.</t>
  </si>
  <si>
    <t>용역계약에서 과업지시서(RFP)의 의미는?</t>
  </si>
  <si>
    <t>입찰참가등록 서류</t>
  </si>
  <si>
    <t>수행해야 할 과업 범위·기준을 제시한 문서</t>
  </si>
  <si>
    <t>하자보수서</t>
  </si>
  <si>
    <t>선금지급 요청서</t>
  </si>
  <si>
    <t>* 정답 (②): RFP는 과업 내용과 성과물 기준을 규정하는 핵심 문서이다.</t>
  </si>
  <si>
    <t>용역계약 이행관리에서 가장 중요한 관리요소는?</t>
  </si>
  <si>
    <t>낙찰률만 관리</t>
  </si>
  <si>
    <t>과업범위·성과물·일정·인력관리</t>
  </si>
  <si>
    <t>경쟁사 분석</t>
  </si>
  <si>
    <t>입찰공고 재작성</t>
  </si>
  <si>
    <t>* 정답 (②): 용역은 성과물 중심이므로 범위(Scope)·일정·인력·검수 관리가 핵심이다.</t>
  </si>
  <si>
    <t>용역 계약에서 용역계약 절차 및 이행관리와 연계하여 가장 중점적으로 관리해야 할 사항은?</t>
  </si>
  <si>
    <t>과업범위(SOW)·인력투입·성과물·검수기준 및 변경관리(과업) 절차</t>
  </si>
  <si>
    <t>* 정답 (④): 용역은 과업범위·성과물·검수·변경관리가 비용/일정/품질 리스크 관리의 핵심이다.</t>
  </si>
  <si>
    <t>용역 적격심사/기술평가 기본의 기본 개념/원칙으로 가장 적절한 것은?</t>
  </si>
  <si>
    <t>다수공급자계약(MAS) 절차 및 이행관리의 기본 개념/원칙으로 가장 적절한 것은?</t>
  </si>
  <si>
    <t>다음 중 다수공급자계약(MAS) 절차 및 이행관리 관련 실무통제(리스크 관리)로 가장 적절한 것은?</t>
  </si>
  <si>
    <t>물품 계약에서 MAS(다수공급자계약) 핵심 포인트와 연계하여 가장 중점적으로 관리해야 할 사항은?</t>
  </si>
  <si>
    <t>* 정답 (①): 물품은 규격·성능·검사/검수·납품조건이 품질·분쟁에 직결되므로 핵심 통제포인트이다.</t>
  </si>
  <si>
    <t>다수공급자계약(MAS) 절차의 기본 개념/원칙으로 가장 적절한 것은?</t>
  </si>
  <si>
    <t>다음 중 다수공급자계약(MAS) 절차 관련 실무통제(리스크 관리)로 가장 적절한 것은?</t>
  </si>
  <si>
    <t>용역 대가산정·변경(과업) 관리의 기본 개념/원칙으로 가장 적절한 것은?</t>
  </si>
  <si>
    <t>다수공급자계약(MAS)의 법적 근거 및 운영 원리에 관한 설명으로 옳은 것은?</t>
  </si>
  <si>
    <t>「조달사업법」 제13조에 근거하며, 동일 물품을 복수 공급자와 미리 계약하여 수요기관이 종합쇼핑몰에서 자유롭게 선택할 수 있도록 한다.</t>
  </si>
  <si>
    <t>단일 공급자와 1회성 계약을 체결하는 방식이다.</t>
  </si>
  <si>
    <t>모든 물품에 의무 적용되는 표준 계약 방식이다.</t>
  </si>
  <si>
    <t>MAS는 「국가계약법」에만 규정된 제도이다.</t>
  </si>
  <si>
    <t>* 정답 (①): MAS(다수공급자계약)는 「조달사업법」 제13조에 근거하며, 다수의 공급자와 단가계약을 미리 체결한 후 수요기관이 종합쇼핑몰을 통해 자율 선택·납품요구하는 구조이다.</t>
  </si>
  <si>
    <t>MAS 2단계경쟁의 적용 기준에 관한 설명으로 옳지 않은 것은?</t>
  </si>
  <si>
    <t>일반제품 5천만 원 이상은 의무 적용된다.</t>
  </si>
  <si>
    <t>중소기업 제조 일반제품 5천만~1억 원 미만은 수요기관 재량으로 적용한다.</t>
  </si>
  <si>
    <t>고액구매(특수) 5억 원 이상은 제안공고 후 지정 경쟁 방식이 적용된다.</t>
  </si>
  <si>
    <t>모든 금액 구간에 일률적으로 의무 적용된다.</t>
  </si>
  <si>
    <t>* 정답 (④): MAS 2단계경쟁은 금액 구간과 제품 유형(일반제품·중소기업 제조)에 따라 의무·재량이 차등 적용된다. 일률 적용이 아니며, 5천만 원 미만 일반 거래는 단순 납품요구 방식으로 진행된다.</t>
  </si>
  <si>
    <t>MAS 가격 인하 제한에 관한 설명으로 옳은 것은?</t>
  </si>
  <si>
    <t>중소기업자간 경쟁제품의 경우 계약단가 대비 10% 초과 인하를 금지한다.</t>
  </si>
  <si>
    <t>모든 MAS 거래는 자유롭게 할인 가능하며 한도가 없다.</t>
  </si>
  <si>
    <t>가격 인하는 50% 한도 내에서만 가능하다.</t>
  </si>
  <si>
    <t>MAS는 가격 변동이 일체 허용되지 않는다.</t>
  </si>
  <si>
    <t>* 정답 (①): 「조달사업법 시행규칙」 제11조의2 제5항은 중소기업자간 경쟁제품의 경우 계약단가 대비 10% 초과 인하를 금지하여 중소기업의 적정 마진을 보호한다.</t>
  </si>
  <si>
    <t>MAS 1단계 제안공고 절차에 관한 설명으로 옳은 것은?</t>
  </si>
  <si>
    <t>수요기관이 희망 규격·평가방식을 공고하고 일정 기간 제안을 받는 절차이다.</t>
  </si>
  <si>
    <t>수요기관이 임의로 1개 업체를 지정하는 절차이다.</t>
  </si>
  <si>
    <t>모든 MAS 거래에 의무 적용되는 단계이다.</t>
  </si>
  <si>
    <t>1단계는 공급자가 발주기관에 제안하는 단계이며, 수요기관은 관여하지 않는다.</t>
  </si>
  <si>
    <t>* 정답 (①): 수요기관이 희망 규격 등을 공고해 제안을 받는 절차임(「물품 다수공급자계약 업무처리규정」 제52조의3). (오답 노트: ② 1개 업체 임의 지정 불가, ③ 구매예산 기준(중소기업자간 경쟁제품 5억 원, 그 외 5천만 원 이상) 충족 시에만 의무 적용, ④ 수요기관이 공고 및 평가 기준을 직접 정하는 주도적 절차임)</t>
  </si>
  <si>
    <t>MAS 제안요청 기간에 관한 설명으로 옳은 것은?</t>
  </si>
  <si>
    <t>「조달사업법 시행규칙」 제11조의2 제3항에 따라 공휴일 제외 5일 이상이다.</t>
  </si>
  <si>
    <t>24시간 이내로 단축할 수 있다.</t>
  </si>
  <si>
    <t>제안요청 기간은 법령에 정해진 바가 없으며 수요기관 재량이다.</t>
  </si>
  <si>
    <t>30일 이상으로 의무화되어 있다.</t>
  </si>
  <si>
    <t>* 정답 (①): 정답 (①): 「물품 다수공급자계약 업무처리규정」 제54조(제안서 제출 등)에 따라 제안서 제출기한은 제안요청일자 또는 제안공고일자 기준 만 5일 이후로 정해야 하며, 제안서 제출기한 산정 시 공휴일(근로자의 날 포함) 및 토요일은 제외된다.</t>
  </si>
  <si>
    <t>용역 다수공급자계약 업무처리규정상 조달청장이 수요기관의 장의 요청에 의해 2단계경쟁의 예외를 허용할 수 있는 경우를 모두 고른 것은?
ㄱ. 재해복구에 필요한 용역을 긴급하게 구매하는 경우
ㄴ. 방역사업에 필요한 용역을 긴급하게 구매하는 경우
ㄷ. 수요기관의 장이 다수공급자계약 2단계경쟁 회피가 아닌 명백한 사유가 있어 2단계 경쟁 예외를 요청하는 경우</t>
  </si>
  <si>
    <t>ㄴ, ㄷ</t>
  </si>
  <si>
    <t>* 정답 (④): 「용역 다수공급자계약 업무처리규정」 제27조(2단계경쟁의 예외)에 따르면 ㄱ(재해복구 긴급구매), ㄴ(방역사업 긴급구매), ㄷ(2단계경쟁 회피가 아닌 명백한 사유로 요청한 경우) 모두 예외 허용 사유에 해당한다.</t>
  </si>
  <si>
    <t>공공조달관리사 수험자용 예제문제 / 「용역 다수공급자계약 업무처리규정」 제27조</t>
  </si>
  <si>
    <t>3-4. 공사계약관리</t>
  </si>
  <si>
    <t>건설업의 등록기준, 도급계약의 기본원칙 등 건설산업 전반의 기본적 사항을 규정하는 법령은?</t>
  </si>
  <si>
    <t>하도급거래 공정화에 관한 법률</t>
  </si>
  <si>
    <t>건설산업기본법</t>
  </si>
  <si>
    <t>국가계약법</t>
  </si>
  <si>
    <t>건설기술진흥법</t>
  </si>
  <si>
    <t>* 정답 (②): 건설산업기본법은 건설업 등록기준, 도급 및 하도급계약의 기본원칙 등을 규정하는 건설산업의 기본법임.</t>
  </si>
  <si>
    <t>건설공사에서 수급인이 도급받은 공사의 전부 또는 주요부분을 다른 업체에 하도급하는 것에 대한 건설산업기본법의 원칙적 입장은?</t>
  </si>
  <si>
    <t>원칙적으로 금지하되 예외적으로 허용한다</t>
  </si>
  <si>
    <t>발주자의 동의 없이도 가능하다</t>
  </si>
  <si>
    <t>항상 자유롭게 허용한다</t>
  </si>
  <si>
    <t>금액과 무관하게 전면 금지한다</t>
  </si>
  <si>
    <t>* 정답 (①): 건설산업기본법은 일괄하도급을 원칙적으로 금지하되, 발주자의 서면승낙 등 예외적인 경우에 한해 허용함.</t>
  </si>
  <si>
    <t>하수급인이 다시 제3자에게 하도급(재하도급)하는 것에 대한 건설산업기본법상 원칙으로 옳은 것은?</t>
  </si>
  <si>
    <t>금액이 소액이면 항상 허용된다</t>
  </si>
  <si>
    <t>전문공사이면 무조건 자유롭게 허용된다</t>
  </si>
  <si>
    <t>원칙적으로 금지된다</t>
  </si>
  <si>
    <t>하수급인이 원하면 언제든 가능하다</t>
  </si>
  <si>
    <t>* 정답 (③): 재하도급(하도급의 하도급)은 시공 책임의 분산과 품질 저하 우려로 원칙적으로 금지됨.</t>
  </si>
  <si>
    <t>건설산업기본법에서 규정하는 건설업 등록기준으로 가장 거리가 먼 것은?</t>
  </si>
  <si>
    <t>기술능력 기준</t>
  </si>
  <si>
    <t>시설·장비 기준</t>
  </si>
  <si>
    <t>본사 소재지의 임대 여부</t>
  </si>
  <si>
    <t>자본금 기준</t>
  </si>
  <si>
    <t>* 정답 (③): 본사 소재지의 임대 여부는 건설업 등록기준과 무관함. 자본금·기술능력·시설장비 등이 등록기준임.</t>
  </si>
  <si>
    <t>[상황] A건설사가 발주자의 서면승낙 없이 도급받은 공사 전부를 B사에 그대로 넘겨 시공하게 했다. 이 행위에 대한 평가로 가장 적절한 것은?</t>
  </si>
  <si>
    <t>공사 규모와 무관하게 항상 합법이다</t>
  </si>
  <si>
    <t>전혀 문제되지 않는다</t>
  </si>
  <si>
    <t>일괄하도급 금지 원칙에 위반될 소지가 크다</t>
  </si>
  <si>
    <t>오히려 권장되는 방식이다</t>
  </si>
  <si>
    <t>* 정답 (③): 발주자의 서면승낙 없는 일괄하도급은 건설산업기본법상 금지 원칙에 위반될 소지가 있음.</t>
  </si>
  <si>
    <t>건설산업기본법이 하도급 거래를 규율하는 근본적인 취지로 가장 적절한 것은?</t>
  </si>
  <si>
    <t>하수급인의 진입을 원천적으로 차단하기 위해</t>
  </si>
  <si>
    <t>원사업자의 이익을 극대화하기 위해</t>
  </si>
  <si>
    <t>공사기간을 무조건 단축시키기 위해</t>
  </si>
  <si>
    <t>시공 책임의 명확화와 하수급인 보호를 통해 건설공사의 품질을 확보하기 위해</t>
  </si>
  <si>
    <t>* 정답 (④): 하도급 규율은 시공 책임 명확화와 하수급인 보호를 통해 궁극적으로 공사품질을 확보하려는 취지임.</t>
  </si>
  <si>
    <t>건설산업기본법상 건설업 등록을 하지 않은 자가 건설공사를 도급받는 경우에 대한 설명으로 가장 적절한 것은?</t>
  </si>
  <si>
    <t>원칙적으로 금지되며 위반 시 제재 대상이 될 수 있다</t>
  </si>
  <si>
    <t>등록 여부는 도급과 무관하다</t>
  </si>
  <si>
    <t>아무 제한 없이 가능하다</t>
  </si>
  <si>
    <t>외국 업체에는 적용되지 않는다</t>
  </si>
  <si>
    <t>* 정답 (①): 건설업 등록은 도급의 전제조건으로, 미등록자의 도급은 원칙적으로 금지되고 위반 시 제재될 수 있음.</t>
  </si>
  <si>
    <t>건설공사의 계획, 조사, 설계, 감리 등 전문적인 기술 서비스를 무엇이라 하는가?</t>
  </si>
  <si>
    <t>단순노무</t>
  </si>
  <si>
    <t>기술용역(건설엔지니어링)</t>
  </si>
  <si>
    <t>물품제조</t>
  </si>
  <si>
    <t>시설대여</t>
  </si>
  <si>
    <t>* 정답 (②): 계획·조사·설계·감리 등 전문 기술서비스를 기술용역(건설엔지니어링)이라 하며, 건설기술진흥법의 주된 규율 대상임.</t>
  </si>
  <si>
    <t>기술용역(건설엔지니어링) 입찰에서 참가업체의 실적, 기술인력, 재무상태 등을 종합 평가해 입찰참가자격을 부여하는 절차는?</t>
  </si>
  <si>
    <t>단순 가격평가</t>
  </si>
  <si>
    <t>기술제안서평가(TP)</t>
  </si>
  <si>
    <t>기술자평가(SOQ)</t>
  </si>
  <si>
    <t>사업수행능력평가(PQ)</t>
  </si>
  <si>
    <t>* 정답 (④): 사업수행능력평가(PQ)는 실적·기술인력·재무상태 등을 종합 평가하여 입찰참가자격을 부여하는 절차임.</t>
  </si>
  <si>
    <t>기술용역 계약에서 특정 과업에 투입될 책임기술자 및 분야별 기술자 개인의 경력·실적·전문성을 심층 평가하는 절차는?</t>
  </si>
  <si>
    <t>입찰가격평가</t>
  </si>
  <si>
    <t>단순 서류심사</t>
  </si>
  <si>
    <t>* 정답 (①): 기술자평가(SOQ, Statement of Qualifications)는 투입 예정 기술자 개인의 경력·실적·전문성을 평가하는 절차임.</t>
  </si>
  <si>
    <t>건설기술진흥법이 규율하는 대상으로 가장 거리가 먼 것은?</t>
  </si>
  <si>
    <t>건설기술용역의 사업수행능력평가</t>
  </si>
  <si>
    <t>건설공사의 설계·감리</t>
  </si>
  <si>
    <t>단순 물품 납품 계약의 검사·검수 절차</t>
  </si>
  <si>
    <t>건설기술자의 자격·경력 관리</t>
  </si>
  <si>
    <t>* 정답 (③): 단순 물품 납품의 검사·검수는 건설기술진흥법이 아니라 국가계약법령이 규율하는 영역임.</t>
  </si>
  <si>
    <t>사업수행능력평가(PQ)와 기술자평가(SOQ)의 차이로 가장 적절한 것은?</t>
  </si>
  <si>
    <t>PQ는 개인 평가, SOQ는 업체 평가이다</t>
  </si>
  <si>
    <t>SOQ는 가격만을 평가하는 절차이다</t>
  </si>
  <si>
    <t>PQ는 업체 단위의 종합역량을, SOQ는 투입 기술자 개인의 역량을 평가한다</t>
  </si>
  <si>
    <t>두 평가는 완전히 동일하다</t>
  </si>
  <si>
    <t>* 정답 (③): PQ는 업체 차원의 실적·인력·재무상태 등을 종합 평가하고, SOQ는 개별 투입 기술자의 경력·전문성을 평가한다는 점에서 구분됨.</t>
  </si>
  <si>
    <t>[상황] 고난도 설계용역 발주 시 발주기관이 참여 예정 책임기술자의 유사 과업 수행 경력을 특히 중요하게 심사하려 한다. 이때 활용할 절차로 가장 적절한 것은?</t>
  </si>
  <si>
    <t>소액수의계약 절차</t>
  </si>
  <si>
    <t>입찰보증금 심사</t>
  </si>
  <si>
    <t>단순 최저가 심사</t>
  </si>
  <si>
    <t>* 정답 (④): 투입 기술자 개인의 경력을 심층 평가하는 절차는 기술자평가(SOQ)임.</t>
  </si>
  <si>
    <t>건설기술진흥법상 기술용역 계약의 목적으로 가장 적절한 것은?</t>
  </si>
  <si>
    <t>건설공사의 품질과 안전을 확보하기 위한 전문적 기술서비스 이행체계를 마련하는 것</t>
  </si>
  <si>
    <t>경쟁을 완전히 배제하는 것</t>
  </si>
  <si>
    <t>단순히 공사비를 절감하는 것</t>
  </si>
  <si>
    <t>기술자의 개인정보를 관리하는 것</t>
  </si>
  <si>
    <t>* 정답 (①): 건설기술진흥법은 전문적 기술서비스(설계·감리 등)를 통해 공사의 품질·안전을 확보하려는 목적을 가짐.</t>
  </si>
  <si>
    <t>대규모 복합 공사에서 발주기관이 전체 사업을 총괄 관리·감독하기 위해 발주하는 '건설사업관리(CM) 용역'의 주요 업무 범위에 절대 포함되지 않는 것은?</t>
  </si>
  <si>
    <t>설계 단계에서의 설계 타당성 사전 검토 및 공사비 적정성 분석</t>
  </si>
  <si>
    <t>기획 단계에서의 프로젝트 타당성 조사 및 발주 방식 분석</t>
  </si>
  <si>
    <t>시공 단계에서의 공정 계획, 품질 점검, 안전 관리 및 감리 업무 수행</t>
  </si>
  <si>
    <t>건설 현장에서 철근, 콘크리트 등 자재를 직접 조달하여 실제 시공을 수행하는 책임</t>
  </si>
  <si>
    <t>* 정답 (④): 건설사업관리(CM: Construction Management)는 발주자를 대신해 기획, 설계, 시공 전체 과정을 '관리 및 감독'하는 지식 기반 용역이며, 물리적인 '직접 시공'은 시공사(건설사)의 영역입니다.</t>
  </si>
  <si>
    <t>총 공사금액을 사전에 확정하여 계약을 체결하는 가장 일반적인 공사계약 방식은?</t>
  </si>
  <si>
    <t>계속비계약</t>
  </si>
  <si>
    <t>장기계속계약</t>
  </si>
  <si>
    <t>실비정산계약</t>
  </si>
  <si>
    <t>* 정답 (①): 총액계약은 총 공사금액을 확정하여 계약하는 가장 일반적인 방식임.</t>
  </si>
  <si>
    <t>총 사업비가 최초 계약체결 시 확정되고, 이후 연차별로 예산의 범위에서 이행되는 계약방식은?</t>
  </si>
  <si>
    <t>* 정답 (③): 계속비계약은 총 사업비가 최초 1회 계약체결 시 확정되는 방식으로, 매년 새로 계약을 체결하는 장기계속계약과 구분됨.</t>
  </si>
  <si>
    <t>총 사업비가 사전에 확정되지 않고, 연차별로 예산이 배정되는 대로 매년 연차별 계약을 새로 체결하는 방식은?</t>
  </si>
  <si>
    <t>* 정답 (③): 장기계속계약은 총 사업비 확정 없이 연차별로 계약을 체결하며, 물가변동 반영이 상대적으로 용이함.</t>
  </si>
  <si>
    <t>실제 투입된 비용에 일정 비율의 이윤을 더해 대가를 지급하는 계약방식으로, 긴급공사나 설계가 미확정된 공사에 주로 활용되는 것은?</t>
  </si>
  <si>
    <t>확정계약</t>
  </si>
  <si>
    <t>* 정답 (③): 실비정산계약은 실제 투입 비용에 이윤을 더해 지급하는 방식으로, 설계가 미확정된 긴급공사 등에 적합함.</t>
  </si>
  <si>
    <t>[상황] 재해복구 등 긴급성이 요구되고 설계도서가 완전히 확정되지 않은 공사를 발주해야 한다. 이러한 상황에 가장 적합한 계약방식은?</t>
  </si>
  <si>
    <t>총액계약(확정계약)</t>
  </si>
  <si>
    <t>단순 단가계약</t>
  </si>
  <si>
    <t>* 정답 (③): 설계 미확정·긴급성이 특징인 공사는 실제 투입비용을 기준으로 정산하는 실비정산계약이 적합함.</t>
  </si>
  <si>
    <t>총액계약과 단가계약을 비교한 설명으로 가장 옳은 것은?</t>
  </si>
  <si>
    <t>총액계약은 물량·금액이 사전에 확정되어 예측 가능성이 높은 반면, 단가계약은 단위당 가격만 정하고 실제 물량에 따라 정산한다</t>
  </si>
  <si>
    <t>총액계약과 단가계약은 산정 방식이 완전히 동일하다</t>
  </si>
  <si>
    <t>단가계약은 총 공사금액을 사전에 확정하는 방식이다</t>
  </si>
  <si>
    <t>총액계약은 실제 투입 물량과 무관하게 항상 최저가로 지급한다</t>
  </si>
  <si>
    <t>* 정답 (①): 총액계약은 물량·금액을 사전에 확정해 예측 가능성이 높은 반면, 단가계약은 단위당 가격만 정하고 실제 물량에 따라 대가를 정산하는 방식이라는 점에서 구분됨.</t>
  </si>
  <si>
    <t>발주 세부기준을 정할 때 계약방식(총액계약·장기계속계약·계속비계약·실비정산계약 등)을 선택하는 기준으로 가장 적절한 것은?</t>
  </si>
  <si>
    <t>공사의 규모, 긴급성, 설계 확정 여부 등 사업 특성을 고려한다</t>
  </si>
  <si>
    <t>공사금액과 무관하게 무작위로 정한다</t>
  </si>
  <si>
    <t>항상 총액계약만 사용해야 한다</t>
  </si>
  <si>
    <t>* 정답 (②): 계약방식은 공사 규모·긴급성·설계 확정 여부 등 사업 특성을 고려해 선택하는 것이 합리적임.</t>
  </si>
  <si>
    <t>공사 입찰공고문에 일반적으로 포함되어야 할 사항으로 가장 거리가 먼 것은?</t>
  </si>
  <si>
    <t>공사 개요 및 공사기간</t>
  </si>
  <si>
    <t>공사와 무관한 타 부서의 예산 편성 내역</t>
  </si>
  <si>
    <t>* 정답 (④): 경쟁업체 현장대리인의 개인정보는 공고문에 포함될 사항이 아님.</t>
  </si>
  <si>
    <t>공사 입찰공고문 검토 시 가장 우선적으로 확인해야 할 사항으로 가장 적절한 것은?</t>
  </si>
  <si>
    <t>공사 규모·공종에 따라 적용되는 낙찰자 결정방식과 참가자격 요건</t>
  </si>
  <si>
    <t>공사와 무관한 행정 정보</t>
  </si>
  <si>
    <t>관련 법령에 따른 입찰참가자격의 적정성</t>
  </si>
  <si>
    <t>계약담당자의 개인 이력</t>
  </si>
  <si>
    <t>* 정답 (①): 공고문 검토 시에는 공사 규모·공종에 따라 적용되는 낙찰자 결정방식과 참가자격 요건을 우선 확인해야 함.</t>
  </si>
  <si>
    <t>입찰공고 내용 중 법령 위반 소지가 있는 조건이 발견된 경우 계약담당자가 취해야 할 조치로 가장 적절한 것은?</t>
  </si>
  <si>
    <t>정정공고 등을 통해 위반 소지를 시정한다</t>
  </si>
  <si>
    <t>입찰이 종료된 후에만 수정 가능하다</t>
  </si>
  <si>
    <t>위반 소지를 알고도 그대로 진행한다</t>
  </si>
  <si>
    <t>* 정답 (①): 법령 위반 소지가 확인되면 정정공고 등을 통해 바로잡는 것이 원칙임.</t>
  </si>
  <si>
    <t>공사 입찰공고문에서 시공 관련 특수조건(현장 여건, 자재 지급 방식 등)을 명시하는 이유로 가장 적절한 것은?</t>
  </si>
  <si>
    <t>입찰참가자가 이행조건을 사전에 정확히 인지하고 응찰가격에 반영하도록 하기 위해</t>
  </si>
  <si>
    <t>경쟁을 제한하기 위해</t>
  </si>
  <si>
    <t>* 정답 (①): 특수조건을 명시하면 입찰참가자가 이행조건을 사전에 인지해 정확한 응찰가격을 산정할 수 있음.</t>
  </si>
  <si>
    <t>[상황] 입찰설명회에서 참가자들이 공고문상 시공 범위가 모호하다고 지적했다. 발주기관이 취할 수 있는 조치로 가장 적절한 것은?</t>
  </si>
  <si>
    <t>질의를 무시하고 그대로 진행한다</t>
  </si>
  <si>
    <t>질의한 업체만 개별적으로 답변해준다</t>
  </si>
  <si>
    <t>시공 범위를 명확히 하는 방향으로 공고를 정정한다</t>
  </si>
  <si>
    <t>입찰을 즉시 취소한다</t>
  </si>
  <si>
    <t>* 정답 (③): 모호한 내용은 공고 정정을 통해 명확히 하는 것이 원칙임.</t>
  </si>
  <si>
    <t>공사 입찰공고문 검토 시 확인해야 할 참가자격 요건으로 가장 적절한 것은?</t>
  </si>
  <si>
    <t>건설업 등록 및 시공능력 등 관련 법령상 요건</t>
  </si>
  <si>
    <t>입찰 수요기관 장의 재량에 따라 별도의 지침을 적용한다</t>
  </si>
  <si>
    <t>해당 공종의 등록 및 시공능력평가액</t>
  </si>
  <si>
    <t>* 정답 (②): 참가자격 요건에는 건설업 등록 여부, 시공능력 등 관련 법령상 요건이 포함됨.</t>
  </si>
  <si>
    <t>입찰공고 이후 공고 내용을 정정하는 경우 일반적으로 준수해야 할 절차로 가장 적절한 것은?</t>
  </si>
  <si>
    <t>이미 입찰서를 제출한 업체에게만 통보한다</t>
  </si>
  <si>
    <t>정정 자체가 금지되어 있다</t>
  </si>
  <si>
    <t>기존 입찰참가자에게만 개별적으로 유선 통보하고 절차를 진행한다</t>
  </si>
  <si>
    <t>정정 내용을 공개적으로 재공고하고 필요시 입찰기간을 조정한다</t>
  </si>
  <si>
    <t>* 정답 (④): 공고 정정은 공개적으로 재공고하고, 필요시 입찰참가자 준비기간을 고려해 입찰기간을 조정하는 것이 원칙임.</t>
  </si>
  <si>
    <t>다수의 업체가 공동수급체를 구성할 때, 하나의 공사(과업)를 공종이나 물리적 구역별로 명확히 나누어 각자 맡은 부분에 대해서만 독립적으로 책임지고 시공하는 공동도급 방식은?</t>
  </si>
  <si>
    <t>공동수급체 대표사가 100% 책임을 지고 하도급을 주는 단독수급방식</t>
  </si>
  <si>
    <t>종합건설사가 관리만 하고 전문건설사가 시공하는 주계약자 공동도급방식</t>
  </si>
  <si>
    <t>면허나 공종에 따라 각자 과업 구역을 나누어 맡는 분담이행방식</t>
  </si>
  <si>
    <t>구성원 모두가 자본과 인력을 섞어 지분율에 따라 연대 책임지는 공동이행방식</t>
  </si>
  <si>
    <t>* 정답 (③): 전기 공사와 토목 공사처럼 완전히 성격이 다른 과업을 면허에 따라 각자 나누어 맡고(분담), 하자 발생 시 본인이 시공한 구역에 대해서만 책임지는 방식이 '분담이행방식'입니다.</t>
  </si>
  <si>
    <t>공사계약 입찰 및 내역서 제출 방식에 대한 설명으로 가장 옳은 것은?</t>
  </si>
  <si>
    <t>모든 장기계속공사 계약은 전체 규모가 아닌 당해 예산액만으로 입찰을 진행한다.</t>
  </si>
  <si>
    <t>발주기관이 아닌 입찰참가자가 공사 물량내역서를 직접 작성·제출하는 방식도 있다.</t>
  </si>
  <si>
    <t>지방자치단체 공사는 현장설명이 불필요한 상황이라도 예외 없이 무조건 실시한다.</t>
  </si>
  <si>
    <t>입찰 참가자는 규정과 무관하게 입찰서와 함께 반드시 산출내역서를 내야만 한다.</t>
  </si>
  <si>
    <t>정답 (②) 순수내역입찰 등 참가자 직접 작성 방식 존재함 / ① 총공사금액 기준 입찰 / ③ 불필요 시 생략 가능 / ④ 입찰 방식에 따라 다름</t>
  </si>
  <si>
    <t>공사 낙찰자 결정방법 중, 예정가격 이하 최저가 입찰자 순으로 계약이행능력을 심사해 낙찰자를 정하는 방식은?</t>
  </si>
  <si>
    <t>* 정답 (④): 적격심사낙찰제는 입찰가격이 낮은 순서대로 계약이행능력을 심사해 낙찰자를 결정하는 방식임.</t>
  </si>
  <si>
    <t>공사 낙찰자 결정방법 중, 입찰에 참여한 모든 업체를 동시에 심사하여 공사수행능력·가격·사회적책임 등을 종합평가해 최고점자를 낙찰자로 정하는 방식은?</t>
  </si>
  <si>
    <t>단순 최저가낙찰제</t>
  </si>
  <si>
    <t>* 정답 (③): 종합심사낙찰제는 모든 입찰자를 동시에 종합 심사해 최고점자를 낙찰자로 선정하는 방식으로, 순차적으로 심사하는 적격심사와 구분됨.</t>
  </si>
  <si>
    <t>종합심사낙찰제와 적격심사낙찰제의 가장 본질적인 차이점으로 가장 적절한 것은?</t>
  </si>
  <si>
    <t>계약서의 형식</t>
  </si>
  <si>
    <t>입찰자를 동시에 심사하는지, 순차적으로 심사하는지 여부</t>
  </si>
  <si>
    <t>평가항목의 명칭</t>
  </si>
  <si>
    <t>입찰참가자격 등록 여부</t>
  </si>
  <si>
    <t>* 정답 (②): 적격심사는 1순위부터 순차적으로 심사하는 반면, 종합심사낙찰제는 모든 입찰자를 동시에 종합평가한다는 점이 가장 본질적인 차이임.</t>
  </si>
  <si>
    <t>공사 규모가 매우 크고 공사수행능력·가격·사회적 책임 등을 폭넓게 평가할 필요가 있는 대형공사에 주로 적용되는 낙찰자 결정방식으로 가장 적절한 것은?</t>
  </si>
  <si>
    <t>* 정답 (①): 종합심사낙찰제는 평가 분야가 폭넓어(공사수행능력·입찰가격·사회적책임) 대형공사에 주로 적용됨.</t>
  </si>
  <si>
    <t>[상황] 공사 규모가 상대적으로 작아 절차의 신속성이 중요한 경우, 어떤 낙찰자 결정방식이 상대적으로 더 적합한가?</t>
  </si>
  <si>
    <t>* 정답 (③): 적격심사낙찰제는 순차적 심사로 절차가 상대적으로 간명해 중소규모 공사에 활용하기 적합함.</t>
  </si>
  <si>
    <t>공사 낙찰자 결정방식 선택 시 발주기관이 고려해야 할 요소로 가장 적절한 것은?</t>
  </si>
  <si>
    <t>공사 규모, 기술적 난이도, 사회적 가치 반영 필요성 등</t>
  </si>
  <si>
    <t>추정가격 및 예비가격 기초금액의 규모</t>
  </si>
  <si>
    <t>* 정답 (①): 공사 규모·기술적 난이도·정책적 고려사항 등을 종합해 낙찰자 결정방식을 선택하는 것이 합리적임.</t>
  </si>
  <si>
    <t>낙찰자 결정방식과 관련해, 지나치게 낮은 가격으로 입찰한 자에 대해 계약이행능력을 심사하는 취지로 가장 적절한 것은?</t>
  </si>
  <si>
    <t>가장 저렴한 업체를 무조건 배제하기 위해</t>
  </si>
  <si>
    <t>심사 절차를 더 복잡하게 만들기 위해</t>
  </si>
  <si>
    <t>저가 낙찰로 인한 부실시공을 예방하기 위해</t>
  </si>
  <si>
    <t>* 정답 (③): 저가 입찰자에 대한 이행능력 심사는 부실시공을 예방하려는 취지임.</t>
  </si>
  <si>
    <t>고난도 기술이 요구되는 대형공사에서, 입찰 참여 전 시공능력을 사전에 심사해 입찰참여자격을 부여하는 제도는?</t>
  </si>
  <si>
    <t>적격심사</t>
  </si>
  <si>
    <t>* 정답 (③): PQ(Pre-Qualification)는 대형·고난도 공사에서 시공능력이 검증된 업체에게만 입찰 기회를 부여하는 사전심사 제도임.</t>
  </si>
  <si>
    <t>PQ 심사에서 통상 가장 높은 비중을 차지하는 평가항목으로 가장 적절한 것은?</t>
  </si>
  <si>
    <t>경영상태</t>
  </si>
  <si>
    <t>유사 공사 수행 경험(시공경험)</t>
  </si>
  <si>
    <t>단순 서류 완성도</t>
  </si>
  <si>
    <t>* 정답 (③): PQ는 고난도 공사의 수행능력을 검증하는 것이 목적이므로 유사 공사 수행 경험(시공경험)이 가장 높은 비중을 차지하는 것이 일반적임.</t>
  </si>
  <si>
    <t>PQ 제도가 적용되는 공사의 특징으로 가장 적절한 것은?</t>
  </si>
  <si>
    <t>모든 소액 물품 구매</t>
  </si>
  <si>
    <t>단순 노무용역</t>
  </si>
  <si>
    <t>일정 규모 이상이거나 기술적으로 난이도가 높은 공사</t>
  </si>
  <si>
    <t>규격이 표준화된 상용품 구매</t>
  </si>
  <si>
    <t>* 정답 (③): PQ는 일정 규모 이상이거나 기술적 난이도가 높은 공사에 적용되는 사전심사 제도임.</t>
  </si>
  <si>
    <t>PQ 심사를 통과하지 못한 업체에 대한 처리로 가장 적절한 것은?</t>
  </si>
  <si>
    <t>해당 공사의 입찰참가자격이 부여되지 않는다</t>
  </si>
  <si>
    <t>자동으로 최우선 낙찰자가 된다</t>
  </si>
  <si>
    <t>다른 업체의 자격을 이전받는다</t>
  </si>
  <si>
    <t>심사와 무관하게 입찰에 참여할 수 있다</t>
  </si>
  <si>
    <t>* 정답 (①): PQ를 통과하지 못하면 해당 공사에 대한 입찰참가자격이 부여되지 않음.</t>
  </si>
  <si>
    <t>[상황] 초고층 복합시설 신축공사처럼 고도의 기술력이 요구되는 대형공사를 발주하려 한다. 입찰참가자격을 사전에 걸러내기 위해 활용할 절차로 가장 적절한 것은?</t>
  </si>
  <si>
    <t>* 정답 (③): 고난도 대형공사는 PQ를 통해 시공능력이 검증된 업체만 입찰에 참여하도록 하는 것이 적절함.</t>
  </si>
  <si>
    <t>PQ와 적격심사낙찰제의 관계에 대한 설명으로 가장 적절한 것은?</t>
  </si>
  <si>
    <t>PQ는 입찰참여 자격 자체를 사전에 거르는 절차이고, 적격심사는 낙찰자를 결정하는 절차이다</t>
  </si>
  <si>
    <t>두 절차는 완전히 동일한 절차이다</t>
  </si>
  <si>
    <t>PQ는 낙찰자 결정 절차이고 적격심사는 자격심사 절차이다</t>
  </si>
  <si>
    <t>PQ는 계약체결 이후에 이루어지는 절차이다</t>
  </si>
  <si>
    <t>* 정답 (①): PQ는 입찰참여 자격 자체를 사전에 선별하는 절차이고, 적격심사는 이후 낙찰자를 결정하는 절차라는 점에서 구분됨.</t>
  </si>
  <si>
    <t>PQ 심사 항목 중 '경영상태'를 평가하는 이유로 가장 적절한 것은?</t>
  </si>
  <si>
    <t>대형공사를 재무적으로 안정적으로 완수할 수 있는지 확인하기 위해</t>
  </si>
  <si>
    <t>기업 신용평가등급에 따른 경영안정성을 확인하기 위해</t>
  </si>
  <si>
    <t>* 정답 (①): 경영상태 평가는 대형공사를 재무적으로 안정되게 완수할 수 있는지를 확인하기 위한 것임.</t>
  </si>
  <si>
    <t>조달업체가 공공입찰에 참여하기 위해 나라장터 시스템의 '입찰참가등록신청' 메뉴를 이용할 때, 해당 메뉴 안에서 직접 처리할 수 없는 업무는?</t>
  </si>
  <si>
    <t>직접 제조하지 않고 납품만 하는 물품에 대한 공급물품 등록</t>
  </si>
  <si>
    <t>공사 대규모 입찰을 위한 사업수행능력(PQ) 적격성평가 별도 신청</t>
  </si>
  <si>
    <t>시스템 투찰을 대리할 소속 임직원의 입찰 대리인 정보 등록</t>
  </si>
  <si>
    <t>자가 공장을 보유하고 직접 생산하는 물품에 대한 제조물품 등록</t>
  </si>
  <si>
    <t>* 정답 (②): 나라장터 입찰참가등록 메뉴는 기업의 기본 제원(물품, 공장, 대리인 등)을 등록하는 곳이며, 특정 공사 건에 대한 PQ 적격성평가 신청은 해당 입찰 공고 화면에서 개별적으로 진행해야 합니다.</t>
  </si>
  <si>
    <t>대형 및 난이도가 높은 건설 공사 입찰에 앞서, 입찰 참가 희망 업체의 참여 기술자 역량, 유사 공사 수행 실적, 경영 건전성 등을 종합적으로 사전 평가하여 이행 능력이 검증된 적격자에게만 입찰 참가 자격을 부여하는 제도의 약칭은?</t>
  </si>
  <si>
    <t>종합심사낙찰제도 (종심제)</t>
  </si>
  <si>
    <t>입찰참가자격 사전심사 (PQ)</t>
  </si>
  <si>
    <t>기술제안서 설계 심사 (TP)</t>
  </si>
  <si>
    <t>시공능력 적격성 최종 평가 (SOQ)</t>
  </si>
  <si>
    <t>* 정답 (②): PQ(Pre-Qualification) 제도는 부실 업체의 무분별한 투찰을 막고 공사 품질을 확보하기 위해, 본 입찰(가격 투찰) 이전에 기업의 시공 경험과 재무 상태를 먼저 필터링하는 '사전 자격 심사' 제도입니다.</t>
  </si>
  <si>
    <t>공사 적격심사와 PQ(입찰참가자격 사전심사)를 비교한 설명으로 가장 옳은 것은?</t>
  </si>
  <si>
    <t>PQ는 낙찰자를 직접 결정하는 절차이다</t>
  </si>
  <si>
    <t>적격심사는 계약체결 이후에 진행되는 절차이다</t>
  </si>
  <si>
    <t>PQ와 적격심사는 완전히 동일한 절차로 병행할 필요가 없다</t>
  </si>
  <si>
    <t>PQ는 입찰 참여 자격 자체를 사전에 걸러내는 절차이고, 적격심사는 가격과 수행능력을 종합해 낙찰자를 결정하는 절차이다</t>
  </si>
  <si>
    <t>* 정답 (④): PQ는 입찰참여 자격 자체를 사전에 선별하는 절차이고, 적격심사는 이후 가격·수행능력을 종합 평가해 낙찰자를 결정하는 절차라는 점에서 구분됨.</t>
  </si>
  <si>
    <t>공사 적격심사에서 입찰가격 점수와 수행능력 점수의 배점 비중에 대한 설명으로 가장 적절한 것은?</t>
  </si>
  <si>
    <t>수행능력 점수는 배점에 반영되지 않는다</t>
  </si>
  <si>
    <t>공사 규모 등에 따라 배점 비중이 달라질 수 있다</t>
  </si>
  <si>
    <t>입찰가격 점수가 항상 수행능력 점수보다 높다</t>
  </si>
  <si>
    <t>배점은 매번 무작위로 정해진다</t>
  </si>
  <si>
    <t>* 정답 (②): 적격심사에서 입찰가격과 수행능력의 배점 비중은 공사 규모 등에 따라 달라질 수 있으며, 항상 가격 점수가 더 높은 것은 아님.</t>
  </si>
  <si>
    <t>공사 적격심사가 주로 적용되는 공사 규모로 가장 적절한 것은?</t>
  </si>
  <si>
    <t>초대형 국책사업만</t>
  </si>
  <si>
    <t>해외 공사만</t>
  </si>
  <si>
    <t>금액과 무관하게 모든 공사</t>
  </si>
  <si>
    <t>중소규모 공사</t>
  </si>
  <si>
    <t>* 정답 (④): 적격심사는 종합심사낙찰제 대상이 아닌 중소규모 공사에 주로 적용됨.</t>
  </si>
  <si>
    <t>적격심사 결과 일정 점수에 미달한 1순위 업체에 대한 처리로 가장 적절한 것은?</t>
  </si>
  <si>
    <t>심사를 생략하고 계약을 진행한다</t>
  </si>
  <si>
    <t>입찰 자체를 무효화한다</t>
  </si>
  <si>
    <t>무조건 해당 업체와 계약을 체결한다</t>
  </si>
  <si>
    <t>차순위 적격심사 대상자를 심사한다</t>
  </si>
  <si>
    <t>* 정답 (④): 기준에 미달하면 차순위 적격심사 대상자를 순차적으로 심사하는 것이 원칙임.</t>
  </si>
  <si>
    <t>[상황] 중소규모 공사에 종합심사낙찰제를 그대로 적용하려 한다. 이 선택의 문제점으로 가장 적절한 것은?</t>
  </si>
  <si>
    <t>비용이 항상 절감된다</t>
  </si>
  <si>
    <t>심사 결과가 더 정확해진다</t>
  </si>
  <si>
    <t>절차가 지나치게 복잡해져 오히려 행정 비효율을 초래할 수 있다</t>
  </si>
  <si>
    <t>반드시 법적으로 금지된다</t>
  </si>
  <si>
    <t>* 정답 (③): 중소규모 공사에 대형공사용 심사절차를 적용하면 절차 부담이 커져 비효율이 발생할 수 있음.</t>
  </si>
  <si>
    <t>적격심사의 평가 항목으로 일반적으로 포함되지 않는 것은?</t>
  </si>
  <si>
    <t>시공경험</t>
  </si>
  <si>
    <t>입찰 참가 횟수(단순 참가 이력)</t>
  </si>
  <si>
    <t>* 정답 (④): 경쟁업체 대표의 정치 성향은 적격심사와 무관한 항목임.</t>
  </si>
  <si>
    <t>적격심사와 종합심사낙찰제 중 어떤 방식을 적용할지는 무엇을 기준으로 결정되는가?</t>
  </si>
  <si>
    <t>계약담당자의 개인적 판단</t>
  </si>
  <si>
    <t>입찰참가업체의 요청</t>
  </si>
  <si>
    <t>공사 위치</t>
  </si>
  <si>
    <t>공사금액 등 법령에서 정한 기준</t>
  </si>
  <si>
    <t>* 정답 (④): 두 방식의 적용 여부는 공사금액 등 법령에서 정한 기준에 따라 결정됨.</t>
  </si>
  <si>
    <t>국가 공사 입찰 과정에서 여러 업체가 뭉친 공동수급체의 입찰참가자격이나 적격심사를 진행할 때, 각 구성원(업체)의 실질적인 공사 참여 지분(시공비율)을 산정하는 모수가 되는 기준 금액의 명칭은?</t>
  </si>
  <si>
    <t>도급 공사 총사업비</t>
  </si>
  <si>
    <t>입찰 시 확정 예정가격</t>
  </si>
  <si>
    <t>공사 조달 기초금액</t>
  </si>
  <si>
    <t>관급자재대 및 부가세 포함 추정금액</t>
  </si>
  <si>
    <t>* 정답 (④): 각 업체의 시공 능력을 평가하기 위한 시공비율 산정 시에는 단순히 도급액뿐만 아니라 전체 공사 물리량을 뜻하는 '추정금액(추정가격 + 도급자설치 관급자재대가 + 부가가치세)'을 절대적 기준으로 삼습니다.</t>
  </si>
  <si>
    <t>공사 설계변경으로 인한 계약금액 조정 사유로 보기 어려운 것은?</t>
  </si>
  <si>
    <t>계약체결 후 90일이 지나 원자재 가격이 상승한 경우</t>
  </si>
  <si>
    <t>발주기관의 요구로 새로운 공종이 추가된 경우</t>
  </si>
  <si>
    <t>현장의 지질 조건이 설계서와 현저히 다른 경우</t>
  </si>
  <si>
    <t>설계도면과 시방서의 내용이 서로 다른 경우</t>
  </si>
  <si>
    <t>* 정답 (①): 계약체결 후 일정 기간 경과 후 물가가 변동한 경우는 설계변경이 아니라 물가변동(Escalation)에 의한 조정 사유에 해당함.</t>
  </si>
  <si>
    <t>설계변경으로 기존에 계약서에 있던 공종(기존 비목)의 물량이 증감한 경우, 그 부분의 단가 산정 기준은?</t>
  </si>
  <si>
    <t>시중노임단가를 그대로 적용한다</t>
  </si>
  <si>
    <t>최초 입찰 시 단가를 무시한다</t>
  </si>
  <si>
    <t>설계변경 당시의 시중 단가를 새로 산정한다</t>
  </si>
  <si>
    <t>계약체결 시 정한 계약단가를 기준으로 한다</t>
  </si>
  <si>
    <t>* 정답 (④): 기존 공종의 물량이 증감하는 경우, 원칙적으로 계약 체결 시 정한 계약단가를 기준으로 조정금액을 산정함.</t>
  </si>
  <si>
    <t>설계변경으로 계약서에 없던 새로운 공종(신규 비목)이 발생한 경우 단가 산정 기준으로 옳은 것은?</t>
  </si>
  <si>
    <t>계약단가와 설계변경 당시 단가의 평균을 적용한다</t>
  </si>
  <si>
    <t>입찰 시 제출한 단가를 그대로 적용한다</t>
  </si>
  <si>
    <t>* 정답 (④): 신규 비목의 단가는 계약단가가 없으므로, 설계변경 당시를 기준으로 산정한 단가에 낙찰률을 곱한 금액 범위에서 발주자와 시공자가 협의하여 결정함.</t>
  </si>
  <si>
    <t>발주기관의 요청으로 공사의 사양(성능)을 한 단계 상향 조정한 경우, 이에 따른 계약금액 조정의 성격으로 옳은 것은?</t>
  </si>
  <si>
    <t>물가변동에 의한 조정 사유에 해당한다</t>
  </si>
  <si>
    <t>설계변경에 의한 계약금액 조정 사유에 해당한다</t>
  </si>
  <si>
    <t>계약해지 사유에 해당한다</t>
  </si>
  <si>
    <t>조정 사유가 되지 않는다</t>
  </si>
  <si>
    <t>* 정답 (②): 발주기관의 요청에 따른 사양 상향은 설계변경에 의한 계약금액 조정 사유에 해당함.</t>
  </si>
  <si>
    <t>[상황] 계약체결 후 65일이 지난 시점에 품목조정률이 4% 상승했다며 계약상대자가 물가변동에 따른 계약금액 조정을 신청했다. 이 신청에 대한 판단으로 가장 적절한 것은?</t>
  </si>
  <si>
    <t>등락률 요건(3% 이상)은 충족했으나 기간 요건(90일 이상)을 충족하지 못해 조정 대상이 아니다</t>
  </si>
  <si>
    <t>* 정답 (②): 물가변동 조정은 계약체결일로부터 90일 이상 경과와 품목조정률(또는 지수조정률) 3% 이상 증감을 모두 충족해야 하므로, 65일 경과만으로는 대상이 되지 않음.</t>
  </si>
  <si>
    <t>계약금액이 설계변경으로 증액되는 경우 일반관리비·이윤 적용 원칙으로 가장 적절한 것은?</t>
  </si>
  <si>
    <t>* 정답 (④): 계약금액 증액 시 일반관리비·이윤은 기존 계약의 산출내역서상 비율을 따르되 법정 상한을 초과할 수 없음.</t>
  </si>
  <si>
    <t>설계도면과 공사시방서의 내용이 서로 다른 경우 처리 원칙으로 가장 적절한 것은?</t>
  </si>
  <si>
    <t>계약담당공무원이 최선의 시공을 위해 우선되어야 할 내용을 확정하고 물량내역서를 이에 일치시킨다</t>
  </si>
  <si>
    <t>항상 시방서가 우선한다</t>
  </si>
  <si>
    <t>항상 도면이 우선한다</t>
  </si>
  <si>
    <t>계약상대자가 임의로 선택한다</t>
  </si>
  <si>
    <t>* 정답 (①): 설계도면과 시방서가 상충하는 경우, 계약담당공무원이 최선의 시공을 위해 우선되어야 할 내용을 확정하고 그에 맞춰 물량내역서를 일치시키는 것이 원칙임.</t>
  </si>
  <si>
    <t>계약예규(공사계약일반조건) 제19조의2</t>
  </si>
  <si>
    <t>종합심사낙찰제의 평가 분야로 가장 적절하게 묶인 것은?</t>
  </si>
  <si>
    <t>공사수행능력, 입찰가격, 사회적 책임</t>
  </si>
  <si>
    <t>사회적 책임, 세금 납부 실적</t>
  </si>
  <si>
    <t>공사수행능력, 환경영향평가 결과</t>
  </si>
  <si>
    <t>입찰가격, 계약 이행 성실도</t>
  </si>
  <si>
    <t>* 정답 (①): 종합심사낙찰제는 크게 공사수행능력, 입찰가격, 사회적 책임의 세 분야를 평가함.</t>
  </si>
  <si>
    <t>종합심사낙찰제의 '사회적 책임' 평가 분야에 일반적으로 포함되는 항목이 아닌 것은?</t>
  </si>
  <si>
    <t>건설안전 활동</t>
  </si>
  <si>
    <t>자재 국산화 비율</t>
  </si>
  <si>
    <t>건설인력 고용</t>
  </si>
  <si>
    <t>공정거래 관행 준수</t>
  </si>
  <si>
    <t>* 정답 (②): 사회적 책임 분야는 건설안전, 건설인력 고용, 공정거래, 지역경제 기여도 등을 평가하며, 자재 국산화 비율은 이 분야의 평가항목이 아님.</t>
  </si>
  <si>
    <t>종합심사낙찰제에서 입찰에 참여한 모든 업체를 대상으로 심사를 진행하는 방식에 대한 설명으로 가장 적절한 것은?</t>
  </si>
  <si>
    <t>가장 먼저 접수한 업체만 심사한다</t>
  </si>
  <si>
    <t>순차적 심사가 아니라 전체를 동시에 종합평가하여 최고점자를 선정한다</t>
  </si>
  <si>
    <t>무작위로 일부 업체만 심사한다</t>
  </si>
  <si>
    <t>1순위부터 순차적으로 심사해 통과 여부를 결정한다</t>
  </si>
  <si>
    <t>* 정답 (②): 종합심사낙찰제는 모든 입찰자를 동시에 종합평가해 최고점자를 낙찰자로 선정하는 방식임.</t>
  </si>
  <si>
    <t>종합심사낙찰제가 적용되는 공사의 특징으로 가장 적절한 것은?</t>
  </si>
  <si>
    <t>소액 단순 물품 구매</t>
  </si>
  <si>
    <t>공사 규모가 크고 사회적 가치를 폭넓게 반영할 필요가 있는 공사</t>
  </si>
  <si>
    <t>단순 노무 용역</t>
  </si>
  <si>
    <t>* 정답 (③): 종합심사낙찰제는 대형공사에서 공사수행능력·가격뿐 아니라 사회적 가치까지 폭넓게 평가하기 위해 적용됨.</t>
  </si>
  <si>
    <t>[상황] 대형 공공건축 공사 입찰에서 참여 업체 다수의 공사수행능력·가격·사회적책임 요소를 동시에 종합 평가해 최고점자를 선정하려 한다. 이 방식으로 가장 적절한 것은?</t>
  </si>
  <si>
    <t>* 정답 (④): 여러 업체를 동시에 종합평가해 최고점자를 정하는 방식은 종합심사낙찰제의 특징임.</t>
  </si>
  <si>
    <t>종합심사낙찰제와 적격심사낙찰제의 평가 항목을 비교한 설명으로 가장 옳은 것은?</t>
  </si>
  <si>
    <t>적격심사낙찰제는 사회적 책임 분야만 평가한다</t>
  </si>
  <si>
    <t>종합심사낙찰제는 가격만 평가한다</t>
  </si>
  <si>
    <t>두 제도의 평가 항목은 완전히 동일하다</t>
  </si>
  <si>
    <t>종합심사낙찰제는 공사수행능력·입찰가격·사회적책임을 평가하고, 적격심사는 주로 가격과 이행능력(시공경험·경영상태 등)을 평가한다는 점에서 평가범위에 차이가 있다</t>
  </si>
  <si>
    <t>* 정답 (④): 종합심사낙찰제는 사회적 책임까지 포함한 폭넓은 평가를, 적격심사는 가격·이행능력 중심의 상대적으로 정형화된 평가를 한다는 점에서 평가범위에 차이가 있음.</t>
  </si>
  <si>
    <t>[상황] 발주기관이 대형 공공청사 신축공사에 단순 최저가 방식 대신 종합심사낙찰제를 적용하기로 했다. 이 선택의 취지로 가장 적절한 것은?</t>
  </si>
  <si>
    <t>입찰참가업체 수를 최소화하기 위해</t>
  </si>
  <si>
    <t>소액공사에 일반적으로 적용하는 방식이기 때문에</t>
  </si>
  <si>
    <t>절차를 더 단순하고 빠르게 진행하기 위해</t>
  </si>
  <si>
    <t>가격만으로 낙찰자를 정할 경우 발생할 수 있는 부실시공·사회적가치 소홀 등의 문제를 보완하기 위해</t>
  </si>
  <si>
    <t>* 정답 (④): 종합심사낙찰제는 가격 경쟁에만 치우칠 경우 발생할 수 있는 부실시공·사회적가치 소홀 등의 문제를 보완하기 위해 대형공사에 주로 적용됨.</t>
  </si>
  <si>
    <t>300억 원 이상 대형 공사 입찰 등에서 단순한 '최저가' 경쟁의 폐해를 막기 위해, 입찰 금액뿐만 아니라 업체의 공사수행능력과 사회적 책임 등을 종합적으로 평가하여 낙찰자를 결정하는 제도는?</t>
  </si>
  <si>
    <t>종합심사낙찰제 (종심제)</t>
  </si>
  <si>
    <t>희망수량 경쟁 낙찰제</t>
  </si>
  <si>
    <t>제한적 최저가 낙찰제</t>
  </si>
  <si>
    <t>2단계 경쟁 입찰 낙찰제</t>
  </si>
  <si>
    <t>* 정답 (①): 과거 최저가낙찰제의 덤핑 수주와 부실 공사 문제를 해결하기 위해 도입된 제도로, 가격은 물론 기술력, 고용 실적, 공정거래 위반 여부(사회적 책임) 등을 모두 점수화하여 합산합니다.</t>
  </si>
  <si>
    <t>발주처가 기본계획만 제시하면 입찰자가 설계부터 시공까지 전 과정을 책임지고 완성하는 입찰방식은?</t>
  </si>
  <si>
    <t>대안입찰</t>
  </si>
  <si>
    <t>기술제안입찰</t>
  </si>
  <si>
    <t>일괄입찰(턴키)</t>
  </si>
  <si>
    <t>* 정답 (④): 일괄입찰(턴키)은 발주처가 기본계획만 제시하고, 입찰자가 설계부터 시공까지 모든 과정을 책임지는 방식임.</t>
  </si>
  <si>
    <t>발주기관의 원안 설계가 존재하는 상태에서, 입찰자가 공기단축·비용절감 등을 위해 더 나은 대안을 제시하여 경쟁하는 입찰방식은?</t>
  </si>
  <si>
    <t>단순경쟁입찰</t>
  </si>
  <si>
    <t>* 정답 (①): 대안입찰은 발주기관의 원안 설계를 전제로, 입찰자가 더 나은 대안을 제시해 경쟁하는 방식임.</t>
  </si>
  <si>
    <t>원안 설계는 그대로 유지하면서 시공방법의 개선안(공기단축·품질향상 등)을 제안하는 입찰방식은?</t>
  </si>
  <si>
    <t>* 정답 (①): 기술제안입찰은 발주자가 제공한 원안 설계를 변경하지 않는 범위에서 더 효율적인 시공방법을 제안하는 방식임.</t>
  </si>
  <si>
    <t>일괄입찰(턴키) 방식의 가장 큰 장점으로 가장 적절한 것은?</t>
  </si>
  <si>
    <t>소규모 업체의 참여가 용이하다</t>
  </si>
  <si>
    <t>발주기관의 설계 통제력이 강화된다</t>
  </si>
  <si>
    <t>입찰 비용이 항상 가장 저렴하다</t>
  </si>
  <si>
    <t>설계와 시공을 하나의 업체가 모두 책임져 책임소재가 명확하다</t>
  </si>
  <si>
    <t>* 정답 (④): 설계와 시공을 하나의 업체가 모두 책임지므로, 문제 발생 시 책임소재가 명확하다는 장점이 있음.</t>
  </si>
  <si>
    <t>[상황] 발주기관이 이미 확정한 원안 설계를 유지하면서, 입찰자에게 공사비 절감을 위한 개선된 시공방안만 제안받고자 한다. 이때 적합한 입찰방식은?</t>
  </si>
  <si>
    <t>* 정답 (④): 원안 설계를 유지하면서 시공방법 개선안만 받는 방식은 기술제안입찰에 해당함.</t>
  </si>
  <si>
    <t>대안입찰과 일괄입찰(턴키)의 공통점으로 가장 적절한 것은?</t>
  </si>
  <si>
    <t>반드시 최저가로만 낙찰자를 결정한다는 점</t>
  </si>
  <si>
    <t>입찰자의 기술적 제안이 낙찰자 결정에 반영된다는 점</t>
  </si>
  <si>
    <t>설계 없이 시공만 한다는 점</t>
  </si>
  <si>
    <t>소액공사에만 적용된다는 점</t>
  </si>
  <si>
    <t>* 정답 (②): 두 방식 모두 입찰자의 기술적 제안(대안 설계 또는 전체 설계·시공안)이 낙찰자 결정에 반영된다는 공통점이 있음.</t>
  </si>
  <si>
    <t>일괄·대안·기술제안입찰이 활용되는 공통적인 목적으로 가장 적절한 것은?</t>
  </si>
  <si>
    <t>항상 공사비를 절감하기 위해</t>
  </si>
  <si>
    <t>단순 가격경쟁만으로는 확보하기 어려운 기술적 우위와 효율성을 확보하기 위해</t>
  </si>
  <si>
    <t>경쟁을 완전히 배제하기 위해</t>
  </si>
  <si>
    <t>절차를 최대한 단순화하기 위해</t>
  </si>
  <si>
    <t>* 정답 (②): 이러한 입찰방식들은 단순 가격경쟁으로는 얻기 어려운 기술적 우위·효율성을 확보하려는 목적으로 활용됨.</t>
  </si>
  <si>
    <t>계약자가 착공 시 발주기관에 착공신고서 등을 제출하는 시기·절차에 대한 설명으로 가장 적절한 것은?</t>
  </si>
  <si>
    <t>계약문서에서 정하는 바에 따라 착공 시 제출하며, 공사기간이 짧은 경우 등에는 생략될 수 있다</t>
  </si>
  <si>
    <t>제출 시기는 법령상 아무 규정도 없이 전적으로 자유롭다</t>
  </si>
  <si>
    <t>착공신고서는 어떤 경우에도 생략할 수 없다</t>
  </si>
  <si>
    <t>반드시 계약체결 후 14일 이내에만 제출해야 한다</t>
  </si>
  <si>
    <t>* 정답 (①): 계약자는 계약문서에서 정하는 바에 따라 착공 시 착공신고서 등을 제출하며, 공사기간이 짧은 경우(예: 30일 미만) 등에는 제출을 생략할 수 있도록 정할 수 있음.</t>
  </si>
  <si>
    <t>계약예규(공사계약일반조건) 제17조</t>
  </si>
  <si>
    <t>공사 진행 중 완성된 부분에 대해 대가를 지급하기 위해 실시하는 중간 검사를 무엇이라 하는가?</t>
  </si>
  <si>
    <t>기성검사</t>
  </si>
  <si>
    <t>하자검사</t>
  </si>
  <si>
    <t>준공검사</t>
  </si>
  <si>
    <t>착공검사</t>
  </si>
  <si>
    <t>* 정답 (①): 기성검사는 공사 진행 중 완성된 부분에 대한 중간 대가 지급을 위해 실시하는 검사임.</t>
  </si>
  <si>
    <t>계약예규(공사계약일반조건)</t>
  </si>
  <si>
    <t>공사가 완료된 후 전체 공사에 대해 1회 실시하는 최종 검사를 무엇이라 하는가?</t>
  </si>
  <si>
    <t>중간검사</t>
  </si>
  <si>
    <t>부분검사</t>
  </si>
  <si>
    <t>* 정답 (④): 준공검사는 모든 공사가 완료된 후 설계도서 대비 전체 시공 상태를 확인하는 최종 검사로, 이에 합격해야 잔금을 받을 수 있음.</t>
  </si>
  <si>
    <t>현장에서 발주기관을 대신하여 시공 상태를 확인·감독하는 공사감독관과, 전문 감리업체 소속으로 법규에 따라 전문성과 독립성을 갖고 감독 업무를 수행하는 감리원의 관계에 대한 설명으로 가장 적절한 것은?</t>
  </si>
  <si>
    <t>공사감독관과 감리원은 소속과 성격이 다른 별개의 역할을 수행한다</t>
  </si>
  <si>
    <t>두 역할은 완전히 동일하다</t>
  </si>
  <si>
    <t>공사감독관은 전문 감리업체 소속이다</t>
  </si>
  <si>
    <t>감리원은 발주기관 소속 공무원이다</t>
  </si>
  <si>
    <t>* 정답 (①): 공사감독관과 감리원은 소속(발주기관/전문 감리업체 등)과 역할 성격이 다른 별개의 개념으로 구분됨.</t>
  </si>
  <si>
    <t>공정 간 선후관계를 네트워크 형태로 표현하여 전체 공정 중 지연 시 전체 공기에 직접 영향을 주는 주공정(Critical Path)을 파악하는 대표적 기법은?</t>
  </si>
  <si>
    <t>간트 차트</t>
  </si>
  <si>
    <t>엑셀 일정표</t>
  </si>
  <si>
    <t>단순 바 차트</t>
  </si>
  <si>
    <t>CPM(Critical Path Method)</t>
  </si>
  <si>
    <t>* 정답 (④): CPM은 공정 간 선후관계를 네트워크로 표현해 주공정(Critical Path)을 파악하는 기법임.</t>
  </si>
  <si>
    <t>공기(工期)가 불확실한 연구개발형 공사 등에서, 각 작업의 소요기간을 확률적으로 추정해 공정을 관리하는 기법은?</t>
  </si>
  <si>
    <t>CPM</t>
  </si>
  <si>
    <t>PERT(Program Evaluation and Review Technique)</t>
  </si>
  <si>
    <t>* 정답 (③): PERT는 불확실한 공기를 확률적으로 추정하는 기법으로, 공기 예측이 어려운 연구개발형 공사 등에 적합함.</t>
  </si>
  <si>
    <t>[상황] 준공검사에서 계약이행 내용의 일부가 계약조건과 다르게 시공된 것이 발견되었다. 발주기관이 취해야 할 조치로 가장 적절한 것은?</t>
  </si>
  <si>
    <t>계약자에게 전액 대가를 우선 지급한다</t>
  </si>
  <si>
    <t>전체 공사를 처음부터 다시 시작하게 한다</t>
  </si>
  <si>
    <t>지체 없이 필요한 시정조치를 요구한다</t>
  </si>
  <si>
    <t>아무 조치 없이 준공을 인정한다</t>
  </si>
  <si>
    <t>* 정답 (③): 준공검사에서 계약 위반·부당 시공이 발견되면 지체 없이 필요한 시정조치를 하는 것이 원칙임.</t>
  </si>
  <si>
    <t>계약예규(공사계약일반조건) 제27조</t>
  </si>
  <si>
    <t>발주기관이 기술용역(건설엔지니어링)을 발주할 때, 일반적인 계약절차의 순서로 가장 적절한 것은?</t>
  </si>
  <si>
    <t>협상 → 입찰공고 → PQ → 제안서 평가</t>
  </si>
  <si>
    <t>제안서 평가 → 계약체결 → 입찰공고 → PQ</t>
  </si>
  <si>
    <t>계약체결 → 입찰공고 → 제안서 평가 → PQ</t>
  </si>
  <si>
    <t>입찰공고 → 참가자격 사전심사(PQ) → 제안서 접수·평가 → 협상적격자 선정 → 협상 → 계약체결</t>
  </si>
  <si>
    <t>* 정답 (④): 기술용역 계약은 통상 입찰공고, PQ(참가자격 사전심사), 제안서 접수·평가, 협상적격자 선정, 협상, 계약체결의 순서로 진행됨.</t>
  </si>
  <si>
    <t>기술용역 계약 체결 후, 계약상대자가 착수 단계에서 발주기관에 제출하는 서류로 가장 적절한 것은?</t>
  </si>
  <si>
    <t>경쟁사 비교분석서</t>
  </si>
  <si>
    <t>입찰참가신청서</t>
  </si>
  <si>
    <t>준공계</t>
  </si>
  <si>
    <t>착수계 및 과업수행계획서</t>
  </si>
  <si>
    <t>* 정답 (④): 기술용역은 착수계와 과업수행계획서를 제출함으로써 과업에 착수하는 것이 일반적임.</t>
  </si>
  <si>
    <t>기술용역 계약에서 협상적격자와의 협상이 최종 결렬된 경우 발주기관이 취할 조치로 가장 적절한 것은?</t>
  </si>
  <si>
    <t>* 정답 (①): 협상적격자와의 협상이 결렬되면 동일한 기준·절차에 따라 차순위 협상적격자와 협상을 진행하는 것이 원칙임.</t>
  </si>
  <si>
    <t>기술용역 이행이 완료된 성과품(설계도서, 보고서 등)에 대해 발주기관이 계약내용대로 이행되었는지 확인하는 절차는?</t>
  </si>
  <si>
    <t>* 정답 (②): 기술용역도 물품·공사와 마찬가지로 완료된 성과품에 대해 검사를 거쳐 계약이행 여부를 확인함.</t>
  </si>
  <si>
    <t>기술용역 계약이행 중 발주기관의 요청으로 과업 범위가 추가되는 경우, 계약상대자가 우선적으로 취해야 할 조치로 가장 적절한 것은?</t>
  </si>
  <si>
    <t>무조건 무상으로 수용한다</t>
  </si>
  <si>
    <t>과업 추가 요청 자체를 거부한다</t>
  </si>
  <si>
    <t>* 정답 (③): 정당한 과업 범위 추가에는 응하되, 이에 상응하는 대가 조정을 요구해 권리를 확보해야 함.</t>
  </si>
  <si>
    <t>설계용역과 그 설계에 따른 공사계약의 관계에 대한 설명으로 가장 적절한 것은?</t>
  </si>
  <si>
    <t>공사계약이 먼저 체결된 후에 설계용역이 진행된다</t>
  </si>
  <si>
    <t>설계용역 성과품(설계도서)은 이후 공사계약의 설계서로서 계약이행의 기준이 된다</t>
  </si>
  <si>
    <t>설계용역과 공사계약은 완전히 무관하다</t>
  </si>
  <si>
    <t>설계용역 성과품은 공사계약에 참고만 될 뿐 효력이 없다</t>
  </si>
  <si>
    <t>* 정답 (②): 설계용역의 성과품인 설계도서는 이후 체결되는 공사계약에서 설계서로서 계약이행의 기준이 됨.</t>
  </si>
  <si>
    <t>[상황] 감리용역 계약상대자가 시공 중인 공사의 품질·안전 관리 상태를 정기적으로 점검하고 있다. 이 활동이 이루어지는 근거로 가장 적절한 것은?</t>
  </si>
  <si>
    <t>감리용역 계약에 따라 부여된 감독·확인 업무를 수행하는 것이다</t>
  </si>
  <si>
    <t>감리원 개인의 임의적 활동일 뿐이다</t>
  </si>
  <si>
    <t>법령상 근거 없이 관행적으로 이루어지는 것이다</t>
  </si>
  <si>
    <t>시공사의 요청이 있어야만 가능한 활동이다</t>
  </si>
  <si>
    <t>* 정답 (①): 감리원의 품질·안전 점검은 감리용역 계약에 따라 부여된 감독·확인 업무의 일환으로 이루어짐.</t>
  </si>
  <si>
    <t>하도급법과 건설산업기본법이 하도급 거래를 함께 규율하는 이유로 가장 적절한 것은?</t>
  </si>
  <si>
    <t>두 법률은 완전히 동일한 내용을 중복 규정할 뿐 실익이 없다</t>
  </si>
  <si>
    <t>하도급법은 건설업에는 적용되지 않는다</t>
  </si>
  <si>
    <t>건설산업기본법이 하도급법을 완전히 대체한다</t>
  </si>
  <si>
    <t>하도급법은 원사업자·수급사업자 간 공정거래 전반을, 건설산업기본법은 건설업 등록·시공 책임 등 건설 특유의 사항을 규율하여 상호 보완적으로 작동하기 때문이다</t>
  </si>
  <si>
    <t>* 정답 (④): 하도급법이 원사업자·수급사업자 간 공정거래 질서 전반을 규율한다면, 건설산업기본법은 건설업 등록기준·시공책임 등 건설공사에 특유한 사항을 규율하여 두 법이 상호 보완적으로 작동함.</t>
  </si>
  <si>
    <t>하도급거래 공정화에 관한 법률, 건설산업기본법 제29조</t>
  </si>
  <si>
    <t>원사업자가 하도급계약을 체결한 경우, 그 내용을 발주자에게 통지해야 하는 주체는?</t>
  </si>
  <si>
    <t>하수급자</t>
  </si>
  <si>
    <t>원사업자</t>
  </si>
  <si>
    <t>감리자</t>
  </si>
  <si>
    <t>발주자</t>
  </si>
  <si>
    <t>* 정답 (②): 하도급계약을 체결한 원사업자는 그 내용을 발주자에게 통지할 의무가 있음.</t>
  </si>
  <si>
    <t>하도급법에서 규정하는 부당한 특약에 해당할 가능성이 가장 높은 것은?</t>
  </si>
  <si>
    <t>자재 검수 기준을 원도급 계약과 동일하게 적용하는 조건</t>
  </si>
  <si>
    <t>하도급 대금을 현금으로 지급하는 조건</t>
  </si>
  <si>
    <t>공사대금 지급시기를 명시하는 조건</t>
  </si>
  <si>
    <t>원사업자가 부담해야 할 민원 처리 비용 등의 위험을 하수급인에게 일방적으로 전가하는 조건</t>
  </si>
  <si>
    <t>* 정답 (④): 원사업자가 부담해야 할 위험을 하수급자에게 일방적으로 전가하는 계약조건은 대표적인 부당특약으로 무효가 될 수 있음.</t>
  </si>
  <si>
    <t>하도급법 제3조의4</t>
  </si>
  <si>
    <t>원사업자가 발주자로부터 기성금을 지급받은 경우, 하수급자에게 하도급대금을 지급해야 하는 기한으로 옳은 것은?</t>
  </si>
  <si>
    <t>지급받은 날부터 30일 이내</t>
  </si>
  <si>
    <t>기한 제한이 없다</t>
  </si>
  <si>
    <t>지급받은 날부터 60일 이내</t>
  </si>
  <si>
    <t>지급받은 날부터 15일 이내(그 전에 지급기일이 도래하면 그 기일)</t>
  </si>
  <si>
    <t>* 정답 (④): 원사업자는 발주자로부터 기성금 등을 지급받은 날부터 15일 이내(그 전에 지급기일이 도래하면 그 지급기일)에 하도급대금을 지급해야 함.</t>
  </si>
  <si>
    <t>하도급법 제13조제3항</t>
  </si>
  <si>
    <t>발주자가 하도급대금을 하수급인에게 직접 지급해야 하는 사유로 옳은 것은?</t>
  </si>
  <si>
    <t>원사업자가 하도급대금 지급보증 없이 2회 이상 그 지급기일까지 대금을 지급하지 않은 경우 등</t>
  </si>
  <si>
    <t>발주자가 임의로 결정하는 경우</t>
  </si>
  <si>
    <t>하수급인이 단순히 직접지급을 원하는 경우</t>
  </si>
  <si>
    <t>원사업자가 1회라도 지급을 지연한 경우</t>
  </si>
  <si>
    <t>* 정답 (①): 지급보증이 없는 상태에서 원사업자가 2회 이상 지급기일까지 대금을 지급하지 않은 경우 등 법정 사유가 있어야 발주자가 직접 지급함.</t>
  </si>
  <si>
    <t>[상황] 원사업자가 하도급대금 지급보증도 하지 않은 채, 정해진 지급기일을 두 차례 연속으로 넘기고도 대금을 지급하지 않았다. 이 경우 발생할 수 있는 조치로 가장 적절한 것은?</t>
  </si>
  <si>
    <t>원사업자의 지연은 항상 정당화된다</t>
  </si>
  <si>
    <t>* 정답 (②): 지급보증 없이 2회 이상 미지급이 발생하면 발주자의 직접지급 사유에 해당함.</t>
  </si>
  <si>
    <t>원사업자가 재하도급(하도급의 하도급)을 시도하는 경우에 대한 설명으로 가장 적절한 것은?</t>
  </si>
  <si>
    <t>금액이 소액이면 무조건 허용된다</t>
  </si>
  <si>
    <t>원칙적으로 금지되며, 예외적인 경우에 한해 허용될 수 있다</t>
  </si>
  <si>
    <t>항상 자유롭게 허용된다</t>
  </si>
  <si>
    <t>* 정답 (②): 재하도급은 시공 책임의 분산과 품질 저하 우려가 있어 원칙적으로 금지되며, 예외적 요건을 충족하는 경우에 한해 허용될 수 있음.</t>
  </si>
  <si>
    <t>하도급지킴이 시스템의 핵심 기능으로 가장 적절한 것은?</t>
  </si>
  <si>
    <t>하수급자의 기술력을 평가하는 것</t>
  </si>
  <si>
    <t>원사업자의 신용도를 평가하는 것</t>
  </si>
  <si>
    <t>건설공사의 공정률만을 관리하는 것</t>
  </si>
  <si>
    <t>하도급대금이 전용계좌를 통해 하수급자 등에게 직접 지급되도록 하여 대금 유용을 방지하는 것</t>
  </si>
  <si>
    <t>* 정답 (④): 하도급지킴이는 하도급대금이 인출이 제한된 전용계좌를 통해 지급되도록 설계되어, 대금 미지급이나 유용을 원천적으로 차단하는 시스템임.</t>
  </si>
  <si>
    <t>※ 하도급대금 지급시스템(하도급지킴이) 운영기준(조달청)</t>
  </si>
  <si>
    <t>하도급지킴이를 통해 대금이 지급될 때, 원사업자 몫과 하수급자·장비·자재업자 몫이 처리되는 방식으로 가장 적절한 것은?</t>
  </si>
  <si>
    <t>전액을 원사업자 계좌에 우선 입금한다</t>
  </si>
  <si>
    <t>조달청의 중앙계좌에 예치한 뒤 나중에 배분한다</t>
  </si>
  <si>
    <t>전액을 하수급자 계좌에만 입금한다</t>
  </si>
  <si>
    <t>청구 내역에 따라 각자의 몫을 분리하여 각각의 전용계좌로 직접 입금한다</t>
  </si>
  <si>
    <t>* 정답 (④): 발주자는 청구 내역에 따라 원사업자 몫과 하수급자·장비·자재업자 몫을 분리하여 각각의 전용계좌로 직접 입금함.</t>
  </si>
  <si>
    <t>하도급지킴이 시스템에서 원사업자가 하수급자 몫의 대금을 임의로 인출할 수 없는 이유로 가장 적절한 것은?</t>
  </si>
  <si>
    <t>하수급자가 매번 별도로 동의해야 하기 때문</t>
  </si>
  <si>
    <t>발주자의 개별 승인이 매번 필요하기 때문</t>
  </si>
  <si>
    <t>하수급자 몫이 인출이 제한된 전용계좌로 입금되도록 시스템이 설계되어 있기 때문</t>
  </si>
  <si>
    <t>법원의 지급정지 명령이 있기 때문</t>
  </si>
  <si>
    <t>* 정답 (③): 하수급자 몫의 대금은 인출이 제한된 전용계좌로 입금되도록 시스템이 설계되어, 원사업자가 임의로 유용할 수 없음.</t>
  </si>
  <si>
    <t>하도급지킴이 시스템을 의무적으로 사용해야 하는 대상으로 가장 적절한 것은?</t>
  </si>
  <si>
    <t>모든 민간 건설공사</t>
  </si>
  <si>
    <t>조달청 등을 통해 발주되는 대부분의 공공공사</t>
  </si>
  <si>
    <t>금액과 무관한 모든 개인 간 도급계약</t>
  </si>
  <si>
    <t>해외에서 시행되는 모든 건설공사</t>
  </si>
  <si>
    <t>* 정답 (②): 하도급지킴이는 현재 조달청 등에서 발주하는 대부분의 공공공사 및 일부 다른 공공기관의 공사에서 의무적으로 사용하도록 되어 있음.</t>
  </si>
  <si>
    <t>[상황] 하수급자가 시공한 부분에 대해 원사업자가 대금 청구를 했다. 하도급지킴이를 통해 대금이 지급될 경우 기대할 수 있는 효과로 가장 적절한 것은?</t>
  </si>
  <si>
    <t>하수급자에게 불리하게 작용한다</t>
  </si>
  <si>
    <t>하수급자 몫이 별도 전용계좌로 안전하게 지급되어 대금 미지급 위험이 줄어든다</t>
  </si>
  <si>
    <t>원사업자가 더 자유롭게 대금을 유용할 수 있게 된다</t>
  </si>
  <si>
    <t>오히려 지급이 지연되기만 한다</t>
  </si>
  <si>
    <t>* 정답 (②): 하도급지킴이를 통한 지급은 하수급자 몫이 별도 전용계좌로 안전하게 지급되도록 하여 미지급·유용 위험을 줄이는 효과가 있음.</t>
  </si>
  <si>
    <t>원사업자가 하도급대금 지급을 보증하기 위해 하수급자에게 의무적으로 발급해야 하는 것은?</t>
  </si>
  <si>
    <t>하자보수보증서</t>
  </si>
  <si>
    <t>하도급대금 지급보증서</t>
  </si>
  <si>
    <t>선금지급보증서</t>
  </si>
  <si>
    <t>계약이행보증서</t>
  </si>
  <si>
    <t>* 정답 (②): 원사업자는 하도급법에 따라 하수급자에게 하도급대금의 지급을 보증하는 보증서를 의무적으로 발급해야 함.</t>
  </si>
  <si>
    <t>하도급법 제13조의2</t>
  </si>
  <si>
    <t>하도급지킴이 시스템이 하도급 대금 관리의 투명성을 높이는 방식으로 가장 적절한 것은?</t>
  </si>
  <si>
    <t>대금 흐름이 전자시스템에 기록되어 지급 여부·시기를 사후에 확인할 수 있게 한다</t>
  </si>
  <si>
    <t>원사업자가 하수급인의 동의를 얻어 대금을 일괄 수령 후 분배한다</t>
  </si>
  <si>
    <t>자체 전사적자원관리(ERP) 시스템을 통해 별도로 관리한다</t>
  </si>
  <si>
    <t>기록 없이 구두로만 확인한다</t>
  </si>
  <si>
    <t>* 정답 (①): 전자시스템에 대금 흐름이 기록되어 지급 여부·시기를 사후에 투명하게 확인할 수 있게 됨.</t>
  </si>
  <si>
    <t>「건설산업기본법」에 따른 건설업의 분류로 옳은 것은?</t>
  </si>
  <si>
    <t>건설업은 종합건설업과 전문건설업으로 구분된다.</t>
  </si>
  <si>
    <t>종합건설업은 10개 업종으로 구분된다.</t>
  </si>
  <si>
    <t>전문건설업은 기존 15개 업종이 28개로 확대되었다.</t>
  </si>
  <si>
    <t>전기공사업·정보통신공사업은 종합건설업에 포함된다.</t>
  </si>
  <si>
    <t>* 정답 (①): 「건설산업기본법」상 건설업은 종합건설업(토목·건축·토목건축·산업설비·조경 5개 업종)과 전문건설업(15개 업종)으로 구분된다. 전기공사업·정보통신공사업 등은 기타공사업으로 별도 분류된다.</t>
  </si>
  <si>
    <t>건설업 등록 및 시공능력평가에 관한 설명으로 옳지 않은 것은?</t>
  </si>
  <si>
    <t>건설업을 영위하려면 업종별로 국토교통부장관에게 등록해야 한다.</t>
  </si>
  <si>
    <t>시공능력평가액은 공사 실적·경영 상태·기술 능력·신인도 등을 종합해 산출한다.</t>
  </si>
  <si>
    <t>시공능력평가는 매년 실시된다.</t>
  </si>
  <si>
    <t>시공능력평가액은 3년 단위로 공시되므로 입찰 자격 판단에 바로 활용하기 어렵다.</t>
  </si>
  <si>
    <t>* 정답 (④): 시공능력평가는 매년 실시(「건설산업기본법」 제23조)되며, 그 결과는 공시되어 공사 입찰 참가 자격 판단 및 적격심사·PQ 평가의 핵심 기초자료로 즉시 활용된다. 3년 단위 공시라는 내용은 사실이 아니다.</t>
  </si>
  <si>
    <t>건설산업 업역 통합(업역폐지)에 관한 설명으로 옳은 것은?</t>
  </si>
  <si>
    <t>종합건설업 업종이 기존 5개에서 10개로 확대되었다.</t>
  </si>
  <si>
    <t>전문건설업 업종이 기존 28개에서 15개로 통합되었다.</t>
  </si>
  <si>
    <t>업역폐지로 인해 전문건설업자는 더 이상 공공공사 입찰에 참여할 수 없다.</t>
  </si>
  <si>
    <t>업역 통합은 종합건설업과 전문건설업 간 경쟁을 제한하기 위한 조치이다.</t>
  </si>
  <si>
    <t>* 정답 (②): 전문건설업은 기존 28개 업종에서 유사업종을 묶어 15개 업종으로 통합되었다. 업역폐지의 목적은 종합-전문 간 공정한 경쟁 촉진과 전문건설업의 종합시장 진출 용이화이며, 경쟁 제한이 아니다.</t>
  </si>
  <si>
    <t>「건설산업기본법」상 하도급에 관한 설명으로 옳은 것은?</t>
  </si>
  <si>
    <t>수급인은 공사 전부를 하도급할 수 있다.</t>
  </si>
  <si>
    <t>재하도급은 원칙적으로 허용된다.</t>
  </si>
  <si>
    <t>일괄 하도급은 금지되며, 재하도급도 원칙적으로 금지된다.</t>
  </si>
  <si>
    <t>하도급은 발주기관의 동의 없이 자유롭게 할 수 있다.</t>
  </si>
  <si>
    <t>* 정답 (③): 「건설산업기본법」 제29조는 일괄 하도급(공사 전부를 다른 사람에게 맡기는 것)을 금지하고, 재하도급도 원칙적으로 금지한다. 수급인은 직접 시공해야 하며, 하도급 시에는 관련 기준을 준수해야 한다.</t>
  </si>
  <si>
    <t>「건설기술진흥법」의 목적으로 가장 적절한 것은?</t>
  </si>
  <si>
    <t>건설업 등록 기준과 도급·하도급 절차를 규정한다.</t>
  </si>
  <si>
    <t>건설기술 연구·개발 촉진, 건설공사의 품질 향상 및 안전 확보</t>
  </si>
  <si>
    <t>건설공사 계약의 대금 지급 기준을 규정한다.</t>
  </si>
  <si>
    <t>건설업자의 시공능력평가 방법을 규정한다.</t>
  </si>
  <si>
    <t>* 정답 (②): 「건설기술진흥법」 제1조는 건설기술의 연구·개발 촉진, 관련 산업 진흥, 건설공사의 적정 시행, 품질 향상 및 안전 확보로서 공공복리 증진과 국민경제 발전에 이바지함을 목적으로 규정한다. 건설업 등록·시공능력평가는 「건설산업기본법」의 소관이다.</t>
  </si>
  <si>
    <t>'건설엔지니어링'의 개념으로 옳은 것은?</t>
  </si>
  <si>
    <t>건설공사에 필요한 기술·지식 자체</t>
  </si>
  <si>
    <t>다른 사람의 위탁을 받아 건설기술에 관한 업무를 수행하는 것</t>
  </si>
  <si>
    <t>종합건설업자가 직접 시공하는 행위 전반</t>
  </si>
  <si>
    <t>발주기관이 설계도서를 직접 작성하는 행위</t>
  </si>
  <si>
    <t>* 정답 (②): 「건설기술진흥법」상 건설엔지니어링이란 다른 사람의 위탁을 받아 건설기술에 관한 업무(조사·설계·감리·사업관리 등)를 수행하는 것이다. 건설기술은 기술·지식 자체(상위개념)이며, 건설엔지니어링은 이를 활용한 서비스 개념이다.</t>
  </si>
  <si>
    <t>건설사업관리의 유형으로 올바르게 짝지어진 것은?</t>
  </si>
  <si>
    <t>용역형 건설사업관리와 시공책임형 건설사업관리</t>
  </si>
  <si>
    <t>종합형 건설사업관리와 전문형 건설사업관리</t>
  </si>
  <si>
    <t>기술형 건설사업관리와 행정형 건설사업관리</t>
  </si>
  <si>
    <t>발주형 건설사업관리와 수주형 건설사업관리</t>
  </si>
  <si>
    <t>* 정답 (①): 건설사업관리는 '용역형'(건설엔지니어링 업체가 발주자를 대신해 생애주기 전부 또는 일부를 관리)과 '시공책임형'(종합건설업자가 시공 이전 건설사업관리 + 시공 단계 종합 관리를 일괄 수행)으로 구분된다.</t>
  </si>
  <si>
    <t>「건설공사 발주 세부기준」에서 '종합공사'와 '전문공사'의 구분 원칙으로 옳은 것은?</t>
  </si>
  <si>
    <t>공사예정금액이 10억 원 이상이면 종합공사로 발주한다.</t>
  </si>
  <si>
    <t>주된 공종이 1개이면 전문공사, 2개 이상이면 종합공사로 발주한다.</t>
  </si>
  <si>
    <t>발주기관이 재량으로 종합·전문 여부를 자유롭게 결정할 수 있다.</t>
  </si>
  <si>
    <t>전문공사는 항상 전문건설업자만 입찰에 참여할 수 있다.</t>
  </si>
  <si>
    <t>* 정답 (②): 「건설공사 발주 세부기준」의 핵심 원칙은 '주된 공종이 1개인 경우 전문공사로, 2개 이상인 경우 종합공사로 발주'하는 것이다. 업역 통합 이후에도 이 기준은 유지되며, 종합·전문 공사 모두에 대해 각 자격을 갖춘 업체의 입찰 참가를 허용한다.</t>
  </si>
  <si>
    <t>「건설공사 발주 세부기준」에서 '부대공사'의 판단 기준으로 옳은 것은?</t>
  </si>
  <si>
    <t>공사예정금액이 5억 원 미만인 모든 전문공사</t>
  </si>
  <si>
    <t>2종 이상 전문공사가 복합되고, 공사예정금액이 3억 원 미만이며 공사예정금액의 1/2 미만인 공사</t>
  </si>
  <si>
    <t>주된 공사와 무관하게 독립적으로 수행 가능한 공사</t>
  </si>
  <si>
    <t>발주기관이 별도 계약을 체결하여 시공하는 모든 공사</t>
  </si>
  <si>
    <t>* 정답 (②): 부대공사는 주된 공사를 시공하기 위해 필수적으로 수반되는 공사로서, 「건설공사 발주 세부기준」 제5조에 따라 2종 이상의 전문공사가 복합되고 공사예정금액이 3억 원 미만이며 전체 공사예정금액의 1/2 미만인 공사를 말한다.</t>
  </si>
  <si>
    <t>건설공사 발주 시 입찰공고문에 반드시 기재해야 하는 사항으로 「건설공사 발주 세부기준」에서 규정하는 것은?</t>
  </si>
  <si>
    <t>수급인의 하도급 단가 내역</t>
  </si>
  <si>
    <t>공사 유형(신설공사 또는 유지보수 공사)의 구분</t>
  </si>
  <si>
    <t>투입 예정 장비의 종류와 수량</t>
  </si>
  <si>
    <t>하도급업체의 시공능력평가액</t>
  </si>
  <si>
    <t>* 정답 (②): 「건설공사 발주 세부기준」 제4조의2는 건설공사 발주 시 신설공사와 유지보수 공사를 구분하여 입찰공고문에 명시하도록 규정한다. 이는 공사 성격에 따라 참가자격과 시공 기준이 달라지기 때문이다.</t>
  </si>
  <si>
    <t>공사계약에 적용되는 법령 체계의 특성에 관한 설명으로 옳지 않은 것은?</t>
  </si>
  <si>
    <t>「국가계약법」이 입찰·계약 절차의 기본 골격을 제공한다.</t>
  </si>
  <si>
    <t>「건설산업기본법」은 건설업 등록·도급·하도급 등을 규율한다.</t>
  </si>
  <si>
    <t>「건설기술진흥법」은 설계·시공·감리의 기술 기준과 기술자 자격을 정한다.</t>
  </si>
  <si>
    <t>공사계약은 「국가계약법」 단일 법령만 적용되며 다른 법령은 적용되지 않는다.</t>
  </si>
  <si>
    <t>* 정답 (④): 공사계약은 물품·용역과 달리 복수 법령이 중첩 적용된다. 「국가계약법」(절차)·「건설산업기본법」(등록·도급)·「건설기술진흥법」(기술기준)·「하도급법」(공정거래) 등이 동시에 적용되어 가장 엄격한 규율 체계를 갖는다.</t>
  </si>
  <si>
    <t>종합공사와 전문공사의 구분 기준에 관한 설명으로 옳은 것은?</t>
  </si>
  <si>
    <t>종합공사는 종합적인 계획·관리·조정이 필요한 공사로 여러 공종이 결합된 공사이다.</t>
  </si>
  <si>
    <t>전문공사는 특정 공종에 전문적인 기술을 필요로 하는 공사이다.</t>
  </si>
  <si>
    <t>주된 공종이 1개인 경우 전문공사, 주된 공종이 2개 이상인 경우 종합공사로 발주한다.</t>
  </si>
  <si>
    <t>* 정답 (④): 종합공사와 전문공사는 종합적인 계획·관리 또는 특정 전문 분야의 시공을 의미하며(「건설산업기본법」 제2조 제5호 및 제6호), 주된 공종 수(1개 전문, 2개 이상 종합)에 따라 발주된다. 각 공사의 시공자격은 「건설산업기본법」 제16조에서 규정하므로 ①, ②, ③ 모두 옳다.</t>
  </si>
  <si>
    <t>「건설산업기본법」상 시공능력평가에 관한 설명으로 옳지 않은 것은?</t>
  </si>
  <si>
    <t>시공능력평가는 매년 받아야 하며, 공사 실적·경영 상태·기술 능력·신인도 등을 종합 평가한다.</t>
  </si>
  <si>
    <t>시공능력평가액은 공사 입찰의 참가자격 및 적격심사·PQ 평가의 핵심 기초자료이다.</t>
  </si>
  <si>
    <t>시공능력평가는 발주기관 담당자의 주관적 판단으로 산출된다.</t>
  </si>
  <si>
    <t>* 정답 (④): 시공능력평가는 「건설산업기본법」 제23조에 따라 객관적 기준(실적·경영·기술·신인도 등)으로 산출되며, 발주기관 담당자의 주관적 판단이 아니다. 매년 갱신되며 입찰 참가 자격 심사의 핵심 자료로 활용된다.</t>
  </si>
  <si>
    <t>건설사업관리(CM)의 두 가지 유형에 관한 설명으로 옳은 것은?</t>
  </si>
  <si>
    <t>용역형 건설사업관리(CM)와 시공책임형 건설사업관리(CMR)로 구분된다.</t>
  </si>
  <si>
    <t>건설사업관리는 단일 유형으로만 운영된다.</t>
  </si>
  <si>
    <t>시공책임형 CM은 시공 권한이 없는 자문형 관리이다.</t>
  </si>
  <si>
    <t>용역형 CM은 시공 책임을 모두 부담한다.</t>
  </si>
  <si>
    <t>* 정답 (①): 건설사업관리는 ① 용역형 CM(자문·관리 역할)과 ② 시공책임형 CM(CMR, 자문+시공 통합 역할)로 구분된다. 시공책임형은 미리 정한 공사 금액·기간 내 시설물을 시공하는 책임을 부담하는 통합형이다.</t>
  </si>
  <si>
    <t>공공 공사계약의 발주 방식 분류에 해당하지 않는 것은?</t>
  </si>
  <si>
    <t>분리발주 — 기본 방식, 설계와 시공을 분리 발주</t>
  </si>
  <si>
    <t>일괄발주(턴키) — 설계와 시공을 일괄로 발주</t>
  </si>
  <si>
    <t>대안입찰 — 발주기관 원안 외 대안 제안 허용</t>
  </si>
  <si>
    <t>임의발주 — 발주기관 담당자가 자유롭게 결정</t>
  </si>
  <si>
    <t>* 정답 (④): 공공 공사계약의 발주 방식은 ① 분리발주, ② 일괄발주(턴키), ③ 대안입찰, ④ 기술제안입찰 등 법령에 정해진 방식 중에서 선택된다. 임의발주는 법적 근거가 없으며, 사전확정·공개투명성 원칙에 반한다.</t>
  </si>
  <si>
    <t>「국가계약법 시행령」 제35조에 따른 공사 입찰공고의 원칙적 최소 공고 기간은?</t>
  </si>
  <si>
    <t>* 정답 (③): 입찰공고는 입찰서 제출 마감일의 전일부터 기산하여 최소 7일 이전에 공고하는 것이 원칙이다(「국가계약법 시행령」 제35조). 다만 공사 규모 등에 따라 공고 기간이 달리 적용될 수 있으며, 긴급한 경우에는 5일로 단축이 가능하다.</t>
  </si>
  <si>
    <t>공사 입찰공고문에 반드시 기재해야 하는 필수 사항이 아닌 것은?</t>
  </si>
  <si>
    <t>계약의 이행예정기간(착수일 및 완료일)</t>
  </si>
  <si>
    <t>계약상대자가 제출할 하도급 단가 내역</t>
  </si>
  <si>
    <t>입찰보증금과 국고귀속에 관한 사항</t>
  </si>
  <si>
    <t>* 정답 (③): 「국가계약법 시행령」 제36조가 규정하는 입찰공고 필수기재사항에는 낙찰자 결정방법, 이행예정기간, 입찰보증금, 입찰무효 사항 등이 포함된다. 하도급 단가 내역은 공고 단계가 아닌 계약 이행 과정에서 제출하는 서류이므로 필수기재사항이 아니다.</t>
  </si>
  <si>
    <t>「국가계약법 시행령」 제42조 제4항에 따라 종합심사낙찰제가 적용되는 공사의 추정가격 기준으로 옳은 것은?</t>
  </si>
  <si>
    <t>추정가격 50억 원 이상인 공사</t>
  </si>
  <si>
    <t>추정가격 100억 원 이상인 공사</t>
  </si>
  <si>
    <t>추정가격 200억 원 이상인 공사</t>
  </si>
  <si>
    <t>추정가격 300억 원 이상인 공사</t>
  </si>
  <si>
    <t>* 정답 (②): 「국가계약법 시행령」 제42조 제4항 제1호는 추정가격 100억 원 이상인 공사에 대해 입찰가격·공사수행능력·사회적 책임 등을 종합심사하여 합산점수가 가장 높은 자를 낙찰자로 결정하도록 규정한다. 100억 원 미만은 적격심사낙찰제가 적용된다.</t>
  </si>
  <si>
    <t>복수예비가격 제도의 주요 목적으로 옳은 것은?</t>
  </si>
  <si>
    <t>최저가 입찰자를 자동으로 낙찰자로 결정하기 위함</t>
  </si>
  <si>
    <t>예정가격의 사전 유출 및 입찰 담합을 방지하기 위함</t>
  </si>
  <si>
    <t>기초금액을 공개하여 경쟁을 촉진하기 위함</t>
  </si>
  <si>
    <t>낙찰자의 입찰보증금 산정 기준을 제공하기 위함</t>
  </si>
  <si>
    <t>* 정답 (②): 복수예비가격 제도는 여러 개의 예비가격을 사전에 산정해두고 입찰 당일 추첨으로 예정가격을 결정하는 방식이다. 예정가격이 사전에 확정·공개되지 않으므로 담합을 방지하고 공정한 경쟁을 유도하는 것이 핵심 목적이다.</t>
  </si>
  <si>
    <t>PQ(입찰 참가 자격 사전심사) 제도의 도입 배경으로 옳은 것은?</t>
  </si>
  <si>
    <t>건설업체의 이윤 보장을 목적으로 도입되었다.</t>
  </si>
  <si>
    <t>1992년 신행주대교 붕괴사고를 계기로 부실공사 방지를 위해 1993년에 도입되었다.</t>
  </si>
  <si>
    <t>최저가낙찰제를 전면 폐지하기 위한 대안으로 도입되었다.</t>
  </si>
  <si>
    <t>중소 건설업체를 대형 업체로부터 보호하기 위해 도입되었다.</t>
  </si>
  <si>
    <t>* 정답 (②): PQ 제도는 1992년 신행주대교 붕괴사고를 계기로 부실공사 방지대책의 일환으로 1993년에 도입되었다(「국가계약법 시행령」 제13조, 「지방계약법 시행령」 제14조). 입찰 전에 시공 능력을 미리 검증하여 부실 업체의 대형 공사 참여를 사전 차단하는 것이 목적이다.</t>
  </si>
  <si>
    <t>입찰 참가 자격 사전심사(PQ)에 관한 설명으로 옳지 않은 것은?</t>
  </si>
  <si>
    <t>경영상태부문 적격요건을 충족한 자를 대상으로 기술적 공사이행능력부문을 심사한다.</t>
  </si>
  <si>
    <t>기술적 공사이행능력부문의 적격요건은 평점 90점 이상이다.</t>
  </si>
  <si>
    <t>PQ를 통과하면 별도의 입찰 없이 자동으로 낙찰자로 결정된다.</t>
  </si>
  <si>
    <t>PQ 신청기간은 10일 이상이어야 한다.</t>
  </si>
  <si>
    <t>* 정답 (③): PQ는 입찰 참가 자격을 부여하는 사전 절차이지 낙찰자를 결정하는 절차가 아니다. PQ 통과 업체만이 입찰에 참가할 수 있으며, 이후 실제 입찰을 통해 적격심사 또는 종합심사낙찰제로 낙찰자가 결정된다.</t>
  </si>
  <si>
    <t>공사 적격심사 제도에서 하도급 관리계획의 적정성 심사 기준으로 옳은 것은?</t>
  </si>
  <si>
    <t>하도급 계약금액 합계가 하도급 부분 입찰금액 합계의 64% 이상</t>
  </si>
  <si>
    <t>하도급 계약금액 합계가 하도급 부분 입찰금액 합계의 75% 이상</t>
  </si>
  <si>
    <t>하도급 계약금액 합계가 하도급 부분 입찰금액 합계의 82% 이상</t>
  </si>
  <si>
    <t>하도급 계약금액 합계가 하도급 부분 입찰금액 합계의 88% 이상</t>
  </si>
  <si>
    <t>* 정답 (③): 적격심사 기준에 따라 하도급업체와 계약을 체결할 금액의 합계가 하도급할 부분의 입찰금액 합계에 100분의 82(82%) 이상을 준수하는지 여부를 평가한다. 이는 덤핑 하도급을 방지하고 하수급인의 정당한 대가 수령을 보장하기 위한 장치이다.</t>
  </si>
  <si>
    <t>지방자치단체가 발주하는 공사에서 적격심사낙찰제가 적용되는 추정가격 기준으로 옳은 것은?</t>
  </si>
  <si>
    <t>추정가격 100억 원 미만 공사</t>
  </si>
  <si>
    <t>추정가격 200억 원 미만 공사</t>
  </si>
  <si>
    <t>추정가격 300억 원 미만 공사</t>
  </si>
  <si>
    <t>추정가격 500억 원 미만 공사</t>
  </si>
  <si>
    <t>* 정답 (③): 「국가계약법」 적용 기관은 추정가격 100억 원 미만 공사에 적격심사를 적용하지만, 「지방계약법」 적용 기관(지방자치단체)은 추정가격 300억 원 미만 공사에 적격심사낙찰제를 적용한다. 300억 원 이상은 종합평가낙찰제 대상이다.</t>
  </si>
  <si>
    <t>공사 설계 변경에 관한 설명으로 옳지 않은 것은?</t>
  </si>
  <si>
    <t>현장 여건 변경, 설계 오류·누락, 발주기관 요청 등이 설계 변경의 사유가 된다.</t>
  </si>
  <si>
    <t>설계 변경은 반드시 발주기관의 사전 승인을 거쳐야 한다.</t>
  </si>
  <si>
    <t>계약상대자가 임의로 변경 시공한 후 사후 승인을 요청하는 것도 허용된다.</t>
  </si>
  <si>
    <t>설계 변경이 승인되면 계약금액과 공사기간도 조정 협의가 가능하다.</t>
  </si>
  <si>
    <t>* 정답 (③): 설계 변경은 반드시 발주기관의 사전 승인을 거쳐야 하며, 임의로 변경 시공한 후 사후 승인을 요청하는 방식은 허용되지 않는다(「국가계약법 시행령」 제65조). 무단 설계 변경은 계약 위반으로 처리될 수 있다.</t>
  </si>
  <si>
    <t>물가변동에 의한 계약금액 조정 요건으로 옳은 것은?</t>
  </si>
  <si>
    <t>계약 체결 후 30일 이상 경과하고 물가변동률이 1% 이상인 경우</t>
  </si>
  <si>
    <t>계약 체결 후 60일 이상 경과하고 물가변동률이 2% 이상인 경우</t>
  </si>
  <si>
    <t>계약 체결 후 90일 이상 경과하고 물가변동률이 3% 이상인 경우</t>
  </si>
  <si>
    <t>계약 체결 후 180일 이상 경과하고 물가변동률이 5% 이상인 경우</t>
  </si>
  <si>
    <t>* 정답 (③): 물가변동에 의한 계약금액 조정은 계약 체결일 또는 직전 조정 기준일로부터 90일 이상 경과하고, 물가변동에 따른 조정 기준 금액이 3% 이상 증감하는 경우에 적용한다. 조정 방식은 품목조정률 방식(개별 품목별 등락률 산정)과 지수조정률 방식(비목군별 지수 활용) 중 하나를 선택한다.</t>
  </si>
  <si>
    <t>공사 입찰 참가 자격 사전심사(PQ)에 관한 설명으로 옳은 것은?</t>
  </si>
  <si>
    <t>입찰 전에 공사 수행에 적합한 자격을 갖춘 업체를 사전에 선별하는 제도이다.</t>
  </si>
  <si>
    <t>입찰 후에 사후적으로 자격을 검토하는 제도이다.</t>
  </si>
  <si>
    <t>모든 공사에 의무 적용된다.</t>
  </si>
  <si>
    <t>PQ는 발주기관 담당자의 임의 평가만으로 진행된다.</t>
  </si>
  <si>
    <t>* 정답 (①): PQ(Pre-Qualification)는 입찰 전에 시공경험·기술인력·재무능력 등을 종합 평가하여 자격을 갖춘 업체를 사전 선별하는 제도이다. 일정 규모 이상의 공사에 적용되며, 객관적 평가 기준에 따라 진행된다.</t>
  </si>
  <si>
    <t>공사계약의 적격심사낙찰제와 종합심사낙찰제의 차이에 관한 설명으로 옳지 않은 것은?</t>
  </si>
  <si>
    <t>적격심사는 최저가 투찰자부터 순차적으로 적격 여부를 심사한다.</t>
  </si>
  <si>
    <t>종합심사낙찰제는 가격·공사수행능력·사회적책임 등을 종합 평가한다.</t>
  </si>
  <si>
    <t>두 제도 모두 가격을 평가 요소로 포함한다.</t>
  </si>
  <si>
    <t>적격심사는 가격을 무시하고 기술평가만으로 낙찰자를 결정한다.</t>
  </si>
  <si>
    <t>* 정답 (④): 적격심사도 가격을 핵심 평가 요소로 활용한다. 최저가 투찰자부터 순차로 심사하되 가격 외 신인도·이행능력 등도 점검하는 방식이다. 종합심사낙찰제는 다층적 평가가 더 강화된 형태이다.</t>
  </si>
  <si>
    <t>공사 시공계획서 제출에 관한 설명으로 옳은 것은?</t>
  </si>
  <si>
    <t>계약상대자가 공사 착수 전에 시공 일정·인력·장비·안전관리 등을 포함한 시공계획서를 발주기관에 제출한다.</t>
  </si>
  <si>
    <t>시공계획서는 공사 종료 후에 사후 작성한다.</t>
  </si>
  <si>
    <t>시공계획서는 권고 사항으로 의무가 없다.</t>
  </si>
  <si>
    <t>시공계획서는 발주기관이 작성하여 공급자에게 통보한다.</t>
  </si>
  <si>
    <t>* 정답 (①): 시공계획서는 계약상대자가 공사 착수 전에 시공 일정·인력·장비·자재·품질관리·안전관리 계획 등을 포함하여 발주기관에 제출하는 의무 문서이다. 발주기관 검토·승인을 거쳐 시공이 진행된다.</t>
  </si>
  <si>
    <t>공사 안전관리계획 수립에 관한 설명으로 옳지 않은 것은?</t>
  </si>
  <si>
    <t>「건설기술진흥법」에 따라 일정 규모 이상의 공사는 안전관리계획 수립이 의무화된다.</t>
  </si>
  <si>
    <t>안전관리계획에는 위험 요인 식별·위험 통제 방안·비상 대응 계획이 포함된다.</t>
  </si>
  <si>
    <t>안전관리는 발주기관·계약상대자·하수급인 모두의 책임이다.</t>
  </si>
  <si>
    <t>공사 안전관리는 권고 사항으로 별도 법적 의무는 없다.</t>
  </si>
  <si>
    <t>* 정답 (④): 「건설기술진흥법」, 「산업안전보건법」 등에 따라 공사 안전관리는 법적 의무이다. 일정 규모 이상의 공사는 안전관리계획 수립·점검이 강제되며, 사고 발생 시 「산업안전보건법」 위반은 부정당업자 제재 사유에 해당한다.</t>
  </si>
  <si>
    <t>공사 검사·기성검사의 일반 절차에 관한 설명으로 옳은 것은?</t>
  </si>
  <si>
    <t>계약상대자가 검사 신청 → 발주기관(또는 감리자)이 현장 검사 → 검사조서 작성 → 적합 시 기성금 지급 → 부적합 시 시정 요구 순서로 진행된다.</t>
  </si>
  <si>
    <t>검사 없이 계약상대자의 자체 보고만으로 기성금이 지급된다.</t>
  </si>
  <si>
    <t>검사는 공사 종료 시 1회만 실시한다.</t>
  </si>
  <si>
    <t>발주기관 담당자가 단독으로 모든 검사를 수행한다.</t>
  </si>
  <si>
    <t>* 정답 (①): 공사 검사는 ① 계약상대자 검사 신청, ② 발주기관(또는 감리자)의 현장 검사, ③ 검사조서 작성, ④ 적합 판정 시 기성금 지급, ⑤ 부적합 시 시정 요구의 표준 절차로 진행된다. 일정 규모 이상의 공사는 감리자가 검사를 주관한다.</t>
  </si>
  <si>
    <t>공사계약에서 예정가격의 역할로 가장 적절한 것은?</t>
  </si>
  <si>
    <t>입찰 참가 자격을 결정한다.</t>
  </si>
  <si>
    <t>낙찰자 선정의 유일한 기준이 된다.</t>
  </si>
  <si>
    <t>계약금액의 기준(상한·참고값) 역할을 한다.</t>
  </si>
  <si>
    <t>하자담보기간을 결정한다.</t>
  </si>
  <si>
    <t>* 정답 (③): 예정가격은 계약금액 결정의 기준이며 낙찰자 선정에 참고되는 핵심 요소이다.</t>
  </si>
  <si>
    <t>공사 입찰에서 PQ(입찰 참가 자격 사전심사)의 목적은?</t>
  </si>
  <si>
    <t>입찰가격을 높이기 위해</t>
  </si>
  <si>
    <t>수행능력이 있는 업체를 사전에 선별하기 위해</t>
  </si>
  <si>
    <t>낙찰률을 정하기 위해</t>
  </si>
  <si>
    <t>하자담보기간을 단축하기 위해</t>
  </si>
  <si>
    <t>* 정답 (②): PQ는 시공능력, 실적 등 수행능력을 확인해 부적격 업체를 사전 배제한다.</t>
  </si>
  <si>
    <t>공사계약에서 설계 변경이 발생한 경우 원칙적으로 필요한 조치는?</t>
  </si>
  <si>
    <t>준공처리 후 정산</t>
  </si>
  <si>
    <t>계약변경(금액·기간) 협의 및 문서화</t>
  </si>
  <si>
    <t>낙찰자 재선정</t>
  </si>
  <si>
    <t>계약을 즉시 종료</t>
  </si>
  <si>
    <t>* 정답 (②): 설계 변경은 계약 내용 변경이므로 반드시 계약변경 절차가 수반된다.</t>
  </si>
  <si>
    <t>지체상금의 성격으로 옳은 것은?</t>
  </si>
  <si>
    <t>하자보수 비용</t>
  </si>
  <si>
    <t>계약이행 지연에 대한 손해배상 예정액</t>
  </si>
  <si>
    <t>계약보증금 반환금</t>
  </si>
  <si>
    <t>선금 지급수단</t>
  </si>
  <si>
    <t>* 정답 (②): 지체상금은 일정 지연에 따른 손해를 보전하는 예정 손해배상 성격이다.</t>
  </si>
  <si>
    <t>물가변동에 따른 계약금액 조정 요건으로 가장 적절한 것은?</t>
  </si>
  <si>
    <t>1% 이상 변동</t>
  </si>
  <si>
    <t>2% 이상 변동</t>
  </si>
  <si>
    <t>3% 이상 변동</t>
  </si>
  <si>
    <t>10% 이상 변동</t>
  </si>
  <si>
    <t>* 정답 (③): 계약조건·규정에 따라 일정 기준(대표적으로 3%) 이상 변동 시 조정 가능하다.</t>
  </si>
  <si>
    <t>계약해제와 계약해지의 차이로 옳은 것은?</t>
  </si>
  <si>
    <t>해제는 장래효, 해지는 소급효</t>
  </si>
  <si>
    <t>해제는 소급효, 해지는 장래효</t>
  </si>
  <si>
    <t>둘 다 소급효</t>
  </si>
  <si>
    <t>둘 다 장래효</t>
  </si>
  <si>
    <t>* 정답 (②): 해제는 처음부터 없었던 것처럼(소급), 해지는 앞으로만 효력이 사라진다(장래).</t>
  </si>
  <si>
    <t>공사계약에서 하자담보책임의 핵심 내용은?</t>
  </si>
  <si>
    <t>발주기관이 하자보수비 부담</t>
  </si>
  <si>
    <t>계약상대자가 하자를 무상 보수·교체</t>
  </si>
  <si>
    <t>하자 발생 시 계약 자동 취소</t>
  </si>
  <si>
    <t>하자기간 동안 대금 지급 중단</t>
  </si>
  <si>
    <t>* 정답 (②): 하자담보책임은 계약상대자의 무상보수 의무가 핵심이다.</t>
  </si>
  <si>
    <t>하도급 관리의 목적에 가장 부합하는 것은?</t>
  </si>
  <si>
    <t>공정거래·품질·안전 확보</t>
  </si>
  <si>
    <t>계약금액 자동 증액</t>
  </si>
  <si>
    <t>입찰자 수 제한</t>
  </si>
  <si>
    <t>* 정답 (②): 하도급은 공정성·품질·안전 확보가 핵심이며 불법 하도급을 방지한다.</t>
  </si>
  <si>
    <t>공사계약 일반 개요의 기본 개념/원칙으로 가장 적절한 것은?</t>
  </si>
  <si>
    <t>다음 중 공사계약 일반 개요 관련 실무통제(리스크 관리)로 가장 적절한 것은?</t>
  </si>
  <si>
    <t>공사 계약에서 공사계약과 연계하여 가장 중점적으로 관리해야 할 사항은?</t>
  </si>
  <si>
    <t>설계·시공·공정·품질·안전 및 설계변경/물가변동 등 계약변경 절차</t>
  </si>
  <si>
    <t>현장기록 없이 구두로 공정변경</t>
  </si>
  <si>
    <t>물품의 단가협상 기록</t>
  </si>
  <si>
    <t>용역의 보고서 제출기한만 관리</t>
  </si>
  <si>
    <t>* 정답 (①): 공사는 공정·품질·안전과 계약변경 관리가 핵심이며 기록이 중요하다.</t>
  </si>
  <si>
    <t>공사 하자·준공·지체상금·안전관리의 기본 개념/원칙으로 가장 적절한 것은?</t>
  </si>
  <si>
    <t>공사 계약에서 공사 설계 변경·물가변동·계약변경과 연계하여 가장 중점적으로 관리해야 할 사항은?</t>
  </si>
  <si>
    <t>* 정답 (③): 공사는 공정·품질·안전과 계약변경 관리가 핵심이며 기록이 중요하다.</t>
  </si>
  <si>
    <t>다음 중 공사 하자·준공·지체상금·안전관리 관련 실무통제(리스크 관리)로 가장 적절한 것은?</t>
  </si>
  <si>
    <t>일괄입찰(턴키)에 관한 설명으로 옳은 것은?</t>
  </si>
  <si>
    <t>발주기관이 설계와 시공을 일괄로 발주하여, 계약상대자가 설계와 시공을 통합 수행하는 방식이다.</t>
  </si>
  <si>
    <t>발주기관이 설계와 시공을 분리하여 별도 발주하는 방식이다.</t>
  </si>
  <si>
    <t>시공만 발주하고 설계는 발주기관이 직접 수행하는 방식이다.</t>
  </si>
  <si>
    <t>턴키는 「국가계약법」에 근거가 없는 임의 절차이다.</t>
  </si>
  <si>
    <t>* 정답 (①): 일괄입찰(턴키)은 「국가계약법 시행령」에 근거한 발주 방식으로, 발주기관이 설계와 시공을 일괄로 발주하여 계약상대자가 설계와 시공을 통합 수행한다. 책임 일원화와 신속 시공의 장점이 있다.</t>
  </si>
  <si>
    <t>대안입찰과 기술제안입찰의 차이에 관한 설명으로 옳은 것은?</t>
  </si>
  <si>
    <t>대안입찰은 발주기관 원안에 대해 동등 이상의 대안을 제안하는 방식이고, 기술제안입찰은 발주기관 기본설계에 대한 기술제안서를 평가하는 방식이다.</t>
  </si>
  <si>
    <t>두 제도는 동일하며 차이가 없다.</t>
  </si>
  <si>
    <t>대안입찰은 시공만 발주하는 방식이다.</t>
  </si>
  <si>
    <t>기술제안입찰은 가격 경쟁만으로 낙찰자를 결정한다.</t>
  </si>
  <si>
    <t>* 정답 (①): 대안입찰은 발주기관 원안에 대한 동등 이상의 대안 제안을 평가하는 방식이고, 기술제안입찰은 기본설계에 대한 기술제안서(시공계획·공정관리·품질관리 등)를 종합 평가하는 방식으로 구분된다.</t>
  </si>
  <si>
    <t>시공책임형 건설사업관리(CMR)에 관한 설명으로 옳지 않은 것은?</t>
  </si>
  <si>
    <t>종합공사 시공 업종을 등록한 건설사업자가 시공 이전 단계에서 건설사업관리 업무를 수행한다.</t>
  </si>
  <si>
    <t>시공 단계에서는 시공·건설사업관리에 관한 종합 계획·관리·조정을 수행한다.</t>
  </si>
  <si>
    <t>미리 정한 공사 금액·공사 기간 내 시설물을 시공한다.</t>
  </si>
  <si>
    <t>CMR은 시공 권한 없이 자문만 제공하는 형태이다.</t>
  </si>
  <si>
    <t>* 정답 (④): 시공책임형 CM(CMR)은 시공 이전 단계에서 건설사업관리 자문을 제공하고, 시공 단계에서는 직접 시공 책임을 부담하는 통합형 방식이다. 시공 권한 없는 자문은 용역형 CM의 특성이며 CMR과 다르다.</t>
  </si>
  <si>
    <t>공사이행보증제도에 관한 설명으로 옳은 것은?</t>
  </si>
  <si>
    <t>계약상대자가 계약상 의무를 이행하지 못하는 경우 보증기관이 대신 이행하거나 일정 금액을 납부하는 보증 제도이다.</t>
  </si>
  <si>
    <t>공사이행보증은 권고 사항으로 별도 의무가 없다.</t>
  </si>
  <si>
    <t>발주기관이 직접 보증인이 되어 운영한다.</t>
  </si>
  <si>
    <t>공사이행보증은 일반 물품 계약에만 적용된다.</t>
  </si>
  <si>
    <t>* 정답 (①): 공사이행보증은 계약상대자가 계약 이행을 못 하는 경우 보증기관이 대신 이행(이행보증)하거나 일정 금액을 납부(금전보증)하는 제도로, 발주기관의 손실을 방지하는 핵심 안전 장치이다.</t>
  </si>
  <si>
    <t>공사용자재 직접구매(분리발주) 제도와 공사계약의 연계에 관한 설명으로 옳은 것은?</t>
  </si>
  <si>
    <t>발주기관이 자재를 별도 계약으로 확보한 후 시공사에 인도하는 방식으로, 시공업체의 부당한 자재 단가 인하 압박을 구조적으로 차단한다.</t>
  </si>
  <si>
    <t>시공업체가 모든 자재를 직접 구매하는 일반 방식과 동일하다.</t>
  </si>
  <si>
    <t>직접구매는 모든 공사에 일률 적용된다.</t>
  </si>
  <si>
    <t>직접구매 대상 자재는 일반경쟁입찰로만 진행된다.</t>
  </si>
  <si>
    <t>* 정답 (①): 공사용자재 직접구매(분리발주)는 「판로지원법」 제12조에 근거하며, 발주기관이 자재를 별도로 구매·인도함으로써 시공업체의 자재업체에 대한 부당 단가 인하 등 불합리한 관행을 차단하는 제도이다. 직접구매 대상 품목은 중소기업 간 제한경쟁·지명경쟁으로 입찰이 진행된다.</t>
  </si>
  <si>
    <t>건설산업기본법상 건설공사의 하도급 제한 규정이다. ( )에 들어갈 금액은?
건설업자는 1건 공사의 금액이 ( ) 미만인 건설공사를 도급받은 경우에는 그 건설공사의 일부를 종합공사를 시공하는 업종을 등록한 건설사업자에게 하도급할 수 없다.</t>
  </si>
  <si>
    <t>* 정답 (①): 「건설산업기본법」 제29조(건설공사의 하도급 제한) 제2항 및 동법 시행령 제31조의2에 따라, 1건 공사의 금액이 10억원 미만인 건설공사를 도급받은 경우 종합공사 업종을 등록한 건설사업자에게 하도급할 수 없다.</t>
  </si>
  <si>
    <t>공공조달관리사 수험자용 예제문제 / 「건설산업기본법」 제29조</t>
  </si>
  <si>
    <t>모바일 학습 안내</t>
  </si>
  <si>
    <t>1</t>
  </si>
  <si>
    <t>스마트폰으로 QR코드를 스캔하세요.</t>
  </si>
  <si>
    <t>모바일 페이지 검수 중</t>
  </si>
  <si>
    <t>2</t>
  </si>
  <si>
    <t>Quizlet 페이지로 연결되면 무료 회원가입을 진행합니다.</t>
  </si>
  <si>
    <t>3</t>
  </si>
  <si>
    <t>가입 후 로그인하여 아래 방법으로 학습하세요.</t>
  </si>
  <si>
    <t>· 낱말카드로 학습하기</t>
  </si>
  <si>
    <t>· 테스트(주관식)로 학습하기</t>
  </si>
  <si>
    <t>고시금액 이상이면 조달청장 위탁 또는 조달사업법 계약방법을 따른다</t>
    <phoneticPr fontId="58" type="noConversion"/>
  </si>
  <si>
    <t>* 정답 (③): 「공공기관운영법」 제44조 제1항에 따라 공기업·준정부기관은 재정경제부장관 고시금액 이상의 중소기업자간 경쟁제품을 구매할 때 조달청장에게 위탁하거나 조달사업법 제14조 계약방법으로 구매해야 합니다(특수성·전문성·안전성 등 사유 시 재정경제부령으로 예외).</t>
    <phoneticPr fontId="58" type="noConversion"/>
  </si>
  <si>
    <t>GR마크 제도</t>
    <phoneticPr fontId="58" type="noConversion"/>
  </si>
  <si>
    <t>G-PASS 제도</t>
    <phoneticPr fontId="58" type="noConversion"/>
  </si>
  <si>
    <t>MAS 제도</t>
    <phoneticPr fontId="58" type="noConversion"/>
  </si>
  <si>
    <t>EPC 제도</t>
    <phoneticPr fontId="58" type="noConversion"/>
  </si>
  <si>
    <t>내자 구매는 추정가격과 무관하게 수요기관이 자체적으로 단가계약을 체결하여 직접 구매해야 한다</t>
    <phoneticPr fontId="5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</si>
</sst>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1"/>
      <color rgb="FF000000"/>
      <name val="맑은 고딕"/>
      <charset val="1"/>
    </font>
    <font>
      <sz val="11"/>
      <color rgb="FF000000"/>
      <name val="맑은 고딕"/>
      <family val="2"/>
      <charset val="129"/>
    </font>
    <font>
      <sz val="11"/>
      <color theme="1"/>
      <name val="Calibri"/>
      <family val="2"/>
      <charset val="1"/>
    </font>
    <font>
      <sz val="11"/>
      <color rgb="FF000000"/>
      <name val="맑은 고딕"/>
      <family val="3"/>
      <charset val="129"/>
    </font>
    <font>
      <sz val="11"/>
      <color theme="1"/>
      <name val="맑은 고딕"/>
      <family val="2"/>
      <charset val="1"/>
    </font>
    <font>
      <b/>
      <sz val="13"/>
      <color rgb="FF555555"/>
      <name val="맑은 고딕"/>
      <family val="2"/>
      <charset val="129"/>
    </font>
    <font>
      <b/>
      <sz val="56"/>
      <color rgb="FFFF5500"/>
      <name val="맑은 고딕"/>
      <family val="2"/>
      <charset val="129"/>
    </font>
    <font>
      <b/>
      <sz val="42"/>
      <color rgb="FF111111"/>
      <name val="Noto Sans CJK SC"/>
      <family val="2"/>
      <charset val="1"/>
    </font>
    <font>
      <sz val="15"/>
      <color rgb="FF333333"/>
      <name val="Noto Sans CJK SC"/>
      <family val="2"/>
      <charset val="1"/>
    </font>
    <font>
      <b/>
      <sz val="16"/>
      <color rgb="FFFFFFFF"/>
      <name val="맑은 고딕"/>
      <family val="2"/>
      <charset val="129"/>
    </font>
    <font>
      <sz val="10"/>
      <color rgb="FFAAAAAA"/>
      <name val="맑은 고딕"/>
      <family val="2"/>
      <charset val="129"/>
    </font>
    <font>
      <b/>
      <sz val="14"/>
      <name val="Noto Sans CJK SC"/>
      <family val="3"/>
      <charset val="129"/>
    </font>
    <font>
      <i/>
      <sz val="10"/>
      <color rgb="FF595959"/>
      <name val="Noto Sans CJK SC"/>
      <family val="2"/>
      <charset val="1"/>
    </font>
    <font>
      <b/>
      <sz val="11"/>
      <color rgb="FFFFFFFF"/>
      <name val="Noto Sans CJK SC"/>
      <family val="2"/>
      <charset val="1"/>
    </font>
    <font>
      <b/>
      <sz val="11"/>
      <name val="Arial"/>
      <family val="2"/>
      <charset val="1"/>
    </font>
    <font>
      <sz val="11"/>
      <name val="Arial"/>
      <family val="2"/>
      <charset val="1"/>
    </font>
    <font>
      <b/>
      <sz val="13"/>
      <name val="Noto Sans CJK SC"/>
      <family val="2"/>
      <charset val="1"/>
    </font>
    <font>
      <sz val="10"/>
      <name val="Arial"/>
      <family val="2"/>
      <charset val="1"/>
    </font>
    <font>
      <b/>
      <sz val="10"/>
      <name val="Arial"/>
      <family val="2"/>
      <charset val="1"/>
    </font>
    <font>
      <sz val="10"/>
      <name val="Noto Sans CJK SC"/>
      <family val="2"/>
      <charset val="1"/>
    </font>
    <font>
      <b/>
      <sz val="15"/>
      <color rgb="FF1A1D3A"/>
      <name val="Noto Sans CJK SC"/>
      <family val="2"/>
      <charset val="1"/>
    </font>
    <font>
      <i/>
      <sz val="9"/>
      <color rgb="FF646F8A"/>
      <name val="Noto Sans CJK SC"/>
      <family val="2"/>
      <charset val="1"/>
    </font>
    <font>
      <b/>
      <sz val="11"/>
      <color rgb="FFC65911"/>
      <name val="Noto Sans CJK SC"/>
      <family val="2"/>
      <charset val="1"/>
    </font>
    <font>
      <b/>
      <sz val="12"/>
      <color rgb="FFC65911"/>
      <name val="Malgun Gothic"/>
      <family val="2"/>
      <charset val="129"/>
    </font>
    <font>
      <b/>
      <sz val="11"/>
      <color rgb="FF646F8A"/>
      <name val="Noto Sans CJK SC"/>
      <family val="2"/>
      <charset val="1"/>
    </font>
    <font>
      <b/>
      <sz val="14"/>
      <color rgb="FF1A1D3A"/>
      <name val="Malgun Gothic"/>
      <family val="2"/>
      <charset val="129"/>
    </font>
    <font>
      <b/>
      <sz val="10"/>
      <color rgb="FF646F8A"/>
      <name val="Malgun Gothic"/>
      <family val="2"/>
      <charset val="129"/>
    </font>
    <font>
      <b/>
      <sz val="11"/>
      <color rgb="FF4255FF"/>
      <name val="Noto Sans CJK SC"/>
      <family val="2"/>
      <charset val="1"/>
    </font>
    <font>
      <b/>
      <sz val="14"/>
      <color rgb="FF1A1D3A"/>
      <name val="Noto Sans CJK SC"/>
      <family val="2"/>
      <charset val="1"/>
    </font>
    <font>
      <b/>
      <sz val="12"/>
      <color rgb="FF1A1D3A"/>
      <name val="Noto Sans CJK SC"/>
      <family val="2"/>
      <charset val="1"/>
    </font>
    <font>
      <sz val="12"/>
      <color rgb="FF1A1D3A"/>
      <name val="Noto Sans CJK SC"/>
      <charset val="1"/>
    </font>
    <font>
      <sz val="12"/>
      <color rgb="FF000000"/>
      <name val="Noto Sans CJK SC"/>
      <family val="2"/>
      <charset val="1"/>
    </font>
    <font>
      <sz val="10"/>
      <color rgb="FF000000"/>
      <name val="Malgun Gothic"/>
      <family val="2"/>
      <charset val="129"/>
    </font>
    <font>
      <b/>
      <sz val="11"/>
      <color rgb="FF000000"/>
      <name val="Noto Sans CJK SC"/>
      <family val="2"/>
      <charset val="1"/>
    </font>
    <font>
      <b/>
      <sz val="11"/>
      <color rgb="FF000000"/>
      <name val="맑은 고딕"/>
      <family val="2"/>
      <charset val="129"/>
    </font>
    <font>
      <sz val="11"/>
      <color rgb="FF000000"/>
      <name val="Noto Sans CJK SC"/>
      <family val="2"/>
      <charset val="1"/>
    </font>
    <font>
      <sz val="10"/>
      <name val="나눔명조"/>
      <family val="3"/>
      <charset val="129"/>
    </font>
    <font>
      <b/>
      <sz val="13"/>
      <name val="맑은 고딕"/>
      <family val="3"/>
      <charset val="129"/>
    </font>
    <font>
      <sz val="10"/>
      <name val="Noto Sans CJK SC"/>
      <family val="3"/>
      <charset val="129"/>
    </font>
    <font>
      <sz val="9"/>
      <color rgb="FF000000"/>
      <name val="맑은 고딕"/>
      <family val="3"/>
      <charset val="129"/>
    </font>
    <font>
      <b/>
      <sz val="9"/>
      <name val="Arial"/>
      <family val="2"/>
      <charset val="1"/>
    </font>
    <font>
      <sz val="9"/>
      <color theme="1"/>
      <name val="Calibri"/>
      <family val="2"/>
      <charset val="1"/>
    </font>
    <font>
      <b/>
      <sz val="12"/>
      <name val="Noto Sans CJK SC"/>
      <family val="3"/>
      <charset val="129"/>
    </font>
    <font>
      <b/>
      <sz val="9"/>
      <name val="Noto Sans CJK SC"/>
      <family val="2"/>
      <charset val="1"/>
    </font>
    <font>
      <b/>
      <sz val="12"/>
      <name val="Noto Sans CJK SC"/>
      <family val="2"/>
      <charset val="1"/>
    </font>
    <font>
      <sz val="10"/>
      <name val="Arial"/>
      <family val="2"/>
      <charset val="129"/>
    </font>
    <font>
      <b/>
      <sz val="16"/>
      <color rgb="FFFFFFFF"/>
      <name val="Noto Sans CJK SC"/>
      <family val="2"/>
      <charset val="1"/>
    </font>
    <font>
      <b/>
      <sz val="12"/>
      <color rgb="FF1F3864"/>
      <name val="Arial"/>
      <family val="2"/>
      <charset val="1"/>
    </font>
    <font>
      <sz val="11"/>
      <color rgb="FF333333"/>
      <name val="Noto Sans CJK SC"/>
      <family val="2"/>
      <charset val="1"/>
    </font>
    <font>
      <b/>
      <sz val="11"/>
      <color rgb="FFFF0000"/>
      <name val="Noto Sans CJK SC"/>
      <family val="2"/>
      <charset val="1"/>
    </font>
    <font>
      <i/>
      <sz val="11"/>
      <color rgb="FF888888"/>
      <name val="Arial"/>
      <family val="2"/>
      <charset val="1"/>
    </font>
    <font>
      <sz val="11"/>
      <color rgb="FF333333"/>
      <name val="Arial"/>
      <family val="2"/>
      <charset val="1"/>
    </font>
    <font>
      <sz val="11"/>
      <color rgb="FF555555"/>
      <name val="Arial"/>
      <family val="2"/>
      <charset val="1"/>
    </font>
    <font>
      <sz val="11"/>
      <color theme="1"/>
      <name val="맑은 고딕"/>
      <family val="2"/>
      <scheme val="minor"/>
    </font>
    <font>
      <b/>
      <sz val="11"/>
      <color rgb="FFFFFFFF"/>
      <name val="맑은 고딕"/>
      <family val="3"/>
      <charset val="129"/>
    </font>
    <font>
      <sz val="10"/>
      <name val="돋움"/>
      <family val="3"/>
      <charset val="129"/>
    </font>
    <font>
      <sz val="10"/>
      <name val="Arial"/>
      <family val="2"/>
    </font>
    <font>
      <sz val="10"/>
      <name val="Arial"/>
      <family val="3"/>
      <charset val="129"/>
    </font>
    <font>
      <sz val="8"/>
      <name val="나눔명조"/>
      <family val="3"/>
      <charset val="129"/>
    </font>
  </fonts>
  <fills count="18">
    <fill>
      <patternFill patternType="none"/>
    </fill>
    <fill>
      <patternFill patternType="gray125"/>
    </fill>
    <fill>
      <patternFill patternType="solid">
        <fgColor rgb="FFFFFFFF"/>
        <bgColor rgb="FFF6F7FB"/>
      </patternFill>
    </fill>
    <fill>
      <patternFill patternType="solid">
        <fgColor rgb="FF111111"/>
        <bgColor rgb="FF1F1F1F"/>
      </patternFill>
    </fill>
    <fill>
      <patternFill patternType="solid">
        <fgColor rgb="FF1F3864"/>
        <bgColor rgb="FF333333"/>
      </patternFill>
    </fill>
    <fill>
      <patternFill patternType="solid">
        <fgColor rgb="FFEDEDED"/>
        <bgColor rgb="FFEDF0F7"/>
      </patternFill>
    </fill>
    <fill>
      <patternFill patternType="solid">
        <fgColor rgb="FFD9E2F3"/>
        <bgColor rgb="FFD9DDE8"/>
      </patternFill>
    </fill>
    <fill>
      <patternFill patternType="solid">
        <fgColor rgb="FFF6F7FB"/>
        <bgColor rgb="FFF2F2F2"/>
      </patternFill>
    </fill>
    <fill>
      <patternFill patternType="solid">
        <fgColor rgb="FFFFF2CC"/>
        <bgColor rgb="FFF2F2F2"/>
      </patternFill>
    </fill>
    <fill>
      <patternFill patternType="solid">
        <fgColor rgb="FFEDF0F7"/>
        <bgColor rgb="FFF2F2F2"/>
      </patternFill>
    </fill>
    <fill>
      <patternFill patternType="solid">
        <fgColor rgb="FF00B050"/>
        <bgColor rgb="FF008080"/>
      </patternFill>
    </fill>
    <fill>
      <patternFill patternType="solid">
        <fgColor rgb="FF00B0F0"/>
        <bgColor rgb="FF33CCCC"/>
      </patternFill>
    </fill>
    <fill>
      <patternFill patternType="solid">
        <fgColor rgb="FFFFFF00"/>
        <bgColor rgb="FFFFFF00"/>
      </patternFill>
    </fill>
    <fill>
      <patternFill patternType="solid">
        <fgColor rgb="FFF2F2F2"/>
        <bgColor rgb="FFEDF0F7"/>
      </patternFill>
    </fill>
    <fill>
      <patternFill patternType="solid">
        <fgColor rgb="FFFFFF00"/>
        <bgColor indexed="64"/>
      </patternFill>
    </fill>
    <fill>
      <patternFill patternType="solid">
        <fgColor rgb="FFFFFF00"/>
        <bgColor rgb="FFD9DDE8"/>
      </patternFill>
    </fill>
    <fill>
      <patternFill patternType="solid">
        <fgColor rgb="FFFFFF00"/>
        <bgColor rgb="FFEDF0F7"/>
      </patternFill>
    </fill>
    <fill>
      <patternFill patternType="solid">
        <fgColor rgb="FF92D050"/>
        <bgColor indexed="64"/>
      </patternFill>
    </fill>
  </fills>
  <borders count="29">
    <border>
      <left/>
      <right/>
      <top/>
      <bottom/>
      <diagonal/>
    </border>
    <border>
      <left style="thin">
        <color rgb="FFB7B7B7"/>
      </left>
      <right style="thin">
        <color rgb="FFB7B7B7"/>
      </right>
      <top style="thin">
        <color rgb="FFB7B7B7"/>
      </top>
      <bottom style="thin">
        <color rgb="FFB7B7B7"/>
      </bottom>
      <diagonal/>
    </border>
    <border>
      <left style="medium">
        <color rgb="FFC65911"/>
      </left>
      <right style="medium">
        <color rgb="FFC65911"/>
      </right>
      <top style="medium">
        <color rgb="FFC65911"/>
      </top>
      <bottom style="medium">
        <color rgb="FFC65911"/>
      </bottom>
      <diagonal/>
    </border>
    <border>
      <left style="medium">
        <color rgb="FF4255FF"/>
      </left>
      <right style="medium">
        <color rgb="FF4255FF"/>
      </right>
      <top style="medium">
        <color rgb="FF4255FF"/>
      </top>
      <bottom style="medium">
        <color rgb="FF4255FF"/>
      </bottom>
      <diagonal/>
    </border>
    <border>
      <left style="thin">
        <color rgb="FFD9DDE8"/>
      </left>
      <right style="thin">
        <color rgb="FFD9DDE8"/>
      </right>
      <top style="thin">
        <color rgb="FFD9DDE8"/>
      </top>
      <bottom style="thin">
        <color rgb="FFD9DDE8"/>
      </bottom>
      <diagonal/>
    </border>
    <border>
      <left style="thin">
        <color rgb="FFD9DDE8"/>
      </left>
      <right style="thin">
        <color rgb="FFD9DDE8"/>
      </right>
      <top style="thin">
        <color rgb="FFD9DDE8"/>
      </top>
      <bottom/>
      <diagonal/>
    </border>
    <border>
      <left style="thin">
        <color rgb="FFD9DDE8"/>
      </left>
      <right style="thin">
        <color rgb="FFD9DDE8"/>
      </right>
      <top style="thin">
        <color theme="0"/>
      </top>
      <bottom style="thin">
        <color rgb="FFD9DDE8"/>
      </bottom>
      <diagonal/>
    </border>
    <border>
      <left style="thin">
        <color auto="1"/>
      </left>
      <right style="thin">
        <color auto="1"/>
      </right>
      <top style="thin">
        <color auto="1"/>
      </top>
      <bottom style="thin">
        <color auto="1"/>
      </bottom>
      <diagonal/>
    </border>
    <border>
      <left style="thin">
        <color rgb="FFC9C9C9"/>
      </left>
      <right style="thin">
        <color rgb="FFC9C9C9"/>
      </right>
      <top style="thin">
        <color rgb="FFC9C9C9"/>
      </top>
      <bottom style="thin">
        <color rgb="FFC9C9C9"/>
      </bottom>
      <diagonal/>
    </border>
    <border>
      <left style="dashed">
        <color rgb="FFA6A6A6"/>
      </left>
      <right style="dashed">
        <color rgb="FFA6A6A6"/>
      </right>
      <top style="dashed">
        <color rgb="FFA6A6A6"/>
      </top>
      <bottom style="dashed">
        <color rgb="FFA6A6A6"/>
      </bottom>
      <diagonal/>
    </border>
    <border>
      <left style="thin">
        <color rgb="FFA6A6A6"/>
      </left>
      <right style="thin">
        <color rgb="FFA6A6A6"/>
      </right>
      <top style="thin">
        <color rgb="FFA6A6A6"/>
      </top>
      <bottom style="thin">
        <color rgb="FFA6A6A6"/>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
      <left/>
      <right/>
      <top style="thin">
        <color rgb="FFD9DDE8"/>
      </top>
      <bottom/>
      <diagonal/>
    </border>
    <border>
      <left/>
      <right style="thin">
        <color rgb="FFD9DDE8"/>
      </right>
      <top style="thin">
        <color rgb="FFD9DDE8"/>
      </top>
      <bottom/>
      <diagonal/>
    </border>
    <border>
      <left/>
      <right/>
      <top style="thin">
        <color rgb="FFD9DDE8"/>
      </top>
      <bottom style="thin">
        <color rgb="FFD9DDE8"/>
      </bottom>
      <diagonal/>
    </border>
    <border>
      <left/>
      <right style="thin">
        <color rgb="FFD9DDE8"/>
      </right>
      <top style="thin">
        <color rgb="FFD9DDE8"/>
      </top>
      <bottom style="thin">
        <color rgb="FFD9DDE8"/>
      </bottom>
      <diagonal/>
    </border>
    <border>
      <left style="thin">
        <color rgb="FFD9DDE8"/>
      </left>
      <right/>
      <top/>
      <bottom/>
      <diagonal/>
    </border>
    <border>
      <left/>
      <right style="thin">
        <color rgb="FFD9DDE8"/>
      </right>
      <top/>
      <bottom/>
      <diagonal/>
    </border>
    <border>
      <left style="thin">
        <color rgb="FFD9DDE8"/>
      </left>
      <right/>
      <top/>
      <bottom style="thin">
        <color rgb="FFD9DDE8"/>
      </bottom>
      <diagonal/>
    </border>
    <border>
      <left/>
      <right/>
      <top/>
      <bottom style="thin">
        <color rgb="FFD9DDE8"/>
      </bottom>
      <diagonal/>
    </border>
    <border>
      <left/>
      <right style="thin">
        <color rgb="FFD9DDE8"/>
      </right>
      <top/>
      <bottom style="thin">
        <color rgb="FFD9DDE8"/>
      </bottom>
      <diagonal/>
    </border>
    <border>
      <left/>
      <right/>
      <top style="thin">
        <color theme="0"/>
      </top>
      <bottom/>
      <diagonal/>
    </border>
    <border>
      <left/>
      <right style="thin">
        <color rgb="FFD9DDE8"/>
      </right>
      <top style="thin">
        <color theme="0"/>
      </top>
      <bottom/>
      <diagonal/>
    </border>
    <border>
      <left style="dashed">
        <color rgb="FFA6A6A6"/>
      </left>
      <right/>
      <top/>
      <bottom/>
      <diagonal/>
    </border>
    <border>
      <left/>
      <right style="dashed">
        <color rgb="FFA6A6A6"/>
      </right>
      <top style="dashed">
        <color rgb="FFA6A6A6"/>
      </top>
      <bottom/>
      <diagonal/>
    </border>
    <border>
      <left/>
      <right style="dashed">
        <color rgb="FFA6A6A6"/>
      </right>
      <top/>
      <bottom/>
      <diagonal/>
    </border>
    <border>
      <left style="dashed">
        <color rgb="FFA6A6A6"/>
      </left>
      <right/>
      <top/>
      <bottom style="dashed">
        <color rgb="FFA6A6A6"/>
      </bottom>
      <diagonal/>
    </border>
    <border>
      <left/>
      <right style="dashed">
        <color rgb="FFA6A6A6"/>
      </right>
      <top/>
      <bottom style="dashed">
        <color rgb="FFA6A6A6"/>
      </bottom>
      <diagonal/>
    </border>
  </borders>
  <cellStyleXfs count="10">
    <xf numFmtId="0" fontId="0" fillId="0" borderId="0">
      <alignment vertical="center"/>
    </xf>
    <xf numFmtId="9" fontId="3" fillId="0" borderId="0">
      <alignment vertical="center"/>
    </xf>
    <xf numFmtId="0" fontId="1" fillId="0" borderId="0">
      <alignment vertical="center"/>
    </xf>
    <xf numFmtId="0" fontId="1" fillId="0" borderId="0">
      <alignment vertical="center"/>
    </xf>
    <xf numFmtId="0" fontId="1" fillId="0" borderId="0"/>
    <xf numFmtId="0" fontId="2" fillId="0" borderId="0"/>
    <xf numFmtId="0" fontId="3" fillId="0" borderId="0">
      <alignment vertical="center"/>
    </xf>
    <xf numFmtId="0" fontId="4" fillId="0" borderId="0"/>
    <xf numFmtId="0" fontId="4" fillId="0" borderId="0"/>
    <xf numFmtId="0" fontId="53" fillId="0" borderId="0"/>
  </cellStyleXfs>
  <cellXfs count="190">
    <xf numFmtId="0" fontId="0" fillId="0" borderId="0" xfId="0">
      <alignment vertical="center"/>
    </xf>
    <xf numFmtId="0" fontId="15" fillId="5" borderId="1" xfId="5" applyFont="1" applyFill="1" applyBorder="1" applyAlignment="1">
      <alignment horizontal="center" vertical="center" wrapText="1"/>
    </xf>
    <xf numFmtId="0" fontId="3" fillId="0" borderId="0" xfId="6">
      <alignment vertical="center"/>
    </xf>
    <xf numFmtId="0" fontId="4" fillId="0" borderId="0" xfId="8"/>
    <xf numFmtId="0" fontId="4" fillId="2" borderId="0" xfId="8" applyFill="1"/>
    <xf numFmtId="0" fontId="2" fillId="0" borderId="0" xfId="5"/>
    <xf numFmtId="0" fontId="2" fillId="0" borderId="0" xfId="5" applyAlignment="1">
      <alignment horizontal="center" vertical="center"/>
    </xf>
    <xf numFmtId="0" fontId="12" fillId="0" borderId="0" xfId="5" applyFont="1"/>
    <xf numFmtId="0" fontId="13" fillId="4" borderId="1" xfId="5" applyFont="1" applyFill="1" applyBorder="1" applyAlignment="1">
      <alignment horizontal="center" vertical="center" wrapText="1"/>
    </xf>
    <xf numFmtId="0" fontId="15" fillId="5" borderId="1" xfId="5" applyFont="1" applyFill="1" applyBorder="1" applyAlignment="1">
      <alignment vertical="center" wrapText="1"/>
    </xf>
    <xf numFmtId="0" fontId="15" fillId="0" borderId="1" xfId="5" applyFont="1" applyBorder="1" applyAlignment="1">
      <alignment horizontal="center" vertical="center" wrapText="1"/>
    </xf>
    <xf numFmtId="0" fontId="15" fillId="0" borderId="1" xfId="5" applyFont="1" applyBorder="1" applyAlignment="1">
      <alignment vertical="center" wrapText="1"/>
    </xf>
    <xf numFmtId="0" fontId="3" fillId="0" borderId="0" xfId="6" applyAlignment="1">
      <alignment horizontal="center" vertical="center"/>
    </xf>
    <xf numFmtId="0" fontId="3" fillId="0" borderId="0" xfId="6" applyAlignment="1"/>
    <xf numFmtId="0" fontId="13" fillId="4" borderId="1" xfId="6" applyFont="1" applyFill="1" applyBorder="1" applyAlignment="1">
      <alignment horizontal="center" vertical="center" wrapText="1"/>
    </xf>
    <xf numFmtId="0" fontId="17" fillId="0" borderId="1" xfId="6" applyFont="1" applyBorder="1" applyAlignment="1">
      <alignment horizontal="center" vertical="center" wrapText="1"/>
    </xf>
    <xf numFmtId="0" fontId="18" fillId="6" borderId="1" xfId="6" applyFont="1" applyFill="1" applyBorder="1" applyAlignment="1">
      <alignment horizontal="center" vertical="center" wrapText="1"/>
    </xf>
    <xf numFmtId="0" fontId="18" fillId="5" borderId="1" xfId="6" applyFont="1" applyFill="1" applyBorder="1" applyAlignment="1">
      <alignment horizontal="center" vertical="center" wrapText="1"/>
    </xf>
    <xf numFmtId="0" fontId="19" fillId="0" borderId="1" xfId="6" applyFont="1" applyBorder="1" applyAlignment="1">
      <alignment vertical="top" wrapText="1"/>
    </xf>
    <xf numFmtId="0" fontId="17" fillId="0" borderId="1" xfId="6" applyFont="1" applyBorder="1" applyAlignment="1">
      <alignment vertical="top" wrapText="1"/>
    </xf>
    <xf numFmtId="0" fontId="17" fillId="0" borderId="1" xfId="0" applyFont="1" applyBorder="1" applyAlignment="1">
      <alignment horizontal="center" vertical="center" wrapText="1"/>
    </xf>
    <xf numFmtId="0" fontId="18" fillId="6"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0" borderId="1" xfId="0" applyFont="1" applyBorder="1" applyAlignment="1">
      <alignment vertical="top" wrapText="1"/>
    </xf>
    <xf numFmtId="0" fontId="17" fillId="0" borderId="1" xfId="0" applyFont="1" applyBorder="1" applyAlignment="1">
      <alignment vertical="top" wrapText="1"/>
    </xf>
    <xf numFmtId="0" fontId="0" fillId="0" borderId="0" xfId="0" applyAlignment="1"/>
    <xf numFmtId="0" fontId="0" fillId="7" borderId="0" xfId="0" applyFill="1" applyAlignment="1"/>
    <xf numFmtId="0" fontId="20" fillId="7" borderId="0" xfId="0" applyFont="1" applyFill="1" applyAlignment="1"/>
    <xf numFmtId="0" fontId="21" fillId="7" borderId="0" xfId="0" applyFont="1" applyFill="1" applyAlignment="1"/>
    <xf numFmtId="0" fontId="22" fillId="7" borderId="0" xfId="0" applyFont="1" applyFill="1" applyAlignment="1">
      <alignment horizontal="left" vertical="center"/>
    </xf>
    <xf numFmtId="0" fontId="23" fillId="8" borderId="2" xfId="0" applyFont="1" applyFill="1" applyBorder="1" applyAlignment="1">
      <alignment horizontal="center" vertical="center"/>
    </xf>
    <xf numFmtId="0" fontId="24" fillId="7" borderId="0" xfId="0" applyFont="1" applyFill="1" applyAlignment="1">
      <alignment horizontal="left" vertical="center"/>
    </xf>
    <xf numFmtId="0" fontId="25" fillId="9" borderId="3" xfId="0" applyFont="1" applyFill="1" applyBorder="1" applyAlignment="1">
      <alignment horizontal="center" vertical="center"/>
    </xf>
    <xf numFmtId="0" fontId="26" fillId="7" borderId="0" xfId="0" applyFont="1" applyFill="1" applyAlignment="1">
      <alignment horizontal="left" vertical="center"/>
    </xf>
    <xf numFmtId="0" fontId="27" fillId="7" borderId="0" xfId="0" applyFont="1" applyFill="1" applyAlignment="1">
      <alignment horizontal="left" vertical="center"/>
    </xf>
    <xf numFmtId="3" fontId="25" fillId="9" borderId="3" xfId="0" applyNumberFormat="1" applyFont="1" applyFill="1" applyBorder="1" applyAlignment="1">
      <alignment horizontal="center" vertical="center"/>
    </xf>
    <xf numFmtId="0" fontId="3" fillId="0" borderId="0" xfId="0" applyFont="1">
      <alignment vertical="center"/>
    </xf>
    <xf numFmtId="0" fontId="3" fillId="0" borderId="0" xfId="0" applyFont="1" applyAlignment="1">
      <alignment horizontal="left" vertical="center"/>
    </xf>
    <xf numFmtId="0" fontId="0" fillId="2" borderId="0" xfId="0" applyFill="1">
      <alignment vertical="center"/>
    </xf>
    <xf numFmtId="0" fontId="0" fillId="0" borderId="0" xfId="0" applyAlignment="1">
      <alignment horizontal="left" vertical="center"/>
    </xf>
    <xf numFmtId="0" fontId="33" fillId="10" borderId="7" xfId="0" applyFont="1" applyFill="1" applyBorder="1" applyAlignment="1">
      <alignment horizontal="center" vertical="center"/>
    </xf>
    <xf numFmtId="0" fontId="34" fillId="11" borderId="7" xfId="0" applyFont="1" applyFill="1" applyBorder="1" applyAlignment="1">
      <alignment horizontal="center" vertical="center"/>
    </xf>
    <xf numFmtId="0" fontId="35" fillId="2" borderId="7" xfId="0" applyFont="1" applyFill="1" applyBorder="1" applyAlignment="1">
      <alignment horizontal="center" vertical="center"/>
    </xf>
    <xf numFmtId="0" fontId="0" fillId="2" borderId="0" xfId="0" applyFill="1" applyAlignment="1">
      <alignment horizontal="center" vertical="center"/>
    </xf>
    <xf numFmtId="0" fontId="18" fillId="6" borderId="1" xfId="6" applyFont="1" applyFill="1" applyBorder="1" applyAlignment="1">
      <alignment vertical="center" wrapText="1"/>
    </xf>
    <xf numFmtId="0" fontId="18" fillId="6" borderId="1" xfId="0" applyFont="1" applyFill="1" applyBorder="1" applyAlignment="1">
      <alignment vertical="center" wrapText="1"/>
    </xf>
    <xf numFmtId="0" fontId="36" fillId="0" borderId="1" xfId="6" applyFont="1" applyBorder="1" applyAlignment="1">
      <alignment vertical="top" wrapText="1"/>
    </xf>
    <xf numFmtId="0" fontId="18" fillId="5" borderId="1" xfId="6" applyFont="1" applyFill="1" applyBorder="1" applyAlignment="1">
      <alignment vertical="center" wrapText="1"/>
    </xf>
    <xf numFmtId="0" fontId="19" fillId="0" borderId="1" xfId="6" applyFont="1" applyBorder="1" applyAlignment="1">
      <alignment horizontal="center" vertical="center" wrapText="1"/>
    </xf>
    <xf numFmtId="0" fontId="18" fillId="5" borderId="1" xfId="0" applyFont="1" applyFill="1" applyBorder="1" applyAlignment="1">
      <alignment vertical="center" wrapText="1"/>
    </xf>
    <xf numFmtId="0" fontId="38" fillId="0" borderId="1" xfId="6" applyFont="1" applyBorder="1" applyAlignment="1">
      <alignment vertical="top" wrapText="1"/>
    </xf>
    <xf numFmtId="9" fontId="19" fillId="0" borderId="1" xfId="1" applyFont="1" applyBorder="1" applyAlignment="1">
      <alignment vertical="top" wrapText="1"/>
    </xf>
    <xf numFmtId="0" fontId="19" fillId="2" borderId="1" xfId="6" applyFont="1" applyFill="1" applyBorder="1" applyAlignment="1">
      <alignment vertical="top" wrapText="1"/>
    </xf>
    <xf numFmtId="0" fontId="17" fillId="2" borderId="1" xfId="6" applyFont="1" applyFill="1" applyBorder="1" applyAlignment="1">
      <alignment vertical="top" wrapText="1"/>
    </xf>
    <xf numFmtId="0" fontId="19" fillId="12" borderId="1" xfId="6" applyFont="1" applyFill="1" applyBorder="1" applyAlignment="1">
      <alignment vertical="top" wrapText="1"/>
    </xf>
    <xf numFmtId="0" fontId="17" fillId="12" borderId="1" xfId="6" applyFont="1" applyFill="1" applyBorder="1" applyAlignment="1">
      <alignment vertical="top" wrapText="1"/>
    </xf>
    <xf numFmtId="0" fontId="38" fillId="0" borderId="1" xfId="0" applyFont="1" applyBorder="1" applyAlignment="1">
      <alignment vertical="top" wrapText="1"/>
    </xf>
    <xf numFmtId="0" fontId="38" fillId="12" borderId="1" xfId="0" applyFont="1" applyFill="1" applyBorder="1" applyAlignment="1">
      <alignment vertical="top" wrapText="1"/>
    </xf>
    <xf numFmtId="0" fontId="19" fillId="12" borderId="1" xfId="0" applyFont="1" applyFill="1" applyBorder="1" applyAlignment="1">
      <alignment vertical="top" wrapText="1"/>
    </xf>
    <xf numFmtId="0" fontId="17" fillId="12" borderId="1" xfId="0" applyFont="1" applyFill="1" applyBorder="1" applyAlignment="1">
      <alignment vertical="top" wrapText="1"/>
    </xf>
    <xf numFmtId="0" fontId="39" fillId="0" borderId="0" xfId="6" applyFont="1" applyAlignment="1">
      <alignment horizontal="center" vertical="center" wrapText="1"/>
    </xf>
    <xf numFmtId="0" fontId="40" fillId="6" borderId="1" xfId="6" applyFont="1" applyFill="1" applyBorder="1" applyAlignment="1">
      <alignment horizontal="center" vertical="center" wrapText="1"/>
    </xf>
    <xf numFmtId="0" fontId="40" fillId="5" borderId="1" xfId="6" applyFont="1" applyFill="1" applyBorder="1" applyAlignment="1">
      <alignment horizontal="center" vertical="center" wrapText="1"/>
    </xf>
    <xf numFmtId="0" fontId="40" fillId="6" borderId="1" xfId="0" applyFont="1" applyFill="1" applyBorder="1" applyAlignment="1">
      <alignment horizontal="center" vertical="center" wrapText="1"/>
    </xf>
    <xf numFmtId="0" fontId="40" fillId="5" borderId="1" xfId="0" applyFont="1" applyFill="1" applyBorder="1" applyAlignment="1">
      <alignment horizontal="center" vertical="center" wrapText="1"/>
    </xf>
    <xf numFmtId="0" fontId="41" fillId="0" borderId="0" xfId="5" applyFont="1" applyAlignment="1">
      <alignment horizontal="center" vertical="center"/>
    </xf>
    <xf numFmtId="0" fontId="42" fillId="0" borderId="0" xfId="5" applyFont="1" applyAlignment="1">
      <alignment horizontal="center" vertical="center"/>
    </xf>
    <xf numFmtId="0" fontId="43" fillId="0" borderId="0" xfId="5" applyFont="1" applyAlignment="1">
      <alignment horizontal="center" vertical="center"/>
    </xf>
    <xf numFmtId="0" fontId="44" fillId="0" borderId="0" xfId="5" applyFont="1"/>
    <xf numFmtId="0" fontId="17" fillId="0" borderId="1" xfId="5" applyFont="1" applyBorder="1" applyAlignment="1">
      <alignment horizontal="center" vertical="center" wrapText="1"/>
    </xf>
    <xf numFmtId="0" fontId="40" fillId="6" borderId="1" xfId="5" applyFont="1" applyFill="1" applyBorder="1" applyAlignment="1">
      <alignment horizontal="center" vertical="center" wrapText="1"/>
    </xf>
    <xf numFmtId="0" fontId="40" fillId="5" borderId="1" xfId="5" applyFont="1" applyFill="1" applyBorder="1" applyAlignment="1">
      <alignment horizontal="center" vertical="center" wrapText="1"/>
    </xf>
    <xf numFmtId="0" fontId="19" fillId="0" borderId="1" xfId="5" applyFont="1" applyBorder="1" applyAlignment="1">
      <alignment vertical="top" wrapText="1"/>
    </xf>
    <xf numFmtId="0" fontId="17" fillId="0" borderId="1" xfId="5" applyFont="1" applyBorder="1" applyAlignment="1">
      <alignment vertical="top" wrapText="1"/>
    </xf>
    <xf numFmtId="0" fontId="19" fillId="0" borderId="1" xfId="5" applyFont="1" applyBorder="1" applyAlignment="1">
      <alignment horizontal="center" vertical="center" wrapText="1"/>
    </xf>
    <xf numFmtId="0" fontId="38" fillId="0" borderId="1" xfId="5" applyFont="1" applyBorder="1" applyAlignment="1">
      <alignment vertical="top" wrapText="1"/>
    </xf>
    <xf numFmtId="0" fontId="45" fillId="0" borderId="1" xfId="5" applyFont="1" applyBorder="1" applyAlignment="1">
      <alignment vertical="top" wrapText="1"/>
    </xf>
    <xf numFmtId="0" fontId="17" fillId="0" borderId="0" xfId="5" applyFont="1" applyAlignment="1">
      <alignment vertical="top" wrapText="1"/>
    </xf>
    <xf numFmtId="0" fontId="2" fillId="0" borderId="1" xfId="5" applyBorder="1"/>
    <xf numFmtId="0" fontId="18" fillId="6" borderId="1" xfId="5" applyFont="1" applyFill="1" applyBorder="1" applyAlignment="1">
      <alignment horizontal="center" vertical="center" wrapText="1"/>
    </xf>
    <xf numFmtId="0" fontId="18" fillId="5" borderId="1" xfId="5" applyFont="1" applyFill="1" applyBorder="1" applyAlignment="1">
      <alignment horizontal="center" vertical="center" wrapText="1"/>
    </xf>
    <xf numFmtId="0" fontId="1" fillId="0" borderId="0" xfId="4"/>
    <xf numFmtId="0" fontId="47" fillId="6" borderId="8" xfId="4" applyFont="1" applyFill="1" applyBorder="1" applyAlignment="1">
      <alignment horizontal="center" vertical="center"/>
    </xf>
    <xf numFmtId="0" fontId="48" fillId="6" borderId="8" xfId="4" applyFont="1" applyFill="1" applyBorder="1" applyAlignment="1">
      <alignment horizontal="left" vertical="center" indent="1"/>
    </xf>
    <xf numFmtId="0" fontId="51" fillId="6" borderId="8" xfId="4" applyFont="1" applyFill="1" applyBorder="1" applyAlignment="1">
      <alignment horizontal="left" vertical="center" indent="1"/>
    </xf>
    <xf numFmtId="0" fontId="51" fillId="0" borderId="8" xfId="4" applyFont="1" applyBorder="1" applyAlignment="1">
      <alignment horizontal="center" vertical="center"/>
    </xf>
    <xf numFmtId="0" fontId="52" fillId="0" borderId="8" xfId="4" applyFont="1" applyBorder="1" applyAlignment="1">
      <alignment horizontal="left" vertical="center" indent="1"/>
    </xf>
    <xf numFmtId="0" fontId="0" fillId="0" borderId="10" xfId="0" applyBorder="1" applyAlignment="1">
      <alignment horizontal="center" vertical="center" wrapText="1"/>
    </xf>
    <xf numFmtId="0" fontId="0" fillId="0" borderId="10" xfId="0" applyBorder="1" applyAlignment="1">
      <alignment horizontal="left" vertical="center" wrapText="1"/>
    </xf>
    <xf numFmtId="0" fontId="1" fillId="0" borderId="0" xfId="0" applyFont="1" applyAlignment="1"/>
    <xf numFmtId="0" fontId="53" fillId="0" borderId="10" xfId="9" applyBorder="1" applyAlignment="1">
      <alignment horizontal="center" vertical="center" wrapText="1"/>
    </xf>
    <xf numFmtId="0" fontId="53" fillId="0" borderId="10" xfId="9" applyBorder="1" applyAlignment="1">
      <alignment horizontal="left" vertical="center" wrapText="1"/>
    </xf>
    <xf numFmtId="0" fontId="0" fillId="0" borderId="0" xfId="0" applyAlignment="1">
      <alignment horizontal="left" vertical="top" wrapText="1"/>
    </xf>
    <xf numFmtId="14" fontId="13" fillId="4" borderId="1" xfId="6" applyNumberFormat="1" applyFont="1" applyFill="1" applyBorder="1" applyAlignment="1">
      <alignment horizontal="center" vertical="center" wrapText="1"/>
    </xf>
    <xf numFmtId="14" fontId="54" fillId="4" borderId="1" xfId="6" applyNumberFormat="1" applyFont="1" applyFill="1" applyBorder="1" applyAlignment="1">
      <alignment horizontal="center" vertical="center" wrapText="1"/>
    </xf>
    <xf numFmtId="0" fontId="3" fillId="0" borderId="10" xfId="0" applyFont="1" applyBorder="1" applyAlignment="1">
      <alignment horizontal="center" vertical="center" wrapText="1"/>
    </xf>
    <xf numFmtId="0" fontId="3" fillId="0" borderId="0" xfId="6" applyAlignment="1">
      <alignment horizontal="center" vertical="center" wrapText="1"/>
    </xf>
    <xf numFmtId="0" fontId="3" fillId="0" borderId="0" xfId="6" applyAlignment="1">
      <alignment wrapText="1"/>
    </xf>
    <xf numFmtId="0" fontId="3" fillId="0" borderId="0" xfId="6" applyAlignment="1">
      <alignment vertical="center" wrapText="1"/>
    </xf>
    <xf numFmtId="0" fontId="17" fillId="14" borderId="1" xfId="0" applyFont="1" applyFill="1" applyBorder="1" applyAlignment="1">
      <alignment horizontal="center" vertical="center" wrapText="1"/>
    </xf>
    <xf numFmtId="0" fontId="18" fillId="15" borderId="1" xfId="0" applyFont="1" applyFill="1" applyBorder="1" applyAlignment="1">
      <alignment horizontal="center" vertical="center" wrapText="1"/>
    </xf>
    <xf numFmtId="0" fontId="18" fillId="16" borderId="1" xfId="0" applyFont="1" applyFill="1" applyBorder="1" applyAlignment="1">
      <alignment horizontal="center" vertical="center" wrapText="1"/>
    </xf>
    <xf numFmtId="0" fontId="19" fillId="14" borderId="1" xfId="0" applyFont="1" applyFill="1" applyBorder="1" applyAlignment="1">
      <alignment vertical="top" wrapText="1"/>
    </xf>
    <xf numFmtId="0" fontId="17" fillId="14" borderId="1" xfId="0" applyFont="1" applyFill="1" applyBorder="1" applyAlignment="1">
      <alignment vertical="top" wrapText="1"/>
    </xf>
    <xf numFmtId="0" fontId="3" fillId="14" borderId="0" xfId="6" applyFill="1">
      <alignment vertical="center"/>
    </xf>
    <xf numFmtId="0" fontId="3" fillId="14" borderId="0" xfId="6" applyFill="1" applyAlignment="1">
      <alignment wrapText="1"/>
    </xf>
    <xf numFmtId="0" fontId="17" fillId="14" borderId="1" xfId="6" applyFont="1" applyFill="1" applyBorder="1" applyAlignment="1">
      <alignment horizontal="center" vertical="center" wrapText="1"/>
    </xf>
    <xf numFmtId="0" fontId="18" fillId="15" borderId="1" xfId="6" applyFont="1" applyFill="1" applyBorder="1" applyAlignment="1">
      <alignment horizontal="center" vertical="center" wrapText="1"/>
    </xf>
    <xf numFmtId="0" fontId="18" fillId="16" borderId="1" xfId="6" applyFont="1" applyFill="1" applyBorder="1" applyAlignment="1">
      <alignment horizontal="center" vertical="center" wrapText="1"/>
    </xf>
    <xf numFmtId="0" fontId="55" fillId="14" borderId="1" xfId="6" applyFont="1" applyFill="1" applyBorder="1" applyAlignment="1">
      <alignment vertical="top" wrapText="1"/>
    </xf>
    <xf numFmtId="0" fontId="19" fillId="14" borderId="1" xfId="6" applyFont="1" applyFill="1" applyBorder="1" applyAlignment="1">
      <alignment vertical="top" wrapText="1"/>
    </xf>
    <xf numFmtId="0" fontId="17" fillId="14" borderId="1" xfId="6" applyFont="1" applyFill="1" applyBorder="1" applyAlignment="1">
      <alignment vertical="top" wrapText="1"/>
    </xf>
    <xf numFmtId="0" fontId="17" fillId="0" borderId="1" xfId="6" applyFont="1" applyBorder="1" applyAlignment="1">
      <alignment horizontal="center" vertical="top" wrapText="1"/>
    </xf>
    <xf numFmtId="0" fontId="17" fillId="0" borderId="1" xfId="0" applyFont="1" applyBorder="1" applyAlignment="1">
      <alignment horizontal="center" vertical="top" wrapText="1"/>
    </xf>
    <xf numFmtId="0" fontId="17" fillId="14" borderId="1" xfId="6" applyFont="1" applyFill="1" applyBorder="1" applyAlignment="1">
      <alignment horizontal="center" vertical="top" wrapText="1"/>
    </xf>
    <xf numFmtId="0" fontId="0" fillId="0" borderId="0" xfId="0" applyAlignment="1">
      <alignment horizontal="center"/>
    </xf>
    <xf numFmtId="0" fontId="3" fillId="0" borderId="0" xfId="6" applyAlignment="1">
      <alignment horizontal="center"/>
    </xf>
    <xf numFmtId="0" fontId="18" fillId="15" borderId="1" xfId="0" applyFont="1" applyFill="1" applyBorder="1" applyAlignment="1">
      <alignment vertical="center" wrapText="1"/>
    </xf>
    <xf numFmtId="0" fontId="38" fillId="14" borderId="1" xfId="0" applyFont="1" applyFill="1" applyBorder="1" applyAlignment="1">
      <alignment vertical="top" wrapText="1"/>
    </xf>
    <xf numFmtId="0" fontId="3" fillId="14" borderId="0" xfId="6" applyFill="1" applyAlignment="1"/>
    <xf numFmtId="0" fontId="40" fillId="15" borderId="1" xfId="0" applyFont="1" applyFill="1" applyBorder="1" applyAlignment="1">
      <alignment horizontal="center" vertical="center" wrapText="1"/>
    </xf>
    <xf numFmtId="0" fontId="40" fillId="16" borderId="1" xfId="0" applyFont="1" applyFill="1" applyBorder="1" applyAlignment="1">
      <alignment horizontal="center" vertical="center" wrapText="1"/>
    </xf>
    <xf numFmtId="0" fontId="0" fillId="14" borderId="0" xfId="0" applyFill="1" applyAlignment="1">
      <alignment wrapText="1"/>
    </xf>
    <xf numFmtId="0" fontId="56" fillId="14" borderId="0" xfId="0" applyFont="1" applyFill="1" applyAlignment="1">
      <alignment vertical="top" wrapText="1"/>
    </xf>
    <xf numFmtId="0" fontId="57" fillId="14" borderId="0" xfId="0" applyFont="1" applyFill="1" applyAlignment="1">
      <alignment vertical="top" wrapText="1"/>
    </xf>
    <xf numFmtId="0" fontId="0" fillId="0" borderId="0" xfId="0" applyAlignment="1">
      <alignment wrapText="1"/>
    </xf>
    <xf numFmtId="0" fontId="56" fillId="0" borderId="0" xfId="0" applyFont="1" applyAlignment="1">
      <alignment vertical="top" wrapText="1"/>
    </xf>
    <xf numFmtId="0" fontId="57" fillId="0" borderId="0" xfId="0" applyFont="1" applyAlignment="1">
      <alignment vertical="top" wrapText="1"/>
    </xf>
    <xf numFmtId="0" fontId="1" fillId="0" borderId="0" xfId="0" applyFont="1" applyAlignment="1">
      <alignment wrapText="1"/>
    </xf>
    <xf numFmtId="0" fontId="0" fillId="0" borderId="0" xfId="0" applyAlignment="1">
      <alignment vertical="center" wrapText="1"/>
    </xf>
    <xf numFmtId="0" fontId="0" fillId="17" borderId="0" xfId="0" applyFill="1" applyAlignment="1">
      <alignment vertical="center" wrapText="1"/>
    </xf>
    <xf numFmtId="0" fontId="3" fillId="17" borderId="0" xfId="6" applyFill="1" applyAlignment="1">
      <alignment vertical="center" wrapText="1"/>
    </xf>
    <xf numFmtId="0" fontId="1" fillId="17" borderId="0" xfId="0" applyFont="1" applyFill="1" applyAlignment="1">
      <alignment vertical="center" wrapText="1"/>
    </xf>
    <xf numFmtId="0" fontId="16" fillId="0" borderId="0" xfId="6" applyFont="1" applyAlignment="1">
      <alignment wrapText="1"/>
    </xf>
    <xf numFmtId="0" fontId="3" fillId="0" borderId="0" xfId="6" applyAlignment="1">
      <alignment horizontal="center" vertical="center" wrapText="1"/>
    </xf>
    <xf numFmtId="0" fontId="3" fillId="0" borderId="0" xfId="6" applyAlignment="1">
      <alignment wrapText="1"/>
    </xf>
    <xf numFmtId="0" fontId="3" fillId="0" borderId="0" xfId="6" applyAlignment="1">
      <alignment vertical="center" wrapText="1"/>
    </xf>
    <xf numFmtId="0" fontId="8" fillId="2" borderId="0" xfId="8" applyFont="1" applyFill="1" applyAlignment="1">
      <alignment horizontal="left" vertical="top" wrapText="1"/>
    </xf>
    <xf numFmtId="0" fontId="4" fillId="0" borderId="0" xfId="8"/>
    <xf numFmtId="0" fontId="7" fillId="2" borderId="0" xfId="8" applyFont="1" applyFill="1" applyAlignment="1">
      <alignment horizontal="left" vertical="center"/>
    </xf>
    <xf numFmtId="0" fontId="10" fillId="2" borderId="0" xfId="8" applyFont="1" applyFill="1" applyAlignment="1">
      <alignment horizontal="left" vertical="center"/>
    </xf>
    <xf numFmtId="0" fontId="5" fillId="2" borderId="0" xfId="8" applyFont="1" applyFill="1" applyAlignment="1">
      <alignment horizontal="left" vertical="center"/>
    </xf>
    <xf numFmtId="0" fontId="6" fillId="2" borderId="0" xfId="8" applyFont="1" applyFill="1" applyAlignment="1">
      <alignment horizontal="left" vertical="center"/>
    </xf>
    <xf numFmtId="0" fontId="9" fillId="3" borderId="0" xfId="8" applyFont="1" applyFill="1" applyAlignment="1">
      <alignment horizontal="center" vertical="center"/>
    </xf>
    <xf numFmtId="0" fontId="14" fillId="5" borderId="1" xfId="5" applyFont="1" applyFill="1" applyBorder="1" applyAlignment="1">
      <alignment horizontal="center" vertical="center" wrapText="1"/>
    </xf>
    <xf numFmtId="0" fontId="0" fillId="0" borderId="11" xfId="0" applyBorder="1" applyAlignment="1"/>
    <xf numFmtId="0" fontId="0" fillId="0" borderId="12" xfId="0" applyBorder="1" applyAlignment="1"/>
    <xf numFmtId="0" fontId="15" fillId="0" borderId="1" xfId="5" applyFont="1" applyBorder="1" applyAlignment="1">
      <alignment horizontal="center" vertical="center" wrapText="1"/>
    </xf>
    <xf numFmtId="0" fontId="15" fillId="5" borderId="1" xfId="5" applyFont="1" applyFill="1" applyBorder="1" applyAlignment="1">
      <alignment horizontal="center" vertical="center" wrapText="1"/>
    </xf>
    <xf numFmtId="0" fontId="14" fillId="0" borderId="1" xfId="5" applyFont="1" applyBorder="1" applyAlignment="1">
      <alignment horizontal="center" vertical="center" wrapText="1"/>
    </xf>
    <xf numFmtId="0" fontId="11" fillId="0" borderId="0" xfId="5" applyFont="1" applyAlignment="1">
      <alignment horizontal="center"/>
    </xf>
    <xf numFmtId="0" fontId="2" fillId="0" borderId="0" xfId="5"/>
    <xf numFmtId="0" fontId="2" fillId="0" borderId="0" xfId="5" applyAlignment="1">
      <alignment horizontal="center" vertical="center"/>
    </xf>
    <xf numFmtId="0" fontId="16" fillId="0" borderId="0" xfId="6" applyFont="1" applyAlignment="1"/>
    <xf numFmtId="0" fontId="3" fillId="0" borderId="0" xfId="6" applyAlignment="1">
      <alignment horizontal="center" vertical="center"/>
    </xf>
    <xf numFmtId="0" fontId="3" fillId="0" borderId="0" xfId="6" applyAlignment="1"/>
    <xf numFmtId="0" fontId="3" fillId="0" borderId="0" xfId="6">
      <alignment vertical="center"/>
    </xf>
    <xf numFmtId="0" fontId="28" fillId="2" borderId="4" xfId="0" applyFont="1" applyFill="1" applyBorder="1" applyAlignment="1">
      <alignment horizontal="left" vertical="center" wrapText="1"/>
    </xf>
    <xf numFmtId="0" fontId="0" fillId="0" borderId="13" xfId="0" applyBorder="1" applyAlignment="1"/>
    <xf numFmtId="0" fontId="0" fillId="0" borderId="14" xfId="0" applyBorder="1" applyAlignment="1"/>
    <xf numFmtId="0" fontId="0" fillId="0" borderId="17" xfId="0" applyBorder="1" applyAlignment="1"/>
    <xf numFmtId="0" fontId="0" fillId="0" borderId="0" xfId="0" applyAlignment="1"/>
    <xf numFmtId="0" fontId="0" fillId="0" borderId="18" xfId="0" applyBorder="1" applyAlignment="1"/>
    <xf numFmtId="0" fontId="0" fillId="0" borderId="19" xfId="0" applyBorder="1" applyAlignment="1"/>
    <xf numFmtId="0" fontId="0" fillId="0" borderId="20" xfId="0" applyBorder="1" applyAlignment="1"/>
    <xf numFmtId="0" fontId="0" fillId="0" borderId="21" xfId="0" applyBorder="1" applyAlignment="1"/>
    <xf numFmtId="0" fontId="30" fillId="2" borderId="6" xfId="0" applyFont="1" applyFill="1" applyBorder="1" applyAlignment="1">
      <alignment horizontal="left" vertical="top" wrapText="1"/>
    </xf>
    <xf numFmtId="0" fontId="0" fillId="0" borderId="22" xfId="0" applyBorder="1" applyAlignment="1"/>
    <xf numFmtId="0" fontId="0" fillId="0" borderId="23" xfId="0" applyBorder="1" applyAlignment="1"/>
    <xf numFmtId="0" fontId="0" fillId="0" borderId="0" xfId="0">
      <alignment vertical="center"/>
    </xf>
    <xf numFmtId="0" fontId="32" fillId="2" borderId="4" xfId="0" applyFont="1" applyFill="1" applyBorder="1" applyAlignment="1">
      <alignment horizontal="left" vertical="top" wrapText="1"/>
    </xf>
    <xf numFmtId="0" fontId="0" fillId="0" borderId="15" xfId="0" applyBorder="1" applyAlignment="1"/>
    <xf numFmtId="0" fontId="0" fillId="0" borderId="16" xfId="0" applyBorder="1" applyAlignment="1"/>
    <xf numFmtId="0" fontId="31" fillId="2" borderId="4" xfId="0" applyFont="1" applyFill="1" applyBorder="1" applyAlignment="1">
      <alignment horizontal="left" vertical="center" wrapText="1"/>
    </xf>
    <xf numFmtId="0" fontId="29" fillId="2" borderId="5" xfId="0" applyFont="1" applyFill="1" applyBorder="1" applyAlignment="1">
      <alignment horizontal="left" vertical="center" wrapText="1" indent="1"/>
    </xf>
    <xf numFmtId="0" fontId="3" fillId="0" borderId="0" xfId="6" applyAlignment="1">
      <alignment horizontal="center"/>
    </xf>
    <xf numFmtId="0" fontId="37" fillId="0" borderId="0" xfId="6" applyFont="1" applyAlignment="1"/>
    <xf numFmtId="0" fontId="39" fillId="0" borderId="0" xfId="6" applyFont="1" applyAlignment="1">
      <alignment horizontal="center" vertical="center" wrapText="1"/>
    </xf>
    <xf numFmtId="0" fontId="42" fillId="0" borderId="0" xfId="5" applyFont="1"/>
    <xf numFmtId="0" fontId="41" fillId="0" borderId="0" xfId="5" applyFont="1" applyAlignment="1">
      <alignment horizontal="center" vertical="center"/>
    </xf>
    <xf numFmtId="0" fontId="37" fillId="0" borderId="0" xfId="5" applyFont="1"/>
    <xf numFmtId="0" fontId="49" fillId="12" borderId="0" xfId="4" applyFont="1" applyFill="1" applyAlignment="1">
      <alignment horizontal="center" vertical="center"/>
    </xf>
    <xf numFmtId="0" fontId="1" fillId="0" borderId="0" xfId="4"/>
    <xf numFmtId="0" fontId="50" fillId="13" borderId="9" xfId="4" applyFont="1" applyFill="1" applyBorder="1" applyAlignment="1">
      <alignment horizontal="center" vertical="center"/>
    </xf>
    <xf numFmtId="0" fontId="0" fillId="0" borderId="25" xfId="0" applyBorder="1" applyAlignment="1"/>
    <xf numFmtId="0" fontId="0" fillId="0" borderId="24" xfId="0" applyBorder="1" applyAlignment="1"/>
    <xf numFmtId="0" fontId="0" fillId="0" borderId="26" xfId="0" applyBorder="1" applyAlignment="1"/>
    <xf numFmtId="0" fontId="0" fillId="0" borderId="27" xfId="0" applyBorder="1" applyAlignment="1"/>
    <xf numFmtId="0" fontId="0" fillId="0" borderId="28" xfId="0" applyBorder="1" applyAlignment="1"/>
    <xf numFmtId="0" fontId="46" fillId="4" borderId="0" xfId="4" applyFont="1" applyFill="1" applyAlignment="1">
      <alignment horizontal="left" vertical="center" indent="1"/>
    </xf>
  </cellXfs>
  <cellStyles count="10">
    <cellStyle name="백분율" xfId="1" builtinId="5"/>
    <cellStyle name="표준" xfId="0" builtinId="0"/>
    <cellStyle name="표준 2" xfId="2" xr:uid="{00000000-0005-0000-0000-000002000000}"/>
    <cellStyle name="표준 3" xfId="3" xr:uid="{00000000-0005-0000-0000-000003000000}"/>
    <cellStyle name="표준 4" xfId="4" xr:uid="{00000000-0005-0000-0000-000004000000}"/>
    <cellStyle name="표준 5" xfId="5" xr:uid="{00000000-0005-0000-0000-000005000000}"/>
    <cellStyle name="표준 6" xfId="6" xr:uid="{00000000-0005-0000-0000-000006000000}"/>
    <cellStyle name="표준 7" xfId="7" xr:uid="{00000000-0005-0000-0000-000007000000}"/>
    <cellStyle name="표준 8" xfId="8" xr:uid="{00000000-0005-0000-0000-000008000000}"/>
    <cellStyle name="표준 9" xfId="9" xr:uid="{00000000-0005-0000-0000-000009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1A1D3A"/>
      <rgbColor rgb="FF808000"/>
      <rgbColor rgb="FF800080"/>
      <rgbColor rgb="FF008080"/>
      <rgbColor rgb="FFB7B7B7"/>
      <rgbColor rgb="FF888888"/>
      <rgbColor rgb="FFAAAAAA"/>
      <rgbColor rgb="FF595959"/>
      <rgbColor rgb="FFFFF2CC"/>
      <rgbColor rgb="FFEDF0F7"/>
      <rgbColor rgb="FF660066"/>
      <rgbColor rgb="FFFF8080"/>
      <rgbColor rgb="FF0066CC"/>
      <rgbColor rgb="FFD9DDE8"/>
      <rgbColor rgb="FF000080"/>
      <rgbColor rgb="FFFF00FF"/>
      <rgbColor rgb="FFFFFF00"/>
      <rgbColor rgb="FF00FFFF"/>
      <rgbColor rgb="FF800080"/>
      <rgbColor rgb="FF800000"/>
      <rgbColor rgb="FF008080"/>
      <rgbColor rgb="FF0000FF"/>
      <rgbColor rgb="FF00B0F0"/>
      <rgbColor rgb="FFF2F2F2"/>
      <rgbColor rgb="FFEDEDED"/>
      <rgbColor rgb="FFF6F7FB"/>
      <rgbColor rgb="FFC9C9C9"/>
      <rgbColor rgb="FFFF99CC"/>
      <rgbColor rgb="FFCC99FF"/>
      <rgbColor rgb="FFD9E2F3"/>
      <rgbColor rgb="FF4255FF"/>
      <rgbColor rgb="FF33CCCC"/>
      <rgbColor rgb="FF99CC00"/>
      <rgbColor rgb="FFFFCC00"/>
      <rgbColor rgb="FFFF9900"/>
      <rgbColor rgb="FFFF5500"/>
      <rgbColor rgb="FF646F8A"/>
      <rgbColor rgb="FFA6A6A6"/>
      <rgbColor rgb="FF1F3864"/>
      <rgbColor rgb="FF00B050"/>
      <rgbColor rgb="FF111111"/>
      <rgbColor rgb="FF1F1F1F"/>
      <rgbColor rgb="FFC65911"/>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1318320</xdr:colOff>
      <xdr:row>6</xdr:row>
      <xdr:rowOff>184320</xdr:rowOff>
    </xdr:from>
    <xdr:to>
      <xdr:col>1</xdr:col>
      <xdr:colOff>3669480</xdr:colOff>
      <xdr:row>7</xdr:row>
      <xdr:rowOff>1841400</xdr:rowOff>
    </xdr:to>
    <xdr:grpSp>
      <xdr:nvGrpSpPr>
        <xdr:cNvPr id="2" name="그룹 5">
          <a:extLst>
            <a:ext uri="{FF2B5EF4-FFF2-40B4-BE49-F238E27FC236}">
              <a16:creationId xmlns:a16="http://schemas.microsoft.com/office/drawing/2014/main" id="{00000000-0008-0000-1300-000002000000}"/>
            </a:ext>
          </a:extLst>
        </xdr:cNvPr>
        <xdr:cNvGrpSpPr/>
      </xdr:nvGrpSpPr>
      <xdr:grpSpPr>
        <a:xfrm>
          <a:off x="1775520" y="1809920"/>
          <a:ext cx="2351160" cy="1898380"/>
          <a:chOff x="1851840" y="1851120"/>
          <a:chExt cx="2351160" cy="1904760"/>
        </a:xfrm>
      </xdr:grpSpPr>
      <xdr:pic>
        <xdr:nvPicPr>
          <xdr:cNvPr id="3" name="그림 4">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1"/>
          <a:stretch>
            <a:fillRect/>
          </a:stretch>
        </xdr:blipFill>
        <xdr:spPr>
          <a:xfrm>
            <a:off x="1851840" y="1851120"/>
            <a:ext cx="2351160" cy="1904760"/>
          </a:xfrm>
          <a:prstGeom prst="rect">
            <a:avLst/>
          </a:prstGeom>
          <a:ln w="0">
            <a:noFill/>
            <a:prstDash val="solid"/>
          </a:ln>
        </xdr:spPr>
      </xdr:pic>
    </xdr:grp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P39"/>
  <sheetViews>
    <sheetView showGridLines="0" zoomScaleNormal="100" workbookViewId="0">
      <selection activeCell="B13" sqref="B13:D13"/>
    </sheetView>
  </sheetViews>
  <sheetFormatPr baseColWidth="10" defaultColWidth="8.83203125" defaultRowHeight="17"/>
  <cols>
    <col min="1" max="1" width="5" style="3" customWidth="1"/>
    <col min="2" max="9" width="12" style="3" customWidth="1"/>
    <col min="10" max="11" width="8.83203125" style="3" customWidth="1"/>
    <col min="12" max="16384" width="8.83203125" style="3"/>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24.75" customHeight="1">
      <c r="A3" s="4"/>
      <c r="B3" s="141" t="s">
        <v>12</v>
      </c>
      <c r="C3" s="138"/>
      <c r="D3" s="138"/>
      <c r="E3" s="138"/>
      <c r="F3" s="138"/>
      <c r="G3" s="138"/>
      <c r="H3" s="138"/>
      <c r="I3" s="138"/>
      <c r="J3" s="4"/>
      <c r="K3" s="4"/>
      <c r="L3" s="4"/>
      <c r="M3" s="4"/>
      <c r="N3" s="4"/>
      <c r="O3" s="4"/>
      <c r="P3" s="4"/>
    </row>
    <row r="4" spans="1:16">
      <c r="A4" s="4"/>
      <c r="B4" s="4"/>
      <c r="C4" s="4"/>
      <c r="D4" s="4"/>
      <c r="E4" s="4"/>
      <c r="F4" s="4"/>
      <c r="G4" s="4"/>
      <c r="H4" s="4"/>
      <c r="I4" s="4"/>
      <c r="J4" s="4"/>
      <c r="K4" s="4"/>
      <c r="L4" s="4"/>
      <c r="M4" s="4"/>
      <c r="N4" s="4"/>
      <c r="O4" s="4"/>
      <c r="P4" s="4"/>
    </row>
    <row r="5" spans="1:16" ht="69.75" customHeight="1">
      <c r="A5" s="4"/>
      <c r="B5" s="142" t="str">
        <f>SUM(목차!F6:F187)&amp;"제"</f>
        <v>1648제</v>
      </c>
      <c r="C5" s="138"/>
      <c r="D5" s="138"/>
      <c r="E5" s="138"/>
      <c r="F5" s="138"/>
      <c r="G5" s="138"/>
      <c r="H5" s="138"/>
      <c r="I5" s="138"/>
      <c r="J5" s="4"/>
      <c r="K5" s="4"/>
      <c r="L5" s="4"/>
      <c r="M5" s="4"/>
      <c r="N5" s="4"/>
      <c r="O5" s="4"/>
      <c r="P5" s="4"/>
    </row>
    <row r="6" spans="1:16">
      <c r="A6" s="4"/>
      <c r="B6" s="4"/>
      <c r="C6" s="4"/>
      <c r="D6" s="4"/>
      <c r="E6" s="4"/>
      <c r="F6" s="4"/>
      <c r="G6" s="4"/>
      <c r="H6" s="4"/>
      <c r="I6" s="4"/>
      <c r="J6" s="4"/>
      <c r="K6" s="4"/>
      <c r="L6" s="4"/>
      <c r="M6" s="4"/>
      <c r="N6" s="4"/>
      <c r="O6" s="4"/>
      <c r="P6" s="4"/>
    </row>
    <row r="7" spans="1:16" ht="54.75" customHeight="1">
      <c r="A7" s="4"/>
      <c r="B7" s="139" t="s">
        <v>13</v>
      </c>
      <c r="C7" s="138"/>
      <c r="D7" s="138"/>
      <c r="E7" s="138"/>
      <c r="F7" s="138"/>
      <c r="G7" s="138"/>
      <c r="H7" s="138"/>
      <c r="I7" s="138"/>
      <c r="J7" s="4"/>
      <c r="K7" s="4"/>
      <c r="L7" s="4"/>
      <c r="M7" s="4"/>
      <c r="N7" s="4"/>
      <c r="O7" s="4"/>
      <c r="P7" s="4"/>
    </row>
    <row r="8" spans="1:16">
      <c r="A8" s="4"/>
      <c r="B8" s="4"/>
      <c r="C8" s="4"/>
      <c r="D8" s="4"/>
      <c r="E8" s="4"/>
      <c r="F8" s="4"/>
      <c r="G8" s="4"/>
      <c r="H8" s="4"/>
      <c r="I8" s="4"/>
      <c r="J8" s="4"/>
      <c r="K8" s="4"/>
      <c r="L8" s="4"/>
      <c r="M8" s="4"/>
      <c r="N8" s="4"/>
      <c r="O8" s="4"/>
      <c r="P8" s="4"/>
    </row>
    <row r="9" spans="1:16" ht="21.75" customHeight="1">
      <c r="A9" s="4"/>
      <c r="B9" s="137" t="str">
        <f>" 실전 문제 "&amp;SUM(목차!F6:F187)&amp;"개로 꿰뚫는 공공조달 실무."</f>
        <v xml:space="preserve"> 실전 문제 1648개로 꿰뚫는 공공조달 실무.</v>
      </c>
      <c r="C9" s="138"/>
      <c r="D9" s="138"/>
      <c r="E9" s="138"/>
      <c r="F9" s="138"/>
      <c r="G9" s="138"/>
      <c r="H9" s="138"/>
      <c r="I9" s="138"/>
      <c r="J9" s="4"/>
      <c r="K9" s="4"/>
      <c r="L9" s="4"/>
      <c r="M9" s="4"/>
      <c r="N9" s="4"/>
      <c r="O9" s="4"/>
      <c r="P9" s="4"/>
    </row>
    <row r="10" spans="1:16" ht="21.75" customHeight="1">
      <c r="A10" s="4"/>
      <c r="B10" s="137" t="s">
        <v>14</v>
      </c>
      <c r="C10" s="138"/>
      <c r="D10" s="138"/>
      <c r="E10" s="138"/>
      <c r="F10" s="138"/>
      <c r="G10" s="138"/>
      <c r="H10" s="138"/>
      <c r="I10" s="138"/>
      <c r="J10" s="4"/>
      <c r="K10" s="4"/>
      <c r="L10" s="4"/>
      <c r="M10" s="4"/>
      <c r="N10" s="4"/>
      <c r="O10" s="4"/>
      <c r="P10" s="4"/>
    </row>
    <row r="11" spans="1:16" ht="60.75" customHeight="1">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row>
    <row r="13" spans="1:16" ht="45" customHeight="1">
      <c r="A13" s="4"/>
      <c r="B13" s="143" t="s">
        <v>15</v>
      </c>
      <c r="C13" s="138"/>
      <c r="D13" s="138"/>
      <c r="E13" s="4"/>
      <c r="F13" s="4"/>
      <c r="G13" s="4"/>
      <c r="H13" s="4"/>
      <c r="I13" s="4"/>
      <c r="J13" s="4"/>
      <c r="K13" s="4"/>
      <c r="L13" s="4"/>
      <c r="M13" s="4"/>
    </row>
    <row r="14" spans="1:16">
      <c r="A14" s="4"/>
      <c r="B14" s="4"/>
      <c r="C14" s="4"/>
      <c r="D14" s="4"/>
      <c r="E14" s="4"/>
      <c r="F14" s="4"/>
      <c r="G14" s="4"/>
      <c r="H14" s="4"/>
      <c r="I14" s="4"/>
      <c r="J14" s="4"/>
      <c r="K14" s="4"/>
      <c r="L14" s="4"/>
      <c r="M14" s="4"/>
    </row>
    <row r="15" spans="1:16">
      <c r="A15" s="4"/>
      <c r="B15" s="4"/>
      <c r="C15" s="4"/>
      <c r="D15" s="4"/>
      <c r="E15" s="4"/>
      <c r="F15" s="4"/>
      <c r="G15" s="4"/>
      <c r="H15" s="4"/>
      <c r="I15" s="4"/>
      <c r="J15" s="4"/>
      <c r="K15" s="4"/>
      <c r="L15" s="4"/>
      <c r="M15" s="4"/>
    </row>
    <row r="16" spans="1:16">
      <c r="A16" s="4"/>
      <c r="B16" s="4"/>
      <c r="C16" s="4"/>
      <c r="D16" s="4"/>
      <c r="E16" s="4"/>
      <c r="F16" s="4"/>
      <c r="G16" s="4"/>
      <c r="H16" s="4"/>
      <c r="I16" s="4"/>
      <c r="J16" s="4"/>
      <c r="K16" s="4"/>
      <c r="L16" s="4"/>
      <c r="M16" s="4"/>
      <c r="N16" s="4"/>
      <c r="O16" s="4"/>
      <c r="P16" s="4"/>
    </row>
    <row r="17" spans="1:16">
      <c r="A17" s="4"/>
      <c r="B17" s="4"/>
      <c r="C17" s="4"/>
      <c r="D17" s="4"/>
      <c r="E17" s="4"/>
      <c r="F17" s="4"/>
      <c r="G17" s="4"/>
      <c r="H17" s="4"/>
      <c r="I17" s="4"/>
      <c r="J17" s="4"/>
      <c r="K17" s="4"/>
      <c r="L17" s="4"/>
      <c r="M17" s="4"/>
      <c r="N17" s="4"/>
      <c r="O17" s="4"/>
      <c r="P17" s="4"/>
    </row>
    <row r="18" spans="1:16">
      <c r="A18" s="4"/>
      <c r="B18" s="4"/>
      <c r="C18" s="4"/>
      <c r="D18" s="4"/>
      <c r="E18" s="4"/>
      <c r="F18" s="4"/>
      <c r="G18" s="4"/>
      <c r="H18" s="4"/>
      <c r="I18" s="4"/>
      <c r="J18" s="4"/>
      <c r="K18" s="4"/>
      <c r="L18" s="4"/>
      <c r="M18" s="4"/>
      <c r="N18" s="4"/>
      <c r="O18" s="4"/>
      <c r="P18" s="4"/>
    </row>
    <row r="19" spans="1:16">
      <c r="A19" s="4"/>
      <c r="B19" s="4"/>
      <c r="C19" s="4"/>
      <c r="D19" s="4"/>
      <c r="E19" s="4"/>
      <c r="F19" s="4"/>
      <c r="G19" s="4"/>
      <c r="H19" s="4"/>
      <c r="I19" s="4"/>
      <c r="J19" s="4"/>
      <c r="K19" s="4"/>
      <c r="L19" s="4"/>
      <c r="M19" s="4"/>
      <c r="N19" s="4"/>
      <c r="O19" s="4"/>
      <c r="P19" s="4"/>
    </row>
    <row r="20" spans="1:16">
      <c r="A20" s="4"/>
      <c r="B20" s="4"/>
      <c r="C20" s="4"/>
      <c r="D20" s="4"/>
      <c r="E20" s="4"/>
      <c r="F20" s="4"/>
      <c r="G20" s="4"/>
      <c r="H20" s="4"/>
      <c r="I20" s="4"/>
      <c r="J20" s="4"/>
      <c r="K20" s="4"/>
      <c r="L20" s="4"/>
      <c r="M20" s="4"/>
      <c r="N20" s="4"/>
      <c r="O20" s="4"/>
      <c r="P20" s="4"/>
    </row>
    <row r="21" spans="1:16">
      <c r="A21" s="4"/>
      <c r="B21" s="4"/>
      <c r="C21" s="4"/>
      <c r="D21" s="4"/>
      <c r="E21" s="4"/>
      <c r="F21" s="4"/>
      <c r="G21" s="4"/>
      <c r="H21" s="4"/>
      <c r="I21" s="4"/>
      <c r="J21" s="4"/>
      <c r="K21" s="4"/>
      <c r="L21" s="4"/>
      <c r="M21" s="4"/>
      <c r="N21" s="4"/>
      <c r="O21" s="4"/>
      <c r="P21" s="4"/>
    </row>
    <row r="22" spans="1:16">
      <c r="A22" s="4"/>
      <c r="B22" s="4"/>
      <c r="C22" s="4"/>
      <c r="D22" s="4"/>
      <c r="E22" s="4"/>
      <c r="F22" s="4"/>
      <c r="G22" s="4"/>
      <c r="H22" s="4"/>
      <c r="I22" s="4"/>
      <c r="J22" s="4"/>
      <c r="K22" s="4"/>
      <c r="L22" s="4"/>
      <c r="M22" s="4"/>
      <c r="N22" s="4"/>
      <c r="O22" s="4"/>
      <c r="P22" s="4"/>
    </row>
    <row r="23" spans="1:16">
      <c r="A23" s="4"/>
      <c r="B23" s="4"/>
      <c r="C23" s="4"/>
      <c r="D23" s="4"/>
      <c r="E23" s="4"/>
      <c r="F23" s="4"/>
      <c r="G23" s="4"/>
      <c r="H23" s="4"/>
      <c r="I23" s="4"/>
      <c r="J23" s="4"/>
      <c r="K23" s="4"/>
      <c r="L23" s="4"/>
      <c r="M23" s="4"/>
      <c r="N23" s="4"/>
      <c r="O23" s="4"/>
      <c r="P23" s="4"/>
    </row>
    <row r="24" spans="1:16">
      <c r="A24" s="4"/>
      <c r="B24" s="4"/>
      <c r="C24" s="4"/>
      <c r="D24" s="4"/>
      <c r="E24" s="4"/>
      <c r="F24" s="4"/>
      <c r="G24" s="4"/>
      <c r="H24" s="4"/>
      <c r="I24" s="4"/>
      <c r="J24" s="4"/>
      <c r="K24" s="4"/>
      <c r="L24" s="4"/>
      <c r="M24" s="4"/>
      <c r="N24" s="4"/>
      <c r="O24" s="4"/>
      <c r="P24" s="4"/>
    </row>
    <row r="25" spans="1:16">
      <c r="A25" s="4"/>
      <c r="B25" s="4"/>
      <c r="C25" s="4"/>
      <c r="D25" s="4"/>
      <c r="E25" s="4"/>
      <c r="F25" s="4"/>
      <c r="G25" s="4"/>
      <c r="H25" s="4"/>
      <c r="I25" s="4"/>
      <c r="J25" s="4"/>
      <c r="K25" s="4"/>
      <c r="L25" s="4"/>
      <c r="M25" s="4"/>
      <c r="N25" s="4"/>
      <c r="O25" s="4"/>
      <c r="P25" s="4"/>
    </row>
    <row r="26" spans="1:16">
      <c r="A26" s="4"/>
      <c r="B26" s="4"/>
      <c r="C26" s="4"/>
      <c r="D26" s="4"/>
      <c r="E26" s="4"/>
      <c r="F26" s="4"/>
      <c r="G26" s="4"/>
      <c r="H26" s="4"/>
      <c r="I26" s="4"/>
      <c r="J26" s="4"/>
      <c r="K26" s="4"/>
      <c r="L26" s="4"/>
      <c r="M26" s="4"/>
      <c r="N26" s="4"/>
      <c r="O26" s="4"/>
      <c r="P26" s="4"/>
    </row>
    <row r="27" spans="1:16">
      <c r="A27" s="4"/>
      <c r="B27" s="4"/>
      <c r="C27" s="4"/>
      <c r="D27" s="4"/>
      <c r="E27" s="4"/>
      <c r="F27" s="4"/>
      <c r="G27" s="4"/>
      <c r="H27" s="4"/>
      <c r="I27" s="4"/>
      <c r="J27" s="4"/>
      <c r="K27" s="4"/>
      <c r="L27" s="4"/>
      <c r="M27" s="4"/>
      <c r="N27" s="4"/>
      <c r="O27" s="4"/>
      <c r="P27" s="4"/>
    </row>
    <row r="28" spans="1:16">
      <c r="A28" s="4"/>
      <c r="B28" s="4"/>
      <c r="C28" s="4"/>
      <c r="D28" s="4"/>
      <c r="E28" s="4"/>
      <c r="F28" s="4"/>
      <c r="G28" s="4"/>
      <c r="H28" s="4"/>
      <c r="I28" s="4"/>
      <c r="J28" s="4"/>
      <c r="K28" s="4"/>
      <c r="L28" s="4"/>
      <c r="M28" s="4"/>
      <c r="N28" s="4"/>
      <c r="O28" s="4"/>
      <c r="P28" s="4"/>
    </row>
    <row r="29" spans="1:16">
      <c r="A29" s="4"/>
      <c r="B29" s="4"/>
      <c r="C29" s="4"/>
      <c r="D29" s="4"/>
      <c r="E29" s="4"/>
      <c r="F29" s="4"/>
      <c r="G29" s="4"/>
      <c r="H29" s="4"/>
      <c r="I29" s="4"/>
      <c r="J29" s="4"/>
      <c r="K29" s="4"/>
      <c r="L29" s="4"/>
      <c r="M29" s="4"/>
      <c r="N29" s="4"/>
      <c r="O29" s="4"/>
      <c r="P29" s="4"/>
    </row>
    <row r="30" spans="1:16">
      <c r="A30" s="4"/>
      <c r="B30" s="4"/>
      <c r="C30" s="4"/>
      <c r="D30" s="4"/>
      <c r="E30" s="4"/>
      <c r="F30" s="4"/>
      <c r="G30" s="4"/>
      <c r="H30" s="4"/>
      <c r="I30" s="4"/>
      <c r="J30" s="4"/>
      <c r="K30" s="4"/>
      <c r="L30" s="4"/>
      <c r="M30" s="4"/>
      <c r="N30" s="4"/>
      <c r="O30" s="4"/>
      <c r="P30" s="4"/>
    </row>
    <row r="31" spans="1:16">
      <c r="A31" s="4"/>
      <c r="B31" s="4"/>
      <c r="C31" s="4"/>
      <c r="D31" s="4"/>
      <c r="E31" s="4"/>
      <c r="F31" s="4"/>
      <c r="G31" s="4"/>
      <c r="H31" s="4"/>
      <c r="I31" s="4"/>
      <c r="J31" s="4"/>
      <c r="K31" s="4"/>
      <c r="L31" s="4"/>
      <c r="M31" s="4"/>
      <c r="N31" s="4"/>
      <c r="O31" s="4"/>
      <c r="P31" s="4"/>
    </row>
    <row r="32" spans="1:16">
      <c r="A32" s="4"/>
      <c r="B32" s="4"/>
      <c r="C32" s="4"/>
      <c r="D32" s="4"/>
      <c r="E32" s="4"/>
      <c r="F32" s="4"/>
      <c r="G32" s="4"/>
      <c r="H32" s="4"/>
      <c r="I32" s="4"/>
      <c r="J32" s="4"/>
      <c r="K32" s="4"/>
      <c r="L32" s="4"/>
      <c r="M32" s="4"/>
      <c r="N32" s="4"/>
      <c r="O32" s="4"/>
      <c r="P32" s="4"/>
    </row>
    <row r="33" spans="1:16">
      <c r="A33" s="4"/>
      <c r="B33" s="4"/>
      <c r="C33" s="4"/>
      <c r="D33" s="4"/>
      <c r="E33" s="4"/>
      <c r="F33" s="4"/>
      <c r="G33" s="4"/>
      <c r="H33" s="4"/>
      <c r="I33" s="4"/>
      <c r="J33" s="4"/>
      <c r="K33" s="4"/>
      <c r="L33" s="4"/>
      <c r="M33" s="4"/>
      <c r="N33" s="4"/>
      <c r="O33" s="4"/>
      <c r="P33" s="4"/>
    </row>
    <row r="34" spans="1:16">
      <c r="A34" s="4"/>
      <c r="B34" s="140"/>
      <c r="C34" s="138"/>
      <c r="D34" s="138"/>
      <c r="E34" s="138"/>
      <c r="F34" s="138"/>
      <c r="G34" s="138"/>
      <c r="H34" s="138"/>
      <c r="I34" s="138"/>
      <c r="J34" s="4"/>
      <c r="K34" s="4"/>
      <c r="L34" s="4"/>
      <c r="M34" s="4"/>
      <c r="N34" s="4"/>
      <c r="O34" s="4"/>
      <c r="P34" s="4"/>
    </row>
    <row r="35" spans="1:16">
      <c r="A35" s="4"/>
      <c r="B35" s="4"/>
      <c r="C35" s="4"/>
      <c r="D35" s="4"/>
      <c r="E35" s="4"/>
      <c r="F35" s="4"/>
      <c r="G35" s="4"/>
      <c r="H35" s="4"/>
      <c r="I35" s="4"/>
      <c r="J35" s="4"/>
      <c r="K35" s="4"/>
      <c r="L35" s="4"/>
      <c r="M35" s="4"/>
      <c r="N35" s="4"/>
      <c r="O35" s="4"/>
      <c r="P35" s="4"/>
    </row>
    <row r="36" spans="1:16">
      <c r="A36" s="4"/>
      <c r="B36" s="4"/>
      <c r="C36" s="4"/>
      <c r="D36" s="4"/>
      <c r="E36" s="4"/>
      <c r="F36" s="4"/>
      <c r="G36" s="4"/>
      <c r="H36" s="4"/>
      <c r="I36" s="4"/>
      <c r="J36" s="4"/>
      <c r="K36" s="4"/>
      <c r="L36" s="4"/>
      <c r="M36" s="4"/>
      <c r="N36" s="4"/>
      <c r="O36" s="4"/>
      <c r="P36" s="4"/>
    </row>
    <row r="37" spans="1:16">
      <c r="A37" s="4"/>
      <c r="B37" s="4"/>
      <c r="C37" s="4"/>
      <c r="D37" s="4"/>
      <c r="E37" s="4"/>
      <c r="F37" s="4"/>
      <c r="G37" s="4"/>
      <c r="H37" s="4"/>
      <c r="I37" s="4"/>
      <c r="J37" s="4"/>
      <c r="K37" s="4"/>
      <c r="L37" s="4"/>
      <c r="M37" s="4"/>
      <c r="N37" s="4"/>
      <c r="O37" s="4"/>
      <c r="P37" s="4"/>
    </row>
    <row r="38" spans="1:16">
      <c r="A38" s="4"/>
      <c r="B38" s="4"/>
      <c r="C38" s="4"/>
      <c r="D38" s="4"/>
      <c r="E38" s="4"/>
      <c r="F38" s="4"/>
      <c r="G38" s="4"/>
      <c r="H38" s="4"/>
      <c r="I38" s="4"/>
      <c r="J38" s="4"/>
      <c r="K38" s="4"/>
      <c r="L38" s="4"/>
      <c r="M38" s="4"/>
      <c r="N38" s="4"/>
      <c r="O38" s="4"/>
      <c r="P38" s="4"/>
    </row>
    <row r="39" spans="1:16">
      <c r="A39" s="4"/>
      <c r="B39" s="4"/>
      <c r="C39" s="4"/>
      <c r="D39" s="4"/>
      <c r="E39" s="4"/>
      <c r="F39" s="4"/>
      <c r="G39" s="4"/>
      <c r="H39" s="4"/>
      <c r="I39" s="4"/>
      <c r="J39" s="4"/>
      <c r="K39" s="4"/>
      <c r="L39" s="4"/>
      <c r="M39" s="4"/>
      <c r="N39" s="4"/>
      <c r="O39" s="4"/>
      <c r="P39" s="4"/>
    </row>
  </sheetData>
  <mergeCells count="7">
    <mergeCell ref="B9:I9"/>
    <mergeCell ref="B7:I7"/>
    <mergeCell ref="B34:I34"/>
    <mergeCell ref="B10:I10"/>
    <mergeCell ref="B3:I3"/>
    <mergeCell ref="B5:I5"/>
    <mergeCell ref="B13:D13"/>
  </mergeCells>
  <phoneticPr fontId="58" type="noConversion"/>
  <hyperlinks>
    <hyperlink ref="B13" location="'퀴즈 모드'!A1" display="▶ 지금 바로 풀어보기" xr:uid="{00000000-0004-0000-0000-000000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L187"/>
  <sheetViews>
    <sheetView showGridLines="0" zoomScaleNormal="100" workbookViewId="0">
      <pane ySplit="5" topLeftCell="A33" activePane="bottomLeft" state="frozen"/>
      <selection pane="bottomLeft" activeCell="D53" sqref="D53"/>
    </sheetView>
  </sheetViews>
  <sheetFormatPr baseColWidth="10" defaultColWidth="8.6640625" defaultRowHeight="15"/>
  <cols>
    <col min="1" max="1" width="16.5" style="5" customWidth="1"/>
    <col min="2" max="2" width="22" style="5" customWidth="1"/>
    <col min="3" max="3" width="26.6640625" style="5" customWidth="1"/>
    <col min="4" max="4" width="42.6640625" style="5" customWidth="1"/>
    <col min="5" max="5" width="22" style="5" customWidth="1"/>
    <col min="6" max="6" width="13" style="6" customWidth="1"/>
    <col min="7" max="8" width="8.6640625" style="5" customWidth="1"/>
    <col min="9" max="16384" width="8.6640625" style="5"/>
  </cols>
  <sheetData>
    <row r="2" spans="1:12" ht="26.25" customHeight="1">
      <c r="A2" s="150" t="s">
        <v>16</v>
      </c>
      <c r="B2" s="151"/>
      <c r="C2" s="151"/>
      <c r="D2" s="151"/>
      <c r="E2" s="151"/>
      <c r="F2" s="152"/>
    </row>
    <row r="3" spans="1:12">
      <c r="A3" s="7" t="s">
        <v>17</v>
      </c>
      <c r="F3" s="5"/>
    </row>
    <row r="5" spans="1:12" ht="19.5" customHeight="1">
      <c r="A5" s="8" t="s">
        <v>18</v>
      </c>
      <c r="B5" s="8" t="s">
        <v>19</v>
      </c>
      <c r="C5" s="8" t="s">
        <v>1</v>
      </c>
      <c r="D5" s="8" t="s">
        <v>2</v>
      </c>
      <c r="E5" s="8" t="s">
        <v>20</v>
      </c>
      <c r="F5" s="8" t="s">
        <v>21</v>
      </c>
    </row>
    <row r="6" spans="1:12" ht="17.25" customHeight="1">
      <c r="A6" s="144" t="s">
        <v>22</v>
      </c>
      <c r="B6" s="144" t="s">
        <v>23</v>
      </c>
      <c r="C6" s="148" t="s">
        <v>24</v>
      </c>
      <c r="D6" s="9" t="s">
        <v>25</v>
      </c>
      <c r="E6" s="148" t="s">
        <v>26</v>
      </c>
      <c r="F6" s="1">
        <f>COUNTIF('1-1_공공조달개요'!A:L,목차!D6)</f>
        <v>16</v>
      </c>
      <c r="L6" s="5" t="s">
        <v>26</v>
      </c>
    </row>
    <row r="7" spans="1:12" ht="14.25" customHeight="1">
      <c r="A7" s="145"/>
      <c r="B7" s="145"/>
      <c r="C7" s="145"/>
      <c r="D7" s="9" t="s">
        <v>27</v>
      </c>
      <c r="E7" s="145"/>
      <c r="F7" s="1">
        <f>COUNTIF('1-1_공공조달개요'!A:L,목차!D7)</f>
        <v>17</v>
      </c>
      <c r="L7" s="5" t="s">
        <v>28</v>
      </c>
    </row>
    <row r="8" spans="1:12" ht="14.25" customHeight="1">
      <c r="A8" s="145"/>
      <c r="B8" s="145"/>
      <c r="C8" s="146"/>
      <c r="D8" s="9" t="s">
        <v>29</v>
      </c>
      <c r="E8" s="145"/>
      <c r="F8" s="1">
        <f>COUNTIF('1-1_공공조달개요'!A:L,목차!D8)</f>
        <v>11</v>
      </c>
      <c r="L8" s="5" t="s">
        <v>30</v>
      </c>
    </row>
    <row r="9" spans="1:12" ht="17.25" customHeight="1">
      <c r="A9" s="145"/>
      <c r="B9" s="145"/>
      <c r="C9" s="148" t="s">
        <v>31</v>
      </c>
      <c r="D9" s="9" t="s">
        <v>32</v>
      </c>
      <c r="E9" s="145"/>
      <c r="F9" s="1">
        <f>COUNTIF('1-1_공공조달개요'!A:L,목차!D9)</f>
        <v>5</v>
      </c>
      <c r="L9" s="5" t="s">
        <v>33</v>
      </c>
    </row>
    <row r="10" spans="1:12" ht="14.25" customHeight="1">
      <c r="A10" s="145"/>
      <c r="B10" s="145"/>
      <c r="C10" s="145"/>
      <c r="D10" s="9" t="s">
        <v>34</v>
      </c>
      <c r="E10" s="145"/>
      <c r="F10" s="1">
        <f>COUNTIF('1-1_공공조달개요'!A:L,목차!D10)</f>
        <v>5</v>
      </c>
      <c r="L10" s="5" t="s">
        <v>35</v>
      </c>
    </row>
    <row r="11" spans="1:12" ht="14.25" customHeight="1">
      <c r="A11" s="145"/>
      <c r="B11" s="145"/>
      <c r="C11" s="146"/>
      <c r="D11" s="9" t="s">
        <v>36</v>
      </c>
      <c r="E11" s="145"/>
      <c r="F11" s="1">
        <f>COUNTIF('1-1_공공조달개요'!A:L,목차!D11)</f>
        <v>12</v>
      </c>
      <c r="L11" s="5" t="s">
        <v>37</v>
      </c>
    </row>
    <row r="12" spans="1:12" ht="17.25" customHeight="1">
      <c r="A12" s="145"/>
      <c r="B12" s="145"/>
      <c r="C12" s="148" t="s">
        <v>38</v>
      </c>
      <c r="D12" s="9" t="s">
        <v>39</v>
      </c>
      <c r="E12" s="145"/>
      <c r="F12" s="1">
        <f>COUNTIF('1-1_공공조달개요'!A:L,목차!D12)</f>
        <v>7</v>
      </c>
      <c r="L12" s="5" t="s">
        <v>40</v>
      </c>
    </row>
    <row r="13" spans="1:12" ht="14.25" customHeight="1">
      <c r="A13" s="145"/>
      <c r="B13" s="145"/>
      <c r="C13" s="146"/>
      <c r="D13" s="9" t="s">
        <v>41</v>
      </c>
      <c r="E13" s="145"/>
      <c r="F13" s="1">
        <f>COUNTIF('1-1_공공조달개요'!A:L,목차!D13)</f>
        <v>23</v>
      </c>
      <c r="L13" s="5" t="s">
        <v>42</v>
      </c>
    </row>
    <row r="14" spans="1:12" ht="17.25" customHeight="1">
      <c r="A14" s="145"/>
      <c r="B14" s="145"/>
      <c r="C14" s="148" t="s">
        <v>43</v>
      </c>
      <c r="D14" s="9" t="s">
        <v>44</v>
      </c>
      <c r="E14" s="145"/>
      <c r="F14" s="1">
        <f>COUNTIF('1-1_공공조달개요'!A:L,목차!D14)</f>
        <v>13</v>
      </c>
      <c r="L14" s="5" t="s">
        <v>45</v>
      </c>
    </row>
    <row r="15" spans="1:12" ht="14.25" customHeight="1">
      <c r="A15" s="145"/>
      <c r="B15" s="146"/>
      <c r="C15" s="146"/>
      <c r="D15" s="9" t="s">
        <v>46</v>
      </c>
      <c r="E15" s="146"/>
      <c r="F15" s="1">
        <f>COUNTIF('1-1_공공조달개요'!A:L,목차!D15)</f>
        <v>10</v>
      </c>
      <c r="L15" s="5" t="s">
        <v>47</v>
      </c>
    </row>
    <row r="16" spans="1:12" ht="17.25" customHeight="1">
      <c r="A16" s="145"/>
      <c r="B16" s="149" t="s">
        <v>48</v>
      </c>
      <c r="C16" s="147" t="s">
        <v>49</v>
      </c>
      <c r="D16" s="11" t="s">
        <v>50</v>
      </c>
      <c r="E16" s="147" t="s">
        <v>28</v>
      </c>
      <c r="F16" s="10">
        <f>COUNTIF('1-2_원칙및방법'!A:L,목차!D16)</f>
        <v>26</v>
      </c>
      <c r="L16" s="5" t="s">
        <v>51</v>
      </c>
    </row>
    <row r="17" spans="1:12" ht="14.25" customHeight="1">
      <c r="A17" s="145"/>
      <c r="B17" s="145"/>
      <c r="C17" s="146"/>
      <c r="D17" s="11" t="s">
        <v>52</v>
      </c>
      <c r="E17" s="145"/>
      <c r="F17" s="10">
        <f>COUNTIF('1-2_원칙및방법'!A:L,목차!D17)</f>
        <v>6</v>
      </c>
      <c r="L17" s="5" t="s">
        <v>53</v>
      </c>
    </row>
    <row r="18" spans="1:12" ht="17.25" customHeight="1">
      <c r="A18" s="145"/>
      <c r="B18" s="145"/>
      <c r="C18" s="147" t="s">
        <v>54</v>
      </c>
      <c r="D18" s="11" t="s">
        <v>55</v>
      </c>
      <c r="E18" s="145"/>
      <c r="F18" s="10">
        <f>COUNTIF('1-2_원칙및방법'!A:L,목차!D18)</f>
        <v>12</v>
      </c>
      <c r="L18" s="5" t="s">
        <v>56</v>
      </c>
    </row>
    <row r="19" spans="1:12">
      <c r="A19" s="145"/>
      <c r="B19" s="145"/>
      <c r="C19" s="146"/>
      <c r="D19" s="11" t="s">
        <v>57</v>
      </c>
      <c r="E19" s="145"/>
      <c r="F19" s="10">
        <f>COUNTIF('1-2_원칙및방법'!A:L,목차!D19)</f>
        <v>6</v>
      </c>
      <c r="L19" s="5" t="s">
        <v>58</v>
      </c>
    </row>
    <row r="20" spans="1:12" ht="17.25" customHeight="1">
      <c r="A20" s="145"/>
      <c r="B20" s="145"/>
      <c r="C20" s="147" t="s">
        <v>59</v>
      </c>
      <c r="D20" s="11" t="s">
        <v>60</v>
      </c>
      <c r="E20" s="145"/>
      <c r="F20" s="10">
        <f>COUNTIF('1-2_원칙및방법'!A:L,목차!D20)</f>
        <v>20</v>
      </c>
    </row>
    <row r="21" spans="1:12">
      <c r="A21" s="145"/>
      <c r="B21" s="145"/>
      <c r="C21" s="145"/>
      <c r="D21" s="11" t="s">
        <v>61</v>
      </c>
      <c r="E21" s="145"/>
      <c r="F21" s="10">
        <f>COUNTIF('1-2_원칙및방법'!A:L,목차!D21)</f>
        <v>9</v>
      </c>
    </row>
    <row r="22" spans="1:12">
      <c r="A22" s="145"/>
      <c r="B22" s="145"/>
      <c r="C22" s="146"/>
      <c r="D22" s="11" t="s">
        <v>62</v>
      </c>
      <c r="E22" s="145"/>
      <c r="F22" s="10">
        <f>COUNTIF('1-2_원칙및방법'!A:L,목차!D22)</f>
        <v>6</v>
      </c>
    </row>
    <row r="23" spans="1:12" ht="17.25" customHeight="1">
      <c r="A23" s="145"/>
      <c r="B23" s="145"/>
      <c r="C23" s="147" t="s">
        <v>63</v>
      </c>
      <c r="D23" s="11" t="s">
        <v>64</v>
      </c>
      <c r="E23" s="145"/>
      <c r="F23" s="10">
        <f>COUNTIF('1-2_원칙및방법'!A:L,목차!D23)</f>
        <v>27</v>
      </c>
    </row>
    <row r="24" spans="1:12">
      <c r="A24" s="145"/>
      <c r="B24" s="146"/>
      <c r="C24" s="146"/>
      <c r="D24" s="11" t="s">
        <v>65</v>
      </c>
      <c r="E24" s="146"/>
      <c r="F24" s="10">
        <f>COUNTIF('1-2_원칙및방법'!A:L,목차!D24)</f>
        <v>9</v>
      </c>
    </row>
    <row r="25" spans="1:12" ht="17.25" customHeight="1">
      <c r="A25" s="145"/>
      <c r="B25" s="144" t="s">
        <v>66</v>
      </c>
      <c r="C25" s="148" t="s">
        <v>67</v>
      </c>
      <c r="D25" s="9" t="s">
        <v>68</v>
      </c>
      <c r="E25" s="148" t="s">
        <v>30</v>
      </c>
      <c r="F25" s="1">
        <f>COUNTIF('1-3_전자조달시스템'!A:L,목차!D25)</f>
        <v>7</v>
      </c>
    </row>
    <row r="26" spans="1:12">
      <c r="A26" s="145"/>
      <c r="B26" s="145"/>
      <c r="C26" s="145"/>
      <c r="D26" s="9" t="s">
        <v>69</v>
      </c>
      <c r="E26" s="145"/>
      <c r="F26" s="1">
        <f>COUNTIF('1-3_전자조달시스템'!A:L,목차!D26)</f>
        <v>3</v>
      </c>
    </row>
    <row r="27" spans="1:12">
      <c r="A27" s="145"/>
      <c r="B27" s="145"/>
      <c r="C27" s="145"/>
      <c r="D27" s="9" t="s">
        <v>70</v>
      </c>
      <c r="E27" s="145"/>
      <c r="F27" s="1">
        <f>COUNTIF('1-3_전자조달시스템'!A:L,목차!D27)</f>
        <v>5</v>
      </c>
    </row>
    <row r="28" spans="1:12">
      <c r="A28" s="145"/>
      <c r="B28" s="145"/>
      <c r="C28" s="145"/>
      <c r="D28" s="9" t="s">
        <v>71</v>
      </c>
      <c r="E28" s="145"/>
      <c r="F28" s="1">
        <f>COUNTIF('1-3_전자조달시스템'!A:L,목차!D28)</f>
        <v>3</v>
      </c>
    </row>
    <row r="29" spans="1:12">
      <c r="A29" s="145"/>
      <c r="B29" s="145"/>
      <c r="C29" s="145"/>
      <c r="D29" s="9" t="s">
        <v>72</v>
      </c>
      <c r="E29" s="145"/>
      <c r="F29" s="1">
        <f>COUNTIF('1-3_전자조달시스템'!A:L,목차!D29)</f>
        <v>6</v>
      </c>
    </row>
    <row r="30" spans="1:12">
      <c r="A30" s="145"/>
      <c r="B30" s="145"/>
      <c r="C30" s="146"/>
      <c r="D30" s="9" t="s">
        <v>73</v>
      </c>
      <c r="E30" s="145"/>
      <c r="F30" s="1">
        <f>COUNTIF('1-3_전자조달시스템'!A:L,목차!D30)</f>
        <v>7</v>
      </c>
    </row>
    <row r="31" spans="1:12" ht="17.25" customHeight="1">
      <c r="A31" s="145"/>
      <c r="B31" s="145"/>
      <c r="C31" s="148" t="s">
        <v>74</v>
      </c>
      <c r="D31" s="9" t="s">
        <v>75</v>
      </c>
      <c r="E31" s="145"/>
      <c r="F31" s="1">
        <f>COUNTIF('1-3_전자조달시스템'!A:L,목차!D31)</f>
        <v>16</v>
      </c>
    </row>
    <row r="32" spans="1:12">
      <c r="A32" s="145"/>
      <c r="B32" s="145"/>
      <c r="C32" s="145"/>
      <c r="D32" s="9" t="s">
        <v>76</v>
      </c>
      <c r="E32" s="145"/>
      <c r="F32" s="1">
        <f>COUNTIF('1-3_전자조달시스템'!A:L,목차!D32)</f>
        <v>3</v>
      </c>
    </row>
    <row r="33" spans="1:6">
      <c r="A33" s="145"/>
      <c r="B33" s="145"/>
      <c r="C33" s="145"/>
      <c r="D33" s="9" t="s">
        <v>77</v>
      </c>
      <c r="E33" s="145"/>
      <c r="F33" s="1">
        <f>COUNTIF('1-3_전자조달시스템'!A:L,목차!D33)</f>
        <v>8</v>
      </c>
    </row>
    <row r="34" spans="1:6">
      <c r="A34" s="145"/>
      <c r="B34" s="145"/>
      <c r="C34" s="145"/>
      <c r="D34" s="9" t="s">
        <v>78</v>
      </c>
      <c r="E34" s="145"/>
      <c r="F34" s="1">
        <f>COUNTIF('1-3_전자조달시스템'!A:L,목차!D34)</f>
        <v>1</v>
      </c>
    </row>
    <row r="35" spans="1:6">
      <c r="A35" s="145"/>
      <c r="B35" s="145"/>
      <c r="C35" s="146"/>
      <c r="D35" s="9" t="s">
        <v>79</v>
      </c>
      <c r="E35" s="145"/>
      <c r="F35" s="1">
        <f>COUNTIF('1-3_전자조달시스템'!A:L,목차!D35)</f>
        <v>2</v>
      </c>
    </row>
    <row r="36" spans="1:6" ht="17.25" customHeight="1">
      <c r="A36" s="145"/>
      <c r="B36" s="145"/>
      <c r="C36" s="148" t="s">
        <v>80</v>
      </c>
      <c r="D36" s="9" t="s">
        <v>81</v>
      </c>
      <c r="E36" s="145"/>
      <c r="F36" s="1">
        <f>COUNTIF('1-3_전자조달시스템'!A:L,목차!D36)</f>
        <v>7</v>
      </c>
    </row>
    <row r="37" spans="1:6">
      <c r="A37" s="145"/>
      <c r="B37" s="145"/>
      <c r="C37" s="145"/>
      <c r="D37" s="9" t="s">
        <v>82</v>
      </c>
      <c r="E37" s="145"/>
      <c r="F37" s="1">
        <f>COUNTIF('1-3_전자조달시스템'!A:L,목차!D37)</f>
        <v>7</v>
      </c>
    </row>
    <row r="38" spans="1:6">
      <c r="A38" s="145"/>
      <c r="B38" s="145"/>
      <c r="C38" s="145"/>
      <c r="D38" s="9" t="s">
        <v>83</v>
      </c>
      <c r="E38" s="145"/>
      <c r="F38" s="1">
        <f>COUNTIF('1-3_전자조달시스템'!A:L,목차!D38)</f>
        <v>4</v>
      </c>
    </row>
    <row r="39" spans="1:6" ht="27" customHeight="1">
      <c r="A39" s="145"/>
      <c r="B39" s="145"/>
      <c r="C39" s="145"/>
      <c r="D39" s="9" t="s">
        <v>84</v>
      </c>
      <c r="E39" s="145"/>
      <c r="F39" s="1">
        <f>COUNTIF('1-3_전자조달시스템'!A:L,목차!D39)</f>
        <v>9</v>
      </c>
    </row>
    <row r="40" spans="1:6">
      <c r="A40" s="145"/>
      <c r="B40" s="145"/>
      <c r="C40" s="145"/>
      <c r="D40" s="9" t="s">
        <v>85</v>
      </c>
      <c r="E40" s="145"/>
      <c r="F40" s="1">
        <f>COUNTIF('1-3_전자조달시스템'!A:L,목차!D40)</f>
        <v>2</v>
      </c>
    </row>
    <row r="41" spans="1:6">
      <c r="A41" s="145"/>
      <c r="B41" s="146"/>
      <c r="C41" s="146"/>
      <c r="D41" s="9" t="s">
        <v>86</v>
      </c>
      <c r="E41" s="146"/>
      <c r="F41" s="1">
        <f>COUNTIF('1-3_전자조달시스템'!A:L,목차!D41)</f>
        <v>1</v>
      </c>
    </row>
    <row r="42" spans="1:6" ht="17.25" customHeight="1">
      <c r="A42" s="145"/>
      <c r="B42" s="149" t="s">
        <v>87</v>
      </c>
      <c r="C42" s="147" t="s">
        <v>88</v>
      </c>
      <c r="D42" s="11" t="s">
        <v>89</v>
      </c>
      <c r="E42" s="147" t="s">
        <v>33</v>
      </c>
      <c r="F42" s="10">
        <f>COUNTIF('1-4_전략적공공조달'!A:L,목차!D42)</f>
        <v>8</v>
      </c>
    </row>
    <row r="43" spans="1:6">
      <c r="A43" s="145"/>
      <c r="B43" s="145"/>
      <c r="C43" s="145"/>
      <c r="D43" s="11" t="s">
        <v>90</v>
      </c>
      <c r="E43" s="145"/>
      <c r="F43" s="10">
        <f>COUNTIF('1-4_전략적공공조달'!A:L,목차!D43)</f>
        <v>9</v>
      </c>
    </row>
    <row r="44" spans="1:6">
      <c r="A44" s="145"/>
      <c r="B44" s="145"/>
      <c r="C44" s="146"/>
      <c r="D44" s="11" t="s">
        <v>91</v>
      </c>
      <c r="E44" s="145"/>
      <c r="F44" s="10">
        <f>COUNTIF('1-4_전략적공공조달'!A:L,목차!D44)</f>
        <v>4</v>
      </c>
    </row>
    <row r="45" spans="1:6" ht="17.25" customHeight="1">
      <c r="A45" s="145"/>
      <c r="B45" s="145"/>
      <c r="C45" s="147" t="s">
        <v>92</v>
      </c>
      <c r="D45" s="11" t="s">
        <v>93</v>
      </c>
      <c r="E45" s="145"/>
      <c r="F45" s="10">
        <f>COUNTIF('1-4_전략적공공조달'!A:L,목차!D45)</f>
        <v>7</v>
      </c>
    </row>
    <row r="46" spans="1:6">
      <c r="A46" s="145"/>
      <c r="B46" s="145"/>
      <c r="C46" s="145"/>
      <c r="D46" s="11" t="s">
        <v>94</v>
      </c>
      <c r="E46" s="145"/>
      <c r="F46" s="10">
        <f>COUNTIF('1-4_전략적공공조달'!A:L,목차!D46)</f>
        <v>10</v>
      </c>
    </row>
    <row r="47" spans="1:6">
      <c r="A47" s="145"/>
      <c r="B47" s="145"/>
      <c r="C47" s="146"/>
      <c r="D47" s="11" t="s">
        <v>95</v>
      </c>
      <c r="E47" s="145"/>
      <c r="F47" s="10">
        <f>COUNTIF('1-4_전략적공공조달'!A:L,목차!D47)</f>
        <v>5</v>
      </c>
    </row>
    <row r="48" spans="1:6" ht="17.25" customHeight="1">
      <c r="A48" s="145"/>
      <c r="B48" s="145"/>
      <c r="C48" s="147" t="s">
        <v>96</v>
      </c>
      <c r="D48" s="11" t="s">
        <v>97</v>
      </c>
      <c r="E48" s="145"/>
      <c r="F48" s="10">
        <f>COUNTIF('1-4_전략적공공조달'!A:L,목차!D48)</f>
        <v>6</v>
      </c>
    </row>
    <row r="49" spans="1:6">
      <c r="A49" s="145"/>
      <c r="B49" s="145"/>
      <c r="C49" s="145"/>
      <c r="D49" s="11" t="s">
        <v>98</v>
      </c>
      <c r="E49" s="145"/>
      <c r="F49" s="10">
        <f>COUNTIF('1-4_전략적공공조달'!A:L,목차!D49)</f>
        <v>5</v>
      </c>
    </row>
    <row r="50" spans="1:6">
      <c r="A50" s="145"/>
      <c r="B50" s="145"/>
      <c r="C50" s="146"/>
      <c r="D50" s="11" t="s">
        <v>99</v>
      </c>
      <c r="E50" s="145"/>
      <c r="F50" s="10">
        <f>COUNTIF('1-4_전략적공공조달'!A:L,목차!D50)</f>
        <v>17</v>
      </c>
    </row>
    <row r="51" spans="1:6" ht="17.25" customHeight="1">
      <c r="A51" s="145"/>
      <c r="B51" s="145"/>
      <c r="C51" s="147" t="s">
        <v>100</v>
      </c>
      <c r="D51" s="11" t="s">
        <v>101</v>
      </c>
      <c r="E51" s="145"/>
      <c r="F51" s="10">
        <f>COUNTIF('1-4_전략적공공조달'!A:L,목차!D51)</f>
        <v>2</v>
      </c>
    </row>
    <row r="52" spans="1:6">
      <c r="A52" s="145"/>
      <c r="B52" s="145"/>
      <c r="C52" s="145"/>
      <c r="D52" s="11" t="s">
        <v>102</v>
      </c>
      <c r="E52" s="145"/>
      <c r="F52" s="10">
        <f>COUNTIF('1-4_전략적공공조달'!A:L,목차!D52)</f>
        <v>4</v>
      </c>
    </row>
    <row r="53" spans="1:6">
      <c r="A53" s="145"/>
      <c r="B53" s="145"/>
      <c r="C53" s="145"/>
      <c r="D53" s="11" t="s">
        <v>103</v>
      </c>
      <c r="E53" s="145"/>
      <c r="F53" s="10">
        <f>COUNTIF('1-4_전략적공공조달'!A:L,목차!D53)</f>
        <v>4</v>
      </c>
    </row>
    <row r="54" spans="1:6">
      <c r="A54" s="145"/>
      <c r="B54" s="145"/>
      <c r="C54" s="145"/>
      <c r="D54" s="11" t="s">
        <v>104</v>
      </c>
      <c r="E54" s="145"/>
      <c r="F54" s="10">
        <f>COUNTIF('1-4_전략적공공조달'!A:L,목차!D54)</f>
        <v>4</v>
      </c>
    </row>
    <row r="55" spans="1:6">
      <c r="A55" s="145"/>
      <c r="B55" s="146"/>
      <c r="C55" s="146"/>
      <c r="D55" s="11" t="s">
        <v>105</v>
      </c>
      <c r="E55" s="146"/>
      <c r="F55" s="10">
        <f>COUNTIF('1-4_전략적공공조달'!A:L,목차!D55)</f>
        <v>14</v>
      </c>
    </row>
    <row r="56" spans="1:6" ht="17.25" customHeight="1">
      <c r="A56" s="145"/>
      <c r="B56" s="144" t="s">
        <v>106</v>
      </c>
      <c r="C56" s="148" t="s">
        <v>107</v>
      </c>
      <c r="D56" s="9" t="s">
        <v>108</v>
      </c>
      <c r="E56" s="148" t="s">
        <v>35</v>
      </c>
      <c r="F56" s="1">
        <f>COUNTIF('1-5_공공조달법률이해'!A:L,목차!D56)</f>
        <v>10</v>
      </c>
    </row>
    <row r="57" spans="1:6">
      <c r="A57" s="145"/>
      <c r="B57" s="145"/>
      <c r="C57" s="145"/>
      <c r="D57" s="9" t="s">
        <v>109</v>
      </c>
      <c r="E57" s="145"/>
      <c r="F57" s="1">
        <f>COUNTIF('1-5_공공조달법률이해'!A:L,목차!D57)</f>
        <v>5</v>
      </c>
    </row>
    <row r="58" spans="1:6">
      <c r="A58" s="145"/>
      <c r="B58" s="145"/>
      <c r="C58" s="145"/>
      <c r="D58" s="9" t="s">
        <v>110</v>
      </c>
      <c r="E58" s="145"/>
      <c r="F58" s="1">
        <f>COUNTIF('1-5_공공조달법률이해'!A:L,목차!D58)</f>
        <v>3</v>
      </c>
    </row>
    <row r="59" spans="1:6">
      <c r="A59" s="145"/>
      <c r="B59" s="145"/>
      <c r="C59" s="145"/>
      <c r="D59" s="9" t="s">
        <v>111</v>
      </c>
      <c r="E59" s="145"/>
      <c r="F59" s="1">
        <f>COUNTIF('1-5_공공조달법률이해'!A:L,목차!D59)</f>
        <v>2</v>
      </c>
    </row>
    <row r="60" spans="1:6">
      <c r="A60" s="145"/>
      <c r="B60" s="145"/>
      <c r="C60" s="146"/>
      <c r="D60" s="9" t="s">
        <v>112</v>
      </c>
      <c r="E60" s="145"/>
      <c r="F60" s="1">
        <f>COUNTIF('1-5_공공조달법률이해'!A:L,목차!D60)</f>
        <v>4</v>
      </c>
    </row>
    <row r="61" spans="1:6" ht="17.25" customHeight="1">
      <c r="A61" s="145"/>
      <c r="B61" s="145"/>
      <c r="C61" s="148" t="s">
        <v>113</v>
      </c>
      <c r="D61" s="9" t="s">
        <v>114</v>
      </c>
      <c r="E61" s="145"/>
      <c r="F61" s="1">
        <f>COUNTIF('1-5_공공조달법률이해'!A:L,목차!D61)</f>
        <v>26</v>
      </c>
    </row>
    <row r="62" spans="1:6">
      <c r="A62" s="145"/>
      <c r="B62" s="145"/>
      <c r="C62" s="145"/>
      <c r="D62" s="9" t="s">
        <v>115</v>
      </c>
      <c r="E62" s="145"/>
      <c r="F62" s="1">
        <f>COUNTIF('1-5_공공조달법률이해'!A:L,목차!D62)</f>
        <v>16</v>
      </c>
    </row>
    <row r="63" spans="1:6">
      <c r="A63" s="145"/>
      <c r="B63" s="145"/>
      <c r="C63" s="145"/>
      <c r="D63" s="9" t="s">
        <v>116</v>
      </c>
      <c r="E63" s="145"/>
      <c r="F63" s="1">
        <f>COUNTIF('1-5_공공조달법률이해'!A:L,목차!D63)</f>
        <v>4</v>
      </c>
    </row>
    <row r="64" spans="1:6">
      <c r="A64" s="145"/>
      <c r="B64" s="145"/>
      <c r="C64" s="145"/>
      <c r="D64" s="9" t="s">
        <v>117</v>
      </c>
      <c r="E64" s="145"/>
      <c r="F64" s="1">
        <f>COUNTIF('1-5_공공조달법률이해'!A:L,목차!D64)</f>
        <v>9</v>
      </c>
    </row>
    <row r="65" spans="1:6">
      <c r="A65" s="145"/>
      <c r="B65" s="145"/>
      <c r="C65" s="146"/>
      <c r="D65" s="9" t="s">
        <v>118</v>
      </c>
      <c r="E65" s="145"/>
      <c r="F65" s="1">
        <f>COUNTIF('1-5_공공조달법률이해'!A:L,목차!D65)</f>
        <v>3</v>
      </c>
    </row>
    <row r="66" spans="1:6" ht="17.25" customHeight="1">
      <c r="A66" s="145"/>
      <c r="B66" s="145"/>
      <c r="C66" s="148" t="s">
        <v>119</v>
      </c>
      <c r="D66" s="9" t="s">
        <v>120</v>
      </c>
      <c r="E66" s="145"/>
      <c r="F66" s="1">
        <f>COUNTIF('1-5_공공조달법률이해'!A:L,목차!D66)</f>
        <v>7</v>
      </c>
    </row>
    <row r="67" spans="1:6">
      <c r="A67" s="145"/>
      <c r="B67" s="145"/>
      <c r="C67" s="145"/>
      <c r="D67" s="9" t="s">
        <v>121</v>
      </c>
      <c r="E67" s="145"/>
      <c r="F67" s="1">
        <f>COUNTIF('1-5_공공조달법률이해'!A:L,목차!D67)</f>
        <v>6</v>
      </c>
    </row>
    <row r="68" spans="1:6">
      <c r="A68" s="145"/>
      <c r="B68" s="145"/>
      <c r="C68" s="145"/>
      <c r="D68" s="9" t="s">
        <v>122</v>
      </c>
      <c r="E68" s="145"/>
      <c r="F68" s="1">
        <f>COUNTIF('1-5_공공조달법률이해'!A:L,목차!D68)</f>
        <v>5</v>
      </c>
    </row>
    <row r="69" spans="1:6">
      <c r="A69" s="145"/>
      <c r="B69" s="145"/>
      <c r="C69" s="145"/>
      <c r="D69" s="9" t="s">
        <v>123</v>
      </c>
      <c r="E69" s="145"/>
      <c r="F69" s="1">
        <f>COUNTIF('1-5_공공조달법률이해'!A:L,목차!D69)</f>
        <v>6</v>
      </c>
    </row>
    <row r="70" spans="1:6">
      <c r="A70" s="145"/>
      <c r="B70" s="145"/>
      <c r="C70" s="146"/>
      <c r="D70" s="9" t="s">
        <v>124</v>
      </c>
      <c r="E70" s="145"/>
      <c r="F70" s="1">
        <f>COUNTIF('1-5_공공조달법률이해'!A:L,목차!D70)</f>
        <v>5</v>
      </c>
    </row>
    <row r="71" spans="1:6" ht="17.25" customHeight="1">
      <c r="A71" s="145"/>
      <c r="B71" s="145"/>
      <c r="C71" s="148" t="s">
        <v>125</v>
      </c>
      <c r="D71" s="9" t="s">
        <v>126</v>
      </c>
      <c r="E71" s="145"/>
      <c r="F71" s="1">
        <f>COUNTIF('1-5_공공조달법률이해'!A:L,목차!D71)</f>
        <v>9</v>
      </c>
    </row>
    <row r="72" spans="1:6">
      <c r="A72" s="145"/>
      <c r="B72" s="145"/>
      <c r="C72" s="145"/>
      <c r="D72" s="9" t="s">
        <v>127</v>
      </c>
      <c r="E72" s="145"/>
      <c r="F72" s="1">
        <f>COUNTIF('1-5_공공조달법률이해'!A:L,목차!D72)</f>
        <v>5</v>
      </c>
    </row>
    <row r="73" spans="1:6">
      <c r="A73" s="145"/>
      <c r="B73" s="145"/>
      <c r="C73" s="145"/>
      <c r="D73" s="9" t="s">
        <v>128</v>
      </c>
      <c r="E73" s="145"/>
      <c r="F73" s="1">
        <f>COUNTIF('1-5_공공조달법률이해'!A:L,목차!D73)</f>
        <v>5</v>
      </c>
    </row>
    <row r="74" spans="1:6">
      <c r="A74" s="145"/>
      <c r="B74" s="145"/>
      <c r="C74" s="145"/>
      <c r="D74" s="9" t="s">
        <v>129</v>
      </c>
      <c r="E74" s="145"/>
      <c r="F74" s="1">
        <f>COUNTIF('1-5_공공조달법률이해'!A:L,목차!D74)</f>
        <v>5</v>
      </c>
    </row>
    <row r="75" spans="1:6">
      <c r="A75" s="145"/>
      <c r="B75" s="145"/>
      <c r="C75" s="146"/>
      <c r="D75" s="9" t="s">
        <v>130</v>
      </c>
      <c r="E75" s="145"/>
      <c r="F75" s="1">
        <f>COUNTIF('1-5_공공조달법률이해'!A:L,목차!D75)</f>
        <v>3</v>
      </c>
    </row>
    <row r="76" spans="1:6" ht="17.25" customHeight="1">
      <c r="A76" s="145"/>
      <c r="B76" s="145"/>
      <c r="C76" s="148" t="s">
        <v>131</v>
      </c>
      <c r="D76" s="9" t="s">
        <v>132</v>
      </c>
      <c r="E76" s="145"/>
      <c r="F76" s="1">
        <f>COUNTIF('1-5_공공조달법률이해'!A:L,목차!D76)</f>
        <v>9</v>
      </c>
    </row>
    <row r="77" spans="1:6">
      <c r="A77" s="145"/>
      <c r="B77" s="145"/>
      <c r="C77" s="145"/>
      <c r="D77" s="9" t="s">
        <v>133</v>
      </c>
      <c r="E77" s="145"/>
      <c r="F77" s="1">
        <f>COUNTIF('1-5_공공조달법률이해'!A:L,목차!D77)</f>
        <v>4</v>
      </c>
    </row>
    <row r="78" spans="1:6">
      <c r="A78" s="145"/>
      <c r="B78" s="145"/>
      <c r="C78" s="145"/>
      <c r="D78" s="9" t="s">
        <v>134</v>
      </c>
      <c r="E78" s="145"/>
      <c r="F78" s="1">
        <f>COUNTIF('1-5_공공조달법률이해'!A:L,목차!D78)</f>
        <v>3</v>
      </c>
    </row>
    <row r="79" spans="1:6">
      <c r="A79" s="145"/>
      <c r="B79" s="145"/>
      <c r="C79" s="145"/>
      <c r="D79" s="9" t="s">
        <v>135</v>
      </c>
      <c r="E79" s="145"/>
      <c r="F79" s="1">
        <f>COUNTIF('1-5_공공조달법률이해'!A:L,목차!D79)</f>
        <v>2</v>
      </c>
    </row>
    <row r="80" spans="1:6">
      <c r="A80" s="145"/>
      <c r="B80" s="146"/>
      <c r="C80" s="146"/>
      <c r="D80" s="9" t="s">
        <v>136</v>
      </c>
      <c r="E80" s="146"/>
      <c r="F80" s="1">
        <f>COUNTIF('1-5_공공조달법률이해'!A:L,목차!D80)</f>
        <v>1</v>
      </c>
    </row>
    <row r="81" spans="1:6" ht="17.25" customHeight="1">
      <c r="A81" s="145"/>
      <c r="B81" s="149" t="s">
        <v>137</v>
      </c>
      <c r="C81" s="147" t="s">
        <v>138</v>
      </c>
      <c r="D81" s="11" t="s">
        <v>139</v>
      </c>
      <c r="E81" s="147" t="s">
        <v>37</v>
      </c>
      <c r="F81" s="10">
        <f>COUNTIF('1-6_공정조달관리'!A:L,목차!D81)</f>
        <v>16</v>
      </c>
    </row>
    <row r="82" spans="1:6">
      <c r="A82" s="145"/>
      <c r="B82" s="145"/>
      <c r="C82" s="145"/>
      <c r="D82" s="11" t="s">
        <v>140</v>
      </c>
      <c r="E82" s="145"/>
      <c r="F82" s="10">
        <f>COUNTIF('1-6_공정조달관리'!A:L,목차!D82)</f>
        <v>6</v>
      </c>
    </row>
    <row r="83" spans="1:6">
      <c r="A83" s="145"/>
      <c r="B83" s="145"/>
      <c r="C83" s="145"/>
      <c r="D83" s="11" t="s">
        <v>141</v>
      </c>
      <c r="E83" s="145"/>
      <c r="F83" s="10">
        <f>COUNTIF('1-6_공정조달관리'!A:L,목차!D83)</f>
        <v>4</v>
      </c>
    </row>
    <row r="84" spans="1:6">
      <c r="A84" s="145"/>
      <c r="B84" s="145"/>
      <c r="C84" s="145"/>
      <c r="D84" s="11" t="s">
        <v>142</v>
      </c>
      <c r="E84" s="145"/>
      <c r="F84" s="10">
        <f>COUNTIF('1-6_공정조달관리'!A:L,목차!D84)</f>
        <v>4</v>
      </c>
    </row>
    <row r="85" spans="1:6">
      <c r="A85" s="145"/>
      <c r="B85" s="145"/>
      <c r="C85" s="146"/>
      <c r="D85" s="11" t="s">
        <v>143</v>
      </c>
      <c r="E85" s="145"/>
      <c r="F85" s="10">
        <f>COUNTIF('1-6_공정조달관리'!A:L,목차!D85)</f>
        <v>3</v>
      </c>
    </row>
    <row r="86" spans="1:6" ht="17.25" customHeight="1">
      <c r="A86" s="145"/>
      <c r="B86" s="145"/>
      <c r="C86" s="147" t="s">
        <v>144</v>
      </c>
      <c r="D86" s="11" t="s">
        <v>145</v>
      </c>
      <c r="E86" s="145"/>
      <c r="F86" s="10">
        <f>COUNTIF('1-6_공정조달관리'!A:L,목차!D86)</f>
        <v>5</v>
      </c>
    </row>
    <row r="87" spans="1:6">
      <c r="A87" s="145"/>
      <c r="B87" s="145"/>
      <c r="C87" s="145"/>
      <c r="D87" s="11" t="s">
        <v>146</v>
      </c>
      <c r="E87" s="145"/>
      <c r="F87" s="10">
        <f>COUNTIF('1-6_공정조달관리'!A:L,목차!D87)</f>
        <v>15</v>
      </c>
    </row>
    <row r="88" spans="1:6">
      <c r="A88" s="145"/>
      <c r="B88" s="145"/>
      <c r="C88" s="145"/>
      <c r="D88" s="11" t="s">
        <v>147</v>
      </c>
      <c r="E88" s="145"/>
      <c r="F88" s="10">
        <f>COUNTIF('1-6_공정조달관리'!A:L,목차!D88)</f>
        <v>7</v>
      </c>
    </row>
    <row r="89" spans="1:6">
      <c r="A89" s="146"/>
      <c r="B89" s="146"/>
      <c r="C89" s="146"/>
      <c r="D89" s="11" t="s">
        <v>148</v>
      </c>
      <c r="E89" s="146"/>
      <c r="F89" s="10">
        <f>COUNTIF('1-6_공정조달관리'!A:L,목차!D89)</f>
        <v>4</v>
      </c>
    </row>
    <row r="90" spans="1:6" ht="17.25" customHeight="1">
      <c r="A90" s="144" t="s">
        <v>149</v>
      </c>
      <c r="B90" s="144" t="s">
        <v>150</v>
      </c>
      <c r="C90" s="148" t="s">
        <v>151</v>
      </c>
      <c r="D90" s="9" t="s">
        <v>152</v>
      </c>
      <c r="E90" s="148" t="s">
        <v>40</v>
      </c>
      <c r="F90" s="1">
        <f>COUNTIF('2-1_공공조달계획'!A:L,목차!D90)</f>
        <v>7</v>
      </c>
    </row>
    <row r="91" spans="1:6">
      <c r="A91" s="145"/>
      <c r="B91" s="145"/>
      <c r="C91" s="145"/>
      <c r="D91" s="9" t="s">
        <v>153</v>
      </c>
      <c r="E91" s="145"/>
      <c r="F91" s="1">
        <f>COUNTIF('2-1_공공조달계획'!A:L,목차!D91)</f>
        <v>2</v>
      </c>
    </row>
    <row r="92" spans="1:6">
      <c r="A92" s="145"/>
      <c r="B92" s="145"/>
      <c r="C92" s="145"/>
      <c r="D92" s="9" t="s">
        <v>154</v>
      </c>
      <c r="E92" s="145"/>
      <c r="F92" s="1">
        <f>COUNTIF('2-1_공공조달계획'!A:L,목차!D92)</f>
        <v>6</v>
      </c>
    </row>
    <row r="93" spans="1:6">
      <c r="A93" s="145"/>
      <c r="B93" s="145"/>
      <c r="C93" s="146"/>
      <c r="D93" s="9" t="s">
        <v>155</v>
      </c>
      <c r="E93" s="145"/>
      <c r="F93" s="1">
        <f>COUNTIF('2-1_공공조달계획'!A:L,목차!D93)</f>
        <v>1</v>
      </c>
    </row>
    <row r="94" spans="1:6" ht="17.25" customHeight="1">
      <c r="A94" s="145"/>
      <c r="B94" s="145"/>
      <c r="C94" s="148" t="s">
        <v>156</v>
      </c>
      <c r="D94" s="9" t="s">
        <v>157</v>
      </c>
      <c r="E94" s="145"/>
      <c r="F94" s="1">
        <f>COUNTIF('2-1_공공조달계획'!A:L,목차!D94)</f>
        <v>13</v>
      </c>
    </row>
    <row r="95" spans="1:6">
      <c r="A95" s="145"/>
      <c r="B95" s="145"/>
      <c r="C95" s="145"/>
      <c r="D95" s="9" t="s">
        <v>158</v>
      </c>
      <c r="E95" s="145"/>
      <c r="F95" s="1">
        <f>COUNTIF('2-1_공공조달계획'!A:L,목차!D95)</f>
        <v>2</v>
      </c>
    </row>
    <row r="96" spans="1:6">
      <c r="A96" s="145"/>
      <c r="B96" s="145"/>
      <c r="C96" s="145"/>
      <c r="D96" s="9" t="s">
        <v>159</v>
      </c>
      <c r="E96" s="145"/>
      <c r="F96" s="1">
        <f>COUNTIF('2-1_공공조달계획'!A:L,목차!D96)</f>
        <v>8</v>
      </c>
    </row>
    <row r="97" spans="1:6">
      <c r="A97" s="145"/>
      <c r="B97" s="145"/>
      <c r="C97" s="146"/>
      <c r="D97" s="9" t="s">
        <v>160</v>
      </c>
      <c r="E97" s="145"/>
      <c r="F97" s="1">
        <f>COUNTIF('2-1_공공조달계획'!A:L,목차!D97)</f>
        <v>1</v>
      </c>
    </row>
    <row r="98" spans="1:6" ht="17.25" customHeight="1">
      <c r="A98" s="145"/>
      <c r="B98" s="145"/>
      <c r="C98" s="148" t="s">
        <v>161</v>
      </c>
      <c r="D98" s="9" t="s">
        <v>162</v>
      </c>
      <c r="E98" s="145"/>
      <c r="F98" s="1">
        <f>COUNTIF('2-1_공공조달계획'!A:L,목차!D98)</f>
        <v>6</v>
      </c>
    </row>
    <row r="99" spans="1:6">
      <c r="A99" s="145"/>
      <c r="B99" s="145"/>
      <c r="C99" s="146"/>
      <c r="D99" s="9" t="s">
        <v>163</v>
      </c>
      <c r="E99" s="145"/>
      <c r="F99" s="1">
        <f>COUNTIF('2-1_공공조달계획'!A:L,목차!D99)</f>
        <v>15</v>
      </c>
    </row>
    <row r="100" spans="1:6" ht="16.5" customHeight="1">
      <c r="A100" s="145"/>
      <c r="B100" s="145"/>
      <c r="C100" s="148" t="s">
        <v>164</v>
      </c>
      <c r="D100" s="9" t="s">
        <v>165</v>
      </c>
      <c r="E100" s="145"/>
      <c r="F100" s="1">
        <f>COUNTIF('2-1_공공조달계획'!A:L,목차!D100)</f>
        <v>3</v>
      </c>
    </row>
    <row r="101" spans="1:6" ht="12.75" customHeight="1">
      <c r="A101" s="145"/>
      <c r="B101" s="145"/>
      <c r="C101" s="145"/>
      <c r="D101" s="9" t="s">
        <v>166</v>
      </c>
      <c r="E101" s="145"/>
      <c r="F101" s="1">
        <f>COUNTIF('2-1_공공조달계획'!A:L,목차!D101)</f>
        <v>2</v>
      </c>
    </row>
    <row r="102" spans="1:6">
      <c r="A102" s="145"/>
      <c r="B102" s="146"/>
      <c r="C102" s="146"/>
      <c r="D102" s="9" t="s">
        <v>167</v>
      </c>
      <c r="E102" s="146"/>
      <c r="F102" s="1">
        <f>COUNTIF('2-1_공공조달계획'!A:L,목차!D102)</f>
        <v>12</v>
      </c>
    </row>
    <row r="103" spans="1:6" ht="17.25" customHeight="1">
      <c r="A103" s="145"/>
      <c r="B103" s="149" t="s">
        <v>168</v>
      </c>
      <c r="C103" s="147" t="s">
        <v>169</v>
      </c>
      <c r="D103" s="11" t="s">
        <v>170</v>
      </c>
      <c r="E103" s="147" t="s">
        <v>42</v>
      </c>
      <c r="F103" s="10">
        <f>COUNTIF('2-2_조달요구응대및제안'!A:L,목차!D103)</f>
        <v>18</v>
      </c>
    </row>
    <row r="104" spans="1:6" ht="30" customHeight="1">
      <c r="A104" s="145"/>
      <c r="B104" s="145"/>
      <c r="C104" s="145"/>
      <c r="D104" s="11" t="s">
        <v>171</v>
      </c>
      <c r="E104" s="145"/>
      <c r="F104" s="10">
        <f>COUNTIF('2-2_조달요구응대및제안'!A:L,목차!D104)</f>
        <v>11</v>
      </c>
    </row>
    <row r="105" spans="1:6">
      <c r="A105" s="145"/>
      <c r="B105" s="145"/>
      <c r="C105" s="146"/>
      <c r="D105" s="11" t="s">
        <v>172</v>
      </c>
      <c r="E105" s="145"/>
      <c r="F105" s="10">
        <f>COUNTIF('2-2_조달요구응대및제안'!A:L,목차!D105)</f>
        <v>3</v>
      </c>
    </row>
    <row r="106" spans="1:6" ht="17.25" customHeight="1">
      <c r="A106" s="145"/>
      <c r="B106" s="145"/>
      <c r="C106" s="147" t="s">
        <v>173</v>
      </c>
      <c r="D106" s="11" t="s">
        <v>174</v>
      </c>
      <c r="E106" s="145"/>
      <c r="F106" s="10">
        <f>COUNTIF('2-2_조달요구응대및제안'!A:L,목차!D106)</f>
        <v>15</v>
      </c>
    </row>
    <row r="107" spans="1:6">
      <c r="A107" s="145"/>
      <c r="B107" s="145"/>
      <c r="C107" s="145"/>
      <c r="D107" s="11" t="s">
        <v>175</v>
      </c>
      <c r="E107" s="145"/>
      <c r="F107" s="10">
        <f>COUNTIF('2-2_조달요구응대및제안'!A:L,목차!D107)</f>
        <v>3</v>
      </c>
    </row>
    <row r="108" spans="1:6" ht="27" customHeight="1">
      <c r="A108" s="145"/>
      <c r="B108" s="145"/>
      <c r="C108" s="145"/>
      <c r="D108" s="11" t="s">
        <v>176</v>
      </c>
      <c r="E108" s="145"/>
      <c r="F108" s="10">
        <f>COUNTIF('2-2_조달요구응대및제안'!A:L,목차!D108)</f>
        <v>10</v>
      </c>
    </row>
    <row r="109" spans="1:6">
      <c r="A109" s="145"/>
      <c r="B109" s="145"/>
      <c r="C109" s="146"/>
      <c r="D109" s="11" t="s">
        <v>177</v>
      </c>
      <c r="E109" s="145"/>
      <c r="F109" s="10">
        <f>COUNTIF('2-2_조달요구응대및제안'!A:L,목차!D109)</f>
        <v>3</v>
      </c>
    </row>
    <row r="110" spans="1:6" ht="32.25" customHeight="1">
      <c r="A110" s="145"/>
      <c r="B110" s="145"/>
      <c r="C110" s="147" t="s">
        <v>178</v>
      </c>
      <c r="D110" s="11" t="s">
        <v>179</v>
      </c>
      <c r="E110" s="145"/>
      <c r="F110" s="10">
        <f>COUNTIF('2-2_조달요구응대및제안'!A:L,목차!D110)</f>
        <v>5</v>
      </c>
    </row>
    <row r="111" spans="1:6">
      <c r="A111" s="145"/>
      <c r="B111" s="145"/>
      <c r="C111" s="145"/>
      <c r="D111" s="11" t="s">
        <v>180</v>
      </c>
      <c r="E111" s="145"/>
      <c r="F111" s="10">
        <f>COUNTIF('2-2_조달요구응대및제안'!A:L,목차!D111)</f>
        <v>19</v>
      </c>
    </row>
    <row r="112" spans="1:6">
      <c r="A112" s="145"/>
      <c r="B112" s="145"/>
      <c r="C112" s="146"/>
      <c r="D112" s="11" t="s">
        <v>181</v>
      </c>
      <c r="E112" s="145"/>
      <c r="F112" s="10">
        <f>COUNTIF('2-2_조달요구응대및제안'!A:L,목차!D112)</f>
        <v>2</v>
      </c>
    </row>
    <row r="113" spans="1:6" ht="17.25" customHeight="1">
      <c r="A113" s="145"/>
      <c r="B113" s="145"/>
      <c r="C113" s="147" t="s">
        <v>182</v>
      </c>
      <c r="D113" s="11" t="s">
        <v>183</v>
      </c>
      <c r="E113" s="145"/>
      <c r="F113" s="10">
        <f>COUNTIF('2-2_조달요구응대및제안'!A:L,목차!D113)</f>
        <v>14</v>
      </c>
    </row>
    <row r="114" spans="1:6" ht="27" customHeight="1">
      <c r="A114" s="145"/>
      <c r="B114" s="145"/>
      <c r="C114" s="146"/>
      <c r="D114" s="11" t="s">
        <v>184</v>
      </c>
      <c r="E114" s="145"/>
      <c r="F114" s="10">
        <f>COUNTIF('2-2_조달요구응대및제안'!A:L,목차!D114)</f>
        <v>12</v>
      </c>
    </row>
    <row r="115" spans="1:6" ht="17.25" customHeight="1">
      <c r="A115" s="145"/>
      <c r="B115" s="145"/>
      <c r="C115" s="147" t="s">
        <v>185</v>
      </c>
      <c r="D115" s="11" t="s">
        <v>186</v>
      </c>
      <c r="E115" s="145"/>
      <c r="F115" s="10">
        <f>COUNTIF('2-2_조달요구응대및제안'!A:L,목차!D115)</f>
        <v>13</v>
      </c>
    </row>
    <row r="116" spans="1:6">
      <c r="A116" s="145"/>
      <c r="B116" s="145"/>
      <c r="C116" s="145"/>
      <c r="D116" s="11" t="s">
        <v>187</v>
      </c>
      <c r="E116" s="145"/>
      <c r="F116" s="10">
        <f>COUNTIF('2-2_조달요구응대및제안'!A:L,목차!D116)</f>
        <v>10</v>
      </c>
    </row>
    <row r="117" spans="1:6">
      <c r="A117" s="145"/>
      <c r="B117" s="146"/>
      <c r="C117" s="146"/>
      <c r="D117" s="11" t="s">
        <v>188</v>
      </c>
      <c r="E117" s="146"/>
      <c r="F117" s="10">
        <f>COUNTIF('2-2_조달요구응대및제안'!A:L,목차!D117)</f>
        <v>13</v>
      </c>
    </row>
    <row r="118" spans="1:6" ht="17.25" customHeight="1">
      <c r="A118" s="145"/>
      <c r="B118" s="144" t="s">
        <v>189</v>
      </c>
      <c r="C118" s="148" t="s">
        <v>190</v>
      </c>
      <c r="D118" s="9" t="s">
        <v>191</v>
      </c>
      <c r="E118" s="148" t="s">
        <v>45</v>
      </c>
      <c r="F118" s="1">
        <f>COUNTIF('2-3_입찰제안평가및계약체결'!A:L,목차!D118)</f>
        <v>29</v>
      </c>
    </row>
    <row r="119" spans="1:6">
      <c r="A119" s="145"/>
      <c r="B119" s="145"/>
      <c r="C119" s="146"/>
      <c r="D119" s="9" t="s">
        <v>192</v>
      </c>
      <c r="E119" s="145"/>
      <c r="F119" s="1">
        <f>COUNTIF('2-3_입찰제안평가및계약체결'!A:L,목차!D119)</f>
        <v>7</v>
      </c>
    </row>
    <row r="120" spans="1:6" ht="17.25" customHeight="1">
      <c r="A120" s="145"/>
      <c r="B120" s="145"/>
      <c r="C120" s="148" t="s">
        <v>193</v>
      </c>
      <c r="D120" s="9" t="s">
        <v>194</v>
      </c>
      <c r="E120" s="145"/>
      <c r="F120" s="1">
        <f>COUNTIF('2-3_입찰제안평가및계약체결'!A:L,목차!D120)</f>
        <v>17</v>
      </c>
    </row>
    <row r="121" spans="1:6">
      <c r="A121" s="145"/>
      <c r="B121" s="145"/>
      <c r="C121" s="145"/>
      <c r="D121" s="9" t="s">
        <v>195</v>
      </c>
      <c r="E121" s="145"/>
      <c r="F121" s="1">
        <f>COUNTIF('2-3_입찰제안평가및계약체결'!A:L,목차!D121)</f>
        <v>8</v>
      </c>
    </row>
    <row r="122" spans="1:6" ht="30" customHeight="1">
      <c r="A122" s="145"/>
      <c r="B122" s="145"/>
      <c r="C122" s="146"/>
      <c r="D122" s="9" t="s">
        <v>196</v>
      </c>
      <c r="E122" s="145"/>
      <c r="F122" s="1">
        <f>COUNTIF('2-3_입찰제안평가및계약체결'!A:L,목차!D122)</f>
        <v>7</v>
      </c>
    </row>
    <row r="123" spans="1:6" ht="17.25" customHeight="1">
      <c r="A123" s="145"/>
      <c r="B123" s="145"/>
      <c r="C123" s="148" t="s">
        <v>197</v>
      </c>
      <c r="D123" s="9" t="s">
        <v>198</v>
      </c>
      <c r="E123" s="145"/>
      <c r="F123" s="1">
        <f>COUNTIF('2-3_입찰제안평가및계약체결'!A:L,목차!D123)</f>
        <v>21</v>
      </c>
    </row>
    <row r="124" spans="1:6">
      <c r="A124" s="145"/>
      <c r="B124" s="145"/>
      <c r="C124" s="145"/>
      <c r="D124" s="9" t="s">
        <v>199</v>
      </c>
      <c r="E124" s="145"/>
      <c r="F124" s="1">
        <f>COUNTIF('2-3_입찰제안평가및계약체결'!A:L,목차!D124)</f>
        <v>5</v>
      </c>
    </row>
    <row r="125" spans="1:6">
      <c r="A125" s="145"/>
      <c r="B125" s="145"/>
      <c r="C125" s="146"/>
      <c r="D125" s="9" t="s">
        <v>200</v>
      </c>
      <c r="E125" s="145"/>
      <c r="F125" s="1">
        <f>COUNTIF('2-3_입찰제안평가및계약체결'!A:L,목차!D125)</f>
        <v>3</v>
      </c>
    </row>
    <row r="126" spans="1:6" ht="17.25" customHeight="1">
      <c r="A126" s="145"/>
      <c r="B126" s="145"/>
      <c r="C126" s="148" t="s">
        <v>201</v>
      </c>
      <c r="D126" s="9" t="s">
        <v>202</v>
      </c>
      <c r="E126" s="145"/>
      <c r="F126" s="1">
        <f>COUNTIF('2-3_입찰제안평가및계약체결'!A:L,목차!D126)</f>
        <v>32</v>
      </c>
    </row>
    <row r="127" spans="1:6">
      <c r="A127" s="145"/>
      <c r="B127" s="145"/>
      <c r="C127" s="145"/>
      <c r="D127" s="9" t="s">
        <v>203</v>
      </c>
      <c r="E127" s="145"/>
      <c r="F127" s="1">
        <f>COUNTIF('2-3_입찰제안평가및계약체결'!A:L,목차!D127)</f>
        <v>9</v>
      </c>
    </row>
    <row r="128" spans="1:6">
      <c r="A128" s="145"/>
      <c r="B128" s="145"/>
      <c r="C128" s="145"/>
      <c r="D128" s="9" t="s">
        <v>204</v>
      </c>
      <c r="E128" s="145"/>
      <c r="F128" s="1">
        <f>COUNTIF('2-3_입찰제안평가및계약체결'!A:L,목차!D128)</f>
        <v>4</v>
      </c>
    </row>
    <row r="129" spans="1:6">
      <c r="A129" s="145"/>
      <c r="B129" s="145"/>
      <c r="C129" s="145"/>
      <c r="D129" s="9" t="s">
        <v>205</v>
      </c>
      <c r="E129" s="145"/>
      <c r="F129" s="1">
        <f>COUNTIF('2-3_입찰제안평가및계약체결'!A:L,목차!D129)</f>
        <v>7</v>
      </c>
    </row>
    <row r="130" spans="1:6">
      <c r="A130" s="145"/>
      <c r="B130" s="145"/>
      <c r="C130" s="146"/>
      <c r="D130" s="9" t="s">
        <v>206</v>
      </c>
      <c r="E130" s="145"/>
      <c r="F130" s="1">
        <f>COUNTIF('2-3_입찰제안평가및계약체결'!A:L,목차!D130)</f>
        <v>1</v>
      </c>
    </row>
    <row r="131" spans="1:6" ht="17.25" customHeight="1">
      <c r="A131" s="145"/>
      <c r="B131" s="145"/>
      <c r="C131" s="148" t="s">
        <v>207</v>
      </c>
      <c r="D131" s="9" t="s">
        <v>208</v>
      </c>
      <c r="E131" s="145"/>
      <c r="F131" s="1">
        <f>COUNTIF('2-3_입찰제안평가및계약체결'!A:L,목차!D131)</f>
        <v>9</v>
      </c>
    </row>
    <row r="132" spans="1:6">
      <c r="A132" s="146"/>
      <c r="B132" s="146"/>
      <c r="C132" s="146"/>
      <c r="D132" s="9" t="s">
        <v>209</v>
      </c>
      <c r="E132" s="146"/>
      <c r="F132" s="1">
        <f>COUNTIF('2-3_입찰제안평가및계약체결'!A:L,목차!D132)</f>
        <v>13</v>
      </c>
    </row>
    <row r="133" spans="1:6" ht="17.25" customHeight="1">
      <c r="A133" s="149" t="s">
        <v>210</v>
      </c>
      <c r="B133" s="149" t="s">
        <v>211</v>
      </c>
      <c r="C133" s="147" t="s">
        <v>212</v>
      </c>
      <c r="D133" s="11" t="s">
        <v>213</v>
      </c>
      <c r="E133" s="147" t="s">
        <v>47</v>
      </c>
      <c r="F133" s="10">
        <f>COUNTIF('3-1_계약관리일반절차'!A:L,목차!D133)</f>
        <v>7</v>
      </c>
    </row>
    <row r="134" spans="1:6">
      <c r="A134" s="145"/>
      <c r="B134" s="145"/>
      <c r="C134" s="145"/>
      <c r="D134" s="11" t="s">
        <v>214</v>
      </c>
      <c r="E134" s="145"/>
      <c r="F134" s="10">
        <f>COUNTIF('3-1_계약관리일반절차'!A:L,목차!D134)</f>
        <v>18</v>
      </c>
    </row>
    <row r="135" spans="1:6">
      <c r="A135" s="145"/>
      <c r="B135" s="145"/>
      <c r="C135" s="145"/>
      <c r="D135" s="11" t="s">
        <v>215</v>
      </c>
      <c r="E135" s="145"/>
      <c r="F135" s="10">
        <f>COUNTIF('3-1_계약관리일반절차'!A:L,목차!D135)</f>
        <v>7</v>
      </c>
    </row>
    <row r="136" spans="1:6" ht="30" customHeight="1">
      <c r="A136" s="145"/>
      <c r="B136" s="145"/>
      <c r="C136" s="145"/>
      <c r="D136" s="11" t="s">
        <v>216</v>
      </c>
      <c r="E136" s="145"/>
      <c r="F136" s="10">
        <f>COUNTIF('3-1_계약관리일반절차'!A:L,목차!D136)</f>
        <v>5</v>
      </c>
    </row>
    <row r="137" spans="1:6">
      <c r="A137" s="145"/>
      <c r="B137" s="145"/>
      <c r="C137" s="146"/>
      <c r="D137" s="11" t="s">
        <v>217</v>
      </c>
      <c r="E137" s="145"/>
      <c r="F137" s="10">
        <f>COUNTIF('3-1_계약관리일반절차'!A:L,목차!D137)</f>
        <v>8</v>
      </c>
    </row>
    <row r="138" spans="1:6" ht="17.25" customHeight="1">
      <c r="A138" s="145"/>
      <c r="B138" s="145"/>
      <c r="C138" s="147" t="s">
        <v>218</v>
      </c>
      <c r="D138" s="11" t="s">
        <v>219</v>
      </c>
      <c r="E138" s="145"/>
      <c r="F138" s="10">
        <f>COUNTIF('3-1_계약관리일반절차'!A:L,목차!D138)</f>
        <v>14</v>
      </c>
    </row>
    <row r="139" spans="1:6">
      <c r="A139" s="145"/>
      <c r="B139" s="145"/>
      <c r="C139" s="145"/>
      <c r="D139" s="11" t="s">
        <v>220</v>
      </c>
      <c r="E139" s="145"/>
      <c r="F139" s="10">
        <f>COUNTIF('3-1_계약관리일반절차'!A:L,목차!D139)</f>
        <v>14</v>
      </c>
    </row>
    <row r="140" spans="1:6">
      <c r="A140" s="145"/>
      <c r="B140" s="145"/>
      <c r="C140" s="145"/>
      <c r="D140" s="11" t="s">
        <v>221</v>
      </c>
      <c r="E140" s="145"/>
      <c r="F140" s="10">
        <f>COUNTIF('3-1_계약관리일반절차'!A:L,목차!D140)</f>
        <v>10</v>
      </c>
    </row>
    <row r="141" spans="1:6">
      <c r="A141" s="145"/>
      <c r="B141" s="145"/>
      <c r="C141" s="145"/>
      <c r="D141" s="11" t="s">
        <v>222</v>
      </c>
      <c r="E141" s="145"/>
      <c r="F141" s="10">
        <f>COUNTIF('3-1_계약관리일반절차'!A:L,목차!D141)</f>
        <v>6</v>
      </c>
    </row>
    <row r="142" spans="1:6">
      <c r="A142" s="145"/>
      <c r="B142" s="145"/>
      <c r="C142" s="146"/>
      <c r="D142" s="11" t="s">
        <v>223</v>
      </c>
      <c r="E142" s="145"/>
      <c r="F142" s="10">
        <f>COUNTIF('3-1_계약관리일반절차'!A:L,목차!D142)</f>
        <v>11</v>
      </c>
    </row>
    <row r="143" spans="1:6" ht="32.25" customHeight="1">
      <c r="A143" s="145"/>
      <c r="B143" s="145"/>
      <c r="C143" s="147" t="s">
        <v>224</v>
      </c>
      <c r="D143" s="11" t="s">
        <v>225</v>
      </c>
      <c r="E143" s="145"/>
      <c r="F143" s="10">
        <f>COUNTIF('3-1_계약관리일반절차'!A:L,목차!D143)</f>
        <v>9</v>
      </c>
    </row>
    <row r="144" spans="1:6">
      <c r="A144" s="145"/>
      <c r="B144" s="145"/>
      <c r="C144" s="145"/>
      <c r="D144" s="11" t="s">
        <v>226</v>
      </c>
      <c r="E144" s="145"/>
      <c r="F144" s="10">
        <f>COUNTIF('3-1_계약관리일반절차'!A:L,목차!D144)</f>
        <v>14</v>
      </c>
    </row>
    <row r="145" spans="1:6">
      <c r="A145" s="145"/>
      <c r="B145" s="145"/>
      <c r="C145" s="145"/>
      <c r="D145" s="11" t="s">
        <v>227</v>
      </c>
      <c r="E145" s="145"/>
      <c r="F145" s="10">
        <f>COUNTIF('3-1_계약관리일반절차'!A:L,목차!D145)</f>
        <v>6</v>
      </c>
    </row>
    <row r="146" spans="1:6">
      <c r="A146" s="145"/>
      <c r="B146" s="145"/>
      <c r="C146" s="145"/>
      <c r="D146" s="11" t="s">
        <v>228</v>
      </c>
      <c r="E146" s="145"/>
      <c r="F146" s="10">
        <f>COUNTIF('3-1_계약관리일반절차'!A:L,목차!D146)</f>
        <v>13</v>
      </c>
    </row>
    <row r="147" spans="1:6">
      <c r="A147" s="145"/>
      <c r="B147" s="145"/>
      <c r="C147" s="146"/>
      <c r="D147" s="11" t="s">
        <v>229</v>
      </c>
      <c r="E147" s="145"/>
      <c r="F147" s="10">
        <f>COUNTIF('3-1_계약관리일반절차'!A:L,목차!D147)</f>
        <v>11</v>
      </c>
    </row>
    <row r="148" spans="1:6" ht="17.25" customHeight="1">
      <c r="A148" s="145"/>
      <c r="B148" s="145"/>
      <c r="C148" s="147" t="s">
        <v>230</v>
      </c>
      <c r="D148" s="11" t="s">
        <v>231</v>
      </c>
      <c r="E148" s="145"/>
      <c r="F148" s="10">
        <f>COUNTIF('3-1_계약관리일반절차'!A:L,목차!D148)</f>
        <v>13</v>
      </c>
    </row>
    <row r="149" spans="1:6">
      <c r="A149" s="145"/>
      <c r="B149" s="145"/>
      <c r="C149" s="145"/>
      <c r="D149" s="11" t="s">
        <v>232</v>
      </c>
      <c r="E149" s="145"/>
      <c r="F149" s="10">
        <f>COUNTIF('3-1_계약관리일반절차'!A:L,목차!D149)</f>
        <v>8</v>
      </c>
    </row>
    <row r="150" spans="1:6">
      <c r="A150" s="145"/>
      <c r="B150" s="145"/>
      <c r="C150" s="145"/>
      <c r="D150" s="11" t="s">
        <v>233</v>
      </c>
      <c r="E150" s="145"/>
      <c r="F150" s="10">
        <f>COUNTIF('3-1_계약관리일반절차'!A:L,목차!D150)</f>
        <v>9</v>
      </c>
    </row>
    <row r="151" spans="1:6">
      <c r="A151" s="145"/>
      <c r="B151" s="145"/>
      <c r="C151" s="145"/>
      <c r="D151" s="11" t="s">
        <v>234</v>
      </c>
      <c r="E151" s="145"/>
      <c r="F151" s="10">
        <f>COUNTIF('3-1_계약관리일반절차'!A:L,목차!D151)</f>
        <v>8</v>
      </c>
    </row>
    <row r="152" spans="1:6" ht="30" customHeight="1">
      <c r="A152" s="145"/>
      <c r="B152" s="145"/>
      <c r="C152" s="145"/>
      <c r="D152" s="11" t="s">
        <v>235</v>
      </c>
      <c r="E152" s="145"/>
      <c r="F152" s="10">
        <f>COUNTIF('3-1_계약관리일반절차'!A:L,목차!D152)</f>
        <v>12</v>
      </c>
    </row>
    <row r="153" spans="1:6">
      <c r="A153" s="145"/>
      <c r="B153" s="146"/>
      <c r="C153" s="146"/>
      <c r="D153" s="11" t="s">
        <v>236</v>
      </c>
      <c r="E153" s="146"/>
      <c r="F153" s="10">
        <f>COUNTIF('3-1_계약관리일반절차'!A:L,목차!D153)</f>
        <v>14</v>
      </c>
    </row>
    <row r="154" spans="1:6" ht="17.25" customHeight="1">
      <c r="A154" s="145"/>
      <c r="B154" s="144" t="s">
        <v>237</v>
      </c>
      <c r="C154" s="148" t="s">
        <v>238</v>
      </c>
      <c r="D154" s="9" t="s">
        <v>239</v>
      </c>
      <c r="E154" s="148" t="s">
        <v>51</v>
      </c>
      <c r="F154" s="1">
        <f>COUNTIF('3-2_물품계약관리'!A:L,목차!D154)</f>
        <v>13</v>
      </c>
    </row>
    <row r="155" spans="1:6">
      <c r="A155" s="145"/>
      <c r="B155" s="145"/>
      <c r="C155" s="145"/>
      <c r="D155" s="9" t="s">
        <v>240</v>
      </c>
      <c r="E155" s="145"/>
      <c r="F155" s="1">
        <f>COUNTIF('3-2_물품계약관리'!A:L,목차!D155)</f>
        <v>12</v>
      </c>
    </row>
    <row r="156" spans="1:6">
      <c r="A156" s="145"/>
      <c r="B156" s="145"/>
      <c r="C156" s="145"/>
      <c r="D156" s="9" t="s">
        <v>241</v>
      </c>
      <c r="E156" s="145"/>
      <c r="F156" s="1">
        <f>COUNTIF('3-2_물품계약관리'!A:L,목차!D156)</f>
        <v>21</v>
      </c>
    </row>
    <row r="157" spans="1:6">
      <c r="A157" s="145"/>
      <c r="B157" s="145"/>
      <c r="C157" s="145"/>
      <c r="D157" s="9" t="s">
        <v>242</v>
      </c>
      <c r="E157" s="145"/>
      <c r="F157" s="1">
        <f>COUNTIF('3-2_물품계약관리'!A:L,목차!D157)</f>
        <v>11</v>
      </c>
    </row>
    <row r="158" spans="1:6">
      <c r="A158" s="145"/>
      <c r="B158" s="145"/>
      <c r="C158" s="146"/>
      <c r="D158" s="9" t="s">
        <v>243</v>
      </c>
      <c r="E158" s="145"/>
      <c r="F158" s="1">
        <f>COUNTIF('3-2_물품계약관리'!A:L,목차!D158)</f>
        <v>11</v>
      </c>
    </row>
    <row r="159" spans="1:6" ht="17.25" customHeight="1">
      <c r="A159" s="145"/>
      <c r="B159" s="145"/>
      <c r="C159" s="148" t="s">
        <v>244</v>
      </c>
      <c r="D159" s="9" t="s">
        <v>245</v>
      </c>
      <c r="E159" s="145"/>
      <c r="F159" s="1">
        <f>COUNTIF('3-2_물품계약관리'!A:L,목차!D159)</f>
        <v>14</v>
      </c>
    </row>
    <row r="160" spans="1:6">
      <c r="A160" s="145"/>
      <c r="B160" s="146"/>
      <c r="C160" s="146"/>
      <c r="D160" s="9" t="s">
        <v>246</v>
      </c>
      <c r="E160" s="146"/>
      <c r="F160" s="1">
        <f>COUNTIF('3-2_물품계약관리'!A:L,목차!D160)</f>
        <v>12</v>
      </c>
    </row>
    <row r="161" spans="1:6" ht="17.25" customHeight="1">
      <c r="A161" s="145"/>
      <c r="B161" s="149" t="s">
        <v>247</v>
      </c>
      <c r="C161" s="147" t="s">
        <v>248</v>
      </c>
      <c r="D161" s="11" t="s">
        <v>249</v>
      </c>
      <c r="E161" s="147" t="s">
        <v>53</v>
      </c>
      <c r="F161" s="10">
        <f>COUNTIF('3-3_용역다수공급자계약관리'!A:L,목차!D161)</f>
        <v>14</v>
      </c>
    </row>
    <row r="162" spans="1:6">
      <c r="A162" s="145"/>
      <c r="B162" s="145"/>
      <c r="C162" s="145"/>
      <c r="D162" s="11" t="s">
        <v>250</v>
      </c>
      <c r="E162" s="145"/>
      <c r="F162" s="10">
        <f>COUNTIF('3-3_용역다수공급자계약관리'!A:L,목차!D162)</f>
        <v>9</v>
      </c>
    </row>
    <row r="163" spans="1:6">
      <c r="A163" s="145"/>
      <c r="B163" s="145"/>
      <c r="C163" s="145"/>
      <c r="D163" s="11" t="s">
        <v>251</v>
      </c>
      <c r="E163" s="145"/>
      <c r="F163" s="10">
        <f>COUNTIF('3-3_용역다수공급자계약관리'!A:L,목차!D163)</f>
        <v>13</v>
      </c>
    </row>
    <row r="164" spans="1:6">
      <c r="A164" s="145"/>
      <c r="B164" s="145"/>
      <c r="C164" s="145"/>
      <c r="D164" s="11" t="s">
        <v>252</v>
      </c>
      <c r="E164" s="145"/>
      <c r="F164" s="10">
        <f>COUNTIF('3-3_용역다수공급자계약관리'!A:L,목차!D164)</f>
        <v>8</v>
      </c>
    </row>
    <row r="165" spans="1:6">
      <c r="A165" s="145"/>
      <c r="B165" s="145"/>
      <c r="C165" s="145"/>
      <c r="D165" s="11" t="s">
        <v>253</v>
      </c>
      <c r="E165" s="145"/>
      <c r="F165" s="10">
        <f>COUNTIF('3-3_용역다수공급자계약관리'!A:L,목차!D165)</f>
        <v>10</v>
      </c>
    </row>
    <row r="166" spans="1:6">
      <c r="A166" s="145"/>
      <c r="B166" s="145"/>
      <c r="C166" s="145"/>
      <c r="D166" s="11" t="s">
        <v>254</v>
      </c>
      <c r="E166" s="145"/>
      <c r="F166" s="10">
        <f>COUNTIF('3-3_용역다수공급자계약관리'!A:L,목차!D166)</f>
        <v>14</v>
      </c>
    </row>
    <row r="167" spans="1:6">
      <c r="A167" s="145"/>
      <c r="B167" s="145"/>
      <c r="C167" s="146"/>
      <c r="D167" s="11" t="s">
        <v>255</v>
      </c>
      <c r="E167" s="145"/>
      <c r="F167" s="10">
        <f>COUNTIF('3-3_용역다수공급자계약관리'!A:L,목차!D167)</f>
        <v>8</v>
      </c>
    </row>
    <row r="168" spans="1:6" ht="27" customHeight="1">
      <c r="A168" s="145"/>
      <c r="B168" s="145"/>
      <c r="C168" s="147" t="s">
        <v>256</v>
      </c>
      <c r="D168" s="11" t="s">
        <v>257</v>
      </c>
      <c r="E168" s="145"/>
      <c r="F168" s="10">
        <f>COUNTIF('3-3_용역다수공급자계약관리'!A:L,목차!D168)</f>
        <v>7</v>
      </c>
    </row>
    <row r="169" spans="1:6">
      <c r="A169" s="145"/>
      <c r="B169" s="145"/>
      <c r="C169" s="145"/>
      <c r="D169" s="11" t="s">
        <v>258</v>
      </c>
      <c r="E169" s="145"/>
      <c r="F169" s="10">
        <f>COUNTIF('3-3_용역다수공급자계약관리'!A:L,목차!D169)</f>
        <v>18</v>
      </c>
    </row>
    <row r="170" spans="1:6">
      <c r="A170" s="145"/>
      <c r="B170" s="145"/>
      <c r="C170" s="145"/>
      <c r="D170" s="11" t="s">
        <v>259</v>
      </c>
      <c r="E170" s="145"/>
      <c r="F170" s="10">
        <f>COUNTIF('3-3_용역다수공급자계약관리'!A:L,목차!D170)</f>
        <v>7</v>
      </c>
    </row>
    <row r="171" spans="1:6">
      <c r="A171" s="145"/>
      <c r="B171" s="145"/>
      <c r="C171" s="145"/>
      <c r="D171" s="11" t="s">
        <v>260</v>
      </c>
      <c r="E171" s="145"/>
      <c r="F171" s="10">
        <f>COUNTIF('3-3_용역다수공급자계약관리'!A:L,목차!D171)</f>
        <v>8</v>
      </c>
    </row>
    <row r="172" spans="1:6">
      <c r="A172" s="145"/>
      <c r="B172" s="145"/>
      <c r="C172" s="145"/>
      <c r="D172" s="11" t="s">
        <v>261</v>
      </c>
      <c r="E172" s="145"/>
      <c r="F172" s="10">
        <f>COUNTIF('3-3_용역다수공급자계약관리'!A:L,목차!D172)</f>
        <v>7</v>
      </c>
    </row>
    <row r="173" spans="1:6">
      <c r="A173" s="145"/>
      <c r="B173" s="146"/>
      <c r="C173" s="146"/>
      <c r="D173" s="11" t="s">
        <v>262</v>
      </c>
      <c r="E173" s="146"/>
      <c r="F173" s="10">
        <f>COUNTIF('3-3_용역다수공급자계약관리'!A:L,목차!D173)</f>
        <v>7</v>
      </c>
    </row>
    <row r="174" spans="1:6" ht="17.25" customHeight="1">
      <c r="A174" s="145"/>
      <c r="B174" s="144" t="s">
        <v>263</v>
      </c>
      <c r="C174" s="148" t="s">
        <v>264</v>
      </c>
      <c r="D174" s="9" t="s">
        <v>265</v>
      </c>
      <c r="E174" s="148" t="s">
        <v>56</v>
      </c>
      <c r="F174" s="1">
        <f>COUNTIF('3-4_공사계약관리'!A:L,목차!D174)</f>
        <v>16</v>
      </c>
    </row>
    <row r="175" spans="1:6">
      <c r="A175" s="145"/>
      <c r="B175" s="145"/>
      <c r="C175" s="145"/>
      <c r="D175" s="9" t="s">
        <v>266</v>
      </c>
      <c r="E175" s="145"/>
      <c r="F175" s="1">
        <f>COUNTIF('3-4_공사계약관리'!A:L,목차!D175)</f>
        <v>12</v>
      </c>
    </row>
    <row r="176" spans="1:6">
      <c r="A176" s="145"/>
      <c r="B176" s="145"/>
      <c r="C176" s="146"/>
      <c r="D176" s="9" t="s">
        <v>267</v>
      </c>
      <c r="E176" s="145"/>
      <c r="F176" s="1">
        <f>COUNTIF('3-4_공사계약관리'!A:L,목차!D176)</f>
        <v>11</v>
      </c>
    </row>
    <row r="177" spans="1:6" ht="17.25" customHeight="1">
      <c r="A177" s="145"/>
      <c r="B177" s="145"/>
      <c r="C177" s="148" t="s">
        <v>268</v>
      </c>
      <c r="D177" s="9" t="s">
        <v>269</v>
      </c>
      <c r="E177" s="145"/>
      <c r="F177" s="1">
        <f>COUNTIF('3-4_공사계약관리'!A:L,목차!D177)</f>
        <v>13</v>
      </c>
    </row>
    <row r="178" spans="1:6">
      <c r="A178" s="145"/>
      <c r="B178" s="145"/>
      <c r="C178" s="145"/>
      <c r="D178" s="9" t="s">
        <v>270</v>
      </c>
      <c r="E178" s="145"/>
      <c r="F178" s="1">
        <f>COUNTIF('3-4_공사계약관리'!A:L,목차!D178)</f>
        <v>9</v>
      </c>
    </row>
    <row r="179" spans="1:6">
      <c r="A179" s="145"/>
      <c r="B179" s="145"/>
      <c r="C179" s="145"/>
      <c r="D179" s="9" t="s">
        <v>271</v>
      </c>
      <c r="E179" s="145"/>
      <c r="F179" s="1">
        <f>COUNTIF('3-4_공사계약관리'!A:L,목차!D179)</f>
        <v>13</v>
      </c>
    </row>
    <row r="180" spans="1:6">
      <c r="A180" s="145"/>
      <c r="B180" s="145"/>
      <c r="C180" s="145"/>
      <c r="D180" s="9" t="s">
        <v>272</v>
      </c>
      <c r="E180" s="145"/>
      <c r="F180" s="1">
        <f>COUNTIF('3-4_공사계약관리'!A:L,목차!D180)</f>
        <v>11</v>
      </c>
    </row>
    <row r="181" spans="1:6">
      <c r="A181" s="145"/>
      <c r="B181" s="145"/>
      <c r="C181" s="146"/>
      <c r="D181" s="9" t="s">
        <v>273</v>
      </c>
      <c r="E181" s="145"/>
      <c r="F181" s="1">
        <f>COUNTIF('3-4_공사계약관리'!A:L,목차!D181)</f>
        <v>12</v>
      </c>
    </row>
    <row r="182" spans="1:6" ht="17.25" customHeight="1">
      <c r="A182" s="145"/>
      <c r="B182" s="145"/>
      <c r="C182" s="148" t="s">
        <v>274</v>
      </c>
      <c r="D182" s="9" t="s">
        <v>275</v>
      </c>
      <c r="E182" s="145"/>
      <c r="F182" s="1">
        <f>COUNTIF('3-4_공사계약관리'!A:L,목차!D182)</f>
        <v>9</v>
      </c>
    </row>
    <row r="183" spans="1:6">
      <c r="A183" s="145"/>
      <c r="B183" s="145"/>
      <c r="C183" s="145"/>
      <c r="D183" s="9" t="s">
        <v>276</v>
      </c>
      <c r="E183" s="145"/>
      <c r="F183" s="1">
        <f>COUNTIF('3-4_공사계약관리'!A:L,목차!D183)</f>
        <v>10</v>
      </c>
    </row>
    <row r="184" spans="1:6">
      <c r="A184" s="145"/>
      <c r="B184" s="145"/>
      <c r="C184" s="145"/>
      <c r="D184" s="9" t="s">
        <v>277</v>
      </c>
      <c r="E184" s="145"/>
      <c r="F184" s="1">
        <f>COUNTIF('3-4_공사계약관리'!A:L,목차!D184)</f>
        <v>17</v>
      </c>
    </row>
    <row r="185" spans="1:6">
      <c r="A185" s="145"/>
      <c r="B185" s="145"/>
      <c r="C185" s="145"/>
      <c r="D185" s="9" t="s">
        <v>278</v>
      </c>
      <c r="E185" s="145"/>
      <c r="F185" s="1">
        <f>COUNTIF('3-4_공사계약관리'!A:L,목차!D185)</f>
        <v>7</v>
      </c>
    </row>
    <row r="186" spans="1:6">
      <c r="A186" s="145"/>
      <c r="B186" s="145"/>
      <c r="C186" s="145"/>
      <c r="D186" s="9" t="s">
        <v>279</v>
      </c>
      <c r="E186" s="145"/>
      <c r="F186" s="1">
        <f>COUNTIF('3-4_공사계약관리'!A:L,목차!D186)</f>
        <v>8</v>
      </c>
    </row>
    <row r="187" spans="1:6" ht="30" customHeight="1">
      <c r="A187" s="146"/>
      <c r="B187" s="146"/>
      <c r="C187" s="146"/>
      <c r="D187" s="9" t="s">
        <v>280</v>
      </c>
      <c r="E187" s="146"/>
      <c r="F187" s="1">
        <f>COUNTIF('3-4_공사계약관리'!A:L,목차!D187)</f>
        <v>7</v>
      </c>
    </row>
  </sheetData>
  <mergeCells count="77">
    <mergeCell ref="A6:A89"/>
    <mergeCell ref="E174:E187"/>
    <mergeCell ref="C6:C8"/>
    <mergeCell ref="C42:C44"/>
    <mergeCell ref="E16:E24"/>
    <mergeCell ref="E81:E89"/>
    <mergeCell ref="C90:C93"/>
    <mergeCell ref="C159:C160"/>
    <mergeCell ref="C103:C105"/>
    <mergeCell ref="C36:C41"/>
    <mergeCell ref="C100:C102"/>
    <mergeCell ref="C143:C147"/>
    <mergeCell ref="B174:B187"/>
    <mergeCell ref="C51:C55"/>
    <mergeCell ref="B161:B173"/>
    <mergeCell ref="C120:C122"/>
    <mergeCell ref="C174:C176"/>
    <mergeCell ref="E161:E173"/>
    <mergeCell ref="A133:A187"/>
    <mergeCell ref="C182:C187"/>
    <mergeCell ref="B90:B102"/>
    <mergeCell ref="C138:C142"/>
    <mergeCell ref="B154:B160"/>
    <mergeCell ref="C154:C158"/>
    <mergeCell ref="C148:C153"/>
    <mergeCell ref="E118:E132"/>
    <mergeCell ref="C23:C24"/>
    <mergeCell ref="C45:C47"/>
    <mergeCell ref="C20:C22"/>
    <mergeCell ref="C31:C35"/>
    <mergeCell ref="C71:C75"/>
    <mergeCell ref="C126:C130"/>
    <mergeCell ref="C76:C80"/>
    <mergeCell ref="C48:C50"/>
    <mergeCell ref="C118:C119"/>
    <mergeCell ref="C177:C181"/>
    <mergeCell ref="A2:F2"/>
    <mergeCell ref="E154:E160"/>
    <mergeCell ref="C168:C173"/>
    <mergeCell ref="E56:E80"/>
    <mergeCell ref="E90:E102"/>
    <mergeCell ref="C106:C109"/>
    <mergeCell ref="C131:C132"/>
    <mergeCell ref="A90:A132"/>
    <mergeCell ref="E6:E15"/>
    <mergeCell ref="B118:B132"/>
    <mergeCell ref="C56:C60"/>
    <mergeCell ref="C18:C19"/>
    <mergeCell ref="C12:C13"/>
    <mergeCell ref="E103:E117"/>
    <mergeCell ref="C25:C30"/>
    <mergeCell ref="B133:B153"/>
    <mergeCell ref="C133:C137"/>
    <mergeCell ref="C161:C167"/>
    <mergeCell ref="E42:E55"/>
    <mergeCell ref="E25:E41"/>
    <mergeCell ref="C86:C89"/>
    <mergeCell ref="C115:C117"/>
    <mergeCell ref="C98:C99"/>
    <mergeCell ref="C61:C65"/>
    <mergeCell ref="C81:C85"/>
    <mergeCell ref="C110:C112"/>
    <mergeCell ref="C113:C114"/>
    <mergeCell ref="C123:C125"/>
    <mergeCell ref="B81:B89"/>
    <mergeCell ref="E133:E153"/>
    <mergeCell ref="C66:C70"/>
    <mergeCell ref="B25:B41"/>
    <mergeCell ref="C16:C17"/>
    <mergeCell ref="C94:C97"/>
    <mergeCell ref="B103:B117"/>
    <mergeCell ref="C9:C11"/>
    <mergeCell ref="B6:B15"/>
    <mergeCell ref="C14:C15"/>
    <mergeCell ref="B16:B24"/>
    <mergeCell ref="B42:B55"/>
    <mergeCell ref="B56:B80"/>
  </mergeCells>
  <phoneticPr fontId="58" type="noConversion"/>
  <pageMargins left="0.75" right="0.75" top="1" bottom="1" header="0.511811023622047" footer="0.511811023622047"/>
  <pageSetup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67"/>
  <sheetViews>
    <sheetView zoomScaleNormal="100" workbookViewId="0">
      <pane xSplit="3" ySplit="3" topLeftCell="D5" activePane="bottomRight" state="frozen"/>
      <selection pane="topRight" activeCell="H1" sqref="H1"/>
      <selection pane="bottomLeft" activeCell="A25" sqref="A25"/>
      <selection pane="bottomRight" activeCell="A11" sqref="A11"/>
    </sheetView>
  </sheetViews>
  <sheetFormatPr baseColWidth="10" defaultColWidth="8.5" defaultRowHeight="17"/>
  <cols>
    <col min="1" max="1" width="6" style="12" customWidth="1"/>
    <col min="2" max="2" width="24" style="12" customWidth="1"/>
    <col min="3" max="3" width="28" style="12" customWidth="1"/>
    <col min="4" max="4" width="42" style="13" customWidth="1"/>
    <col min="5" max="8" width="20" style="13" customWidth="1"/>
    <col min="9" max="9" width="10" style="13" customWidth="1"/>
    <col min="10" max="10" width="44" style="13" customWidth="1"/>
    <col min="11" max="11" width="26" style="13" customWidth="1"/>
    <col min="12" max="12" width="8" style="13" customWidth="1"/>
    <col min="13" max="14" width="8.5" style="2" customWidth="1"/>
    <col min="15" max="16384" width="8.5" style="2"/>
  </cols>
  <sheetData>
    <row r="1" spans="1:12">
      <c r="A1" s="156"/>
      <c r="B1" s="154"/>
      <c r="C1" s="154"/>
      <c r="D1" s="155"/>
      <c r="E1" s="155"/>
      <c r="F1" s="155"/>
      <c r="G1" s="155"/>
      <c r="H1" s="155"/>
      <c r="I1" s="155"/>
      <c r="J1" s="155"/>
      <c r="K1" s="155"/>
      <c r="L1" s="155"/>
    </row>
    <row r="2" spans="1:12" ht="17.25" customHeight="1">
      <c r="A2" s="153" t="s">
        <v>281</v>
      </c>
      <c r="B2" s="154"/>
      <c r="C2" s="154"/>
      <c r="D2" s="155"/>
      <c r="E2" s="155"/>
      <c r="F2" s="155"/>
      <c r="G2" s="155"/>
      <c r="H2" s="155"/>
      <c r="I2" s="155"/>
      <c r="J2" s="155"/>
      <c r="K2" s="155"/>
      <c r="L2" s="155"/>
    </row>
    <row r="3" spans="1:12" ht="19.5" customHeight="1">
      <c r="A3" s="14" t="s">
        <v>0</v>
      </c>
      <c r="B3" s="14" t="s">
        <v>1</v>
      </c>
      <c r="C3" s="14" t="s">
        <v>2</v>
      </c>
      <c r="D3" s="14" t="s">
        <v>3</v>
      </c>
      <c r="E3" s="14" t="s">
        <v>4</v>
      </c>
      <c r="F3" s="14" t="s">
        <v>5</v>
      </c>
      <c r="G3" s="14" t="s">
        <v>6</v>
      </c>
      <c r="H3" s="14" t="s">
        <v>7</v>
      </c>
      <c r="I3" s="14" t="s">
        <v>8</v>
      </c>
      <c r="J3" s="14" t="s">
        <v>9</v>
      </c>
      <c r="K3" s="14" t="s">
        <v>10</v>
      </c>
      <c r="L3" s="14" t="s">
        <v>11</v>
      </c>
    </row>
    <row r="4" spans="1:12" ht="29.25" customHeight="1">
      <c r="A4" s="15">
        <v>1</v>
      </c>
      <c r="B4" s="16" t="s">
        <v>138</v>
      </c>
      <c r="C4" s="17" t="s">
        <v>139</v>
      </c>
      <c r="D4" s="18" t="s">
        <v>282</v>
      </c>
      <c r="E4" s="18" t="s">
        <v>283</v>
      </c>
      <c r="F4" s="18" t="s">
        <v>284</v>
      </c>
      <c r="G4" s="18" t="s">
        <v>285</v>
      </c>
      <c r="H4" s="18" t="s">
        <v>286</v>
      </c>
      <c r="I4" s="19">
        <v>2</v>
      </c>
      <c r="J4" s="19" t="s">
        <v>287</v>
      </c>
      <c r="K4" s="18" t="s">
        <v>288</v>
      </c>
      <c r="L4" s="19"/>
    </row>
    <row r="5" spans="1:12" ht="51" customHeight="1">
      <c r="A5" s="15">
        <v>2</v>
      </c>
      <c r="B5" s="16" t="s">
        <v>138</v>
      </c>
      <c r="C5" s="17" t="s">
        <v>139</v>
      </c>
      <c r="D5" s="19" t="s">
        <v>289</v>
      </c>
      <c r="E5" s="18" t="s">
        <v>290</v>
      </c>
      <c r="F5" s="18" t="s">
        <v>291</v>
      </c>
      <c r="G5" s="18" t="s">
        <v>292</v>
      </c>
      <c r="H5" s="18" t="s">
        <v>293</v>
      </c>
      <c r="I5" s="19">
        <v>3</v>
      </c>
      <c r="J5" s="19" t="s">
        <v>294</v>
      </c>
      <c r="K5" s="18" t="s">
        <v>295</v>
      </c>
      <c r="L5" s="19"/>
    </row>
    <row r="6" spans="1:12" ht="57.75" customHeight="1">
      <c r="A6" s="15">
        <v>3</v>
      </c>
      <c r="B6" s="16" t="s">
        <v>138</v>
      </c>
      <c r="C6" s="17" t="s">
        <v>140</v>
      </c>
      <c r="D6" s="18" t="s">
        <v>296</v>
      </c>
      <c r="E6" s="18" t="s">
        <v>297</v>
      </c>
      <c r="F6" s="18" t="s">
        <v>298</v>
      </c>
      <c r="G6" s="18" t="s">
        <v>299</v>
      </c>
      <c r="H6" s="18" t="s">
        <v>300</v>
      </c>
      <c r="I6" s="19">
        <v>1</v>
      </c>
      <c r="J6" s="19" t="s">
        <v>301</v>
      </c>
      <c r="K6" s="18"/>
      <c r="L6" s="19"/>
    </row>
    <row r="7" spans="1:12" ht="51" customHeight="1">
      <c r="A7" s="15">
        <v>4</v>
      </c>
      <c r="B7" s="16" t="s">
        <v>138</v>
      </c>
      <c r="C7" s="17" t="s">
        <v>140</v>
      </c>
      <c r="D7" s="19" t="s">
        <v>302</v>
      </c>
      <c r="E7" s="18" t="s">
        <v>303</v>
      </c>
      <c r="F7" s="18" t="s">
        <v>304</v>
      </c>
      <c r="G7" s="18" t="s">
        <v>305</v>
      </c>
      <c r="H7" s="18" t="s">
        <v>306</v>
      </c>
      <c r="I7" s="19">
        <v>3</v>
      </c>
      <c r="J7" s="19" t="s">
        <v>307</v>
      </c>
      <c r="K7" s="18"/>
      <c r="L7" s="19"/>
    </row>
    <row r="8" spans="1:12" ht="29.25" customHeight="1">
      <c r="A8" s="15">
        <v>5</v>
      </c>
      <c r="B8" s="16" t="s">
        <v>138</v>
      </c>
      <c r="C8" s="17" t="s">
        <v>141</v>
      </c>
      <c r="D8" s="19" t="s">
        <v>308</v>
      </c>
      <c r="E8" s="18" t="s">
        <v>309</v>
      </c>
      <c r="F8" s="18" t="s">
        <v>310</v>
      </c>
      <c r="G8" s="18" t="s">
        <v>311</v>
      </c>
      <c r="H8" s="18" t="s">
        <v>312</v>
      </c>
      <c r="I8" s="19">
        <v>1</v>
      </c>
      <c r="J8" s="19" t="s">
        <v>313</v>
      </c>
      <c r="K8" s="18" t="s">
        <v>314</v>
      </c>
      <c r="L8" s="19"/>
    </row>
    <row r="9" spans="1:12" ht="38.25" customHeight="1">
      <c r="A9" s="15">
        <v>6</v>
      </c>
      <c r="B9" s="16" t="s">
        <v>138</v>
      </c>
      <c r="C9" s="17" t="s">
        <v>141</v>
      </c>
      <c r="D9" s="18" t="s">
        <v>315</v>
      </c>
      <c r="E9" s="18" t="s">
        <v>316</v>
      </c>
      <c r="F9" s="18" t="s">
        <v>317</v>
      </c>
      <c r="G9" s="18" t="s">
        <v>318</v>
      </c>
      <c r="H9" s="18" t="s">
        <v>319</v>
      </c>
      <c r="I9" s="19">
        <v>2</v>
      </c>
      <c r="J9" s="19" t="s">
        <v>320</v>
      </c>
      <c r="K9" s="18" t="s">
        <v>314</v>
      </c>
      <c r="L9" s="19"/>
    </row>
    <row r="10" spans="1:12" ht="57.75" customHeight="1">
      <c r="A10" s="15">
        <v>7</v>
      </c>
      <c r="B10" s="16" t="s">
        <v>138</v>
      </c>
      <c r="C10" s="17" t="s">
        <v>142</v>
      </c>
      <c r="D10" s="19" t="s">
        <v>321</v>
      </c>
      <c r="E10" s="18" t="s">
        <v>322</v>
      </c>
      <c r="F10" s="18" t="s">
        <v>323</v>
      </c>
      <c r="G10" s="18" t="s">
        <v>324</v>
      </c>
      <c r="H10" s="18" t="s">
        <v>325</v>
      </c>
      <c r="I10" s="19">
        <v>3</v>
      </c>
      <c r="J10" s="19" t="s">
        <v>326</v>
      </c>
      <c r="K10" s="18"/>
      <c r="L10" s="19"/>
    </row>
    <row r="11" spans="1:12" ht="38.25" customHeight="1">
      <c r="A11" s="15">
        <v>8</v>
      </c>
      <c r="B11" s="16" t="s">
        <v>138</v>
      </c>
      <c r="C11" s="17" t="s">
        <v>142</v>
      </c>
      <c r="D11" s="18" t="s">
        <v>327</v>
      </c>
      <c r="E11" s="18" t="s">
        <v>328</v>
      </c>
      <c r="F11" s="18" t="s">
        <v>329</v>
      </c>
      <c r="G11" s="18" t="s">
        <v>330</v>
      </c>
      <c r="H11" s="18" t="s">
        <v>331</v>
      </c>
      <c r="I11" s="19">
        <v>4</v>
      </c>
      <c r="J11" s="19" t="s">
        <v>332</v>
      </c>
      <c r="K11" s="18"/>
      <c r="L11" s="19"/>
    </row>
    <row r="12" spans="1:12" ht="43.5" customHeight="1">
      <c r="A12" s="15">
        <v>9</v>
      </c>
      <c r="B12" s="16" t="s">
        <v>138</v>
      </c>
      <c r="C12" s="17" t="s">
        <v>143</v>
      </c>
      <c r="D12" s="19" t="s">
        <v>333</v>
      </c>
      <c r="E12" s="18" t="s">
        <v>334</v>
      </c>
      <c r="F12" s="18" t="s">
        <v>335</v>
      </c>
      <c r="G12" s="18" t="s">
        <v>336</v>
      </c>
      <c r="H12" s="18" t="s">
        <v>337</v>
      </c>
      <c r="I12" s="19">
        <v>2</v>
      </c>
      <c r="J12" s="19" t="s">
        <v>338</v>
      </c>
      <c r="K12" s="18" t="s">
        <v>339</v>
      </c>
      <c r="L12" s="19"/>
    </row>
    <row r="13" spans="1:12" ht="36.75" customHeight="1">
      <c r="A13" s="15">
        <v>10</v>
      </c>
      <c r="B13" s="16" t="s">
        <v>138</v>
      </c>
      <c r="C13" s="17" t="s">
        <v>143</v>
      </c>
      <c r="D13" s="18" t="s">
        <v>340</v>
      </c>
      <c r="E13" s="18" t="s">
        <v>341</v>
      </c>
      <c r="F13" s="18" t="s">
        <v>342</v>
      </c>
      <c r="G13" s="18" t="s">
        <v>343</v>
      </c>
      <c r="H13" s="18" t="s">
        <v>344</v>
      </c>
      <c r="I13" s="19">
        <v>4</v>
      </c>
      <c r="J13" s="19" t="s">
        <v>345</v>
      </c>
      <c r="K13" s="18"/>
      <c r="L13" s="19"/>
    </row>
    <row r="14" spans="1:12" ht="57.75" customHeight="1">
      <c r="A14" s="15">
        <v>11</v>
      </c>
      <c r="B14" s="16" t="s">
        <v>144</v>
      </c>
      <c r="C14" s="17" t="s">
        <v>145</v>
      </c>
      <c r="D14" s="18" t="s">
        <v>346</v>
      </c>
      <c r="E14" s="18" t="s">
        <v>347</v>
      </c>
      <c r="F14" s="18" t="s">
        <v>348</v>
      </c>
      <c r="G14" s="18" t="s">
        <v>349</v>
      </c>
      <c r="H14" s="18" t="s">
        <v>350</v>
      </c>
      <c r="I14" s="19">
        <v>2</v>
      </c>
      <c r="J14" s="19" t="s">
        <v>351</v>
      </c>
      <c r="K14" s="18" t="s">
        <v>352</v>
      </c>
      <c r="L14" s="19"/>
    </row>
    <row r="15" spans="1:12" ht="38.25" customHeight="1">
      <c r="A15" s="15">
        <v>12</v>
      </c>
      <c r="B15" s="16" t="s">
        <v>144</v>
      </c>
      <c r="C15" s="17" t="s">
        <v>145</v>
      </c>
      <c r="D15" s="18" t="s">
        <v>353</v>
      </c>
      <c r="E15" s="18" t="s">
        <v>354</v>
      </c>
      <c r="F15" s="18" t="s">
        <v>355</v>
      </c>
      <c r="G15" s="18" t="s">
        <v>356</v>
      </c>
      <c r="H15" s="18" t="s">
        <v>357</v>
      </c>
      <c r="I15" s="19">
        <v>1</v>
      </c>
      <c r="J15" s="19" t="s">
        <v>358</v>
      </c>
      <c r="K15" s="18"/>
      <c r="L15" s="19"/>
    </row>
    <row r="16" spans="1:12" ht="43.5" customHeight="1">
      <c r="A16" s="15">
        <v>13</v>
      </c>
      <c r="B16" s="16" t="s">
        <v>144</v>
      </c>
      <c r="C16" s="17" t="s">
        <v>146</v>
      </c>
      <c r="D16" s="19" t="s">
        <v>359</v>
      </c>
      <c r="E16" s="18" t="s">
        <v>360</v>
      </c>
      <c r="F16" s="19" t="s">
        <v>361</v>
      </c>
      <c r="G16" s="18" t="s">
        <v>362</v>
      </c>
      <c r="H16" s="18" t="s">
        <v>363</v>
      </c>
      <c r="I16" s="19">
        <v>3</v>
      </c>
      <c r="J16" s="19" t="s">
        <v>364</v>
      </c>
      <c r="K16" s="18" t="s">
        <v>365</v>
      </c>
      <c r="L16" s="19"/>
    </row>
    <row r="17" spans="1:12" ht="51" customHeight="1">
      <c r="A17" s="15">
        <v>14</v>
      </c>
      <c r="B17" s="16" t="s">
        <v>144</v>
      </c>
      <c r="C17" s="17" t="s">
        <v>146</v>
      </c>
      <c r="D17" s="18" t="s">
        <v>366</v>
      </c>
      <c r="E17" s="18" t="s">
        <v>367</v>
      </c>
      <c r="F17" s="18" t="s">
        <v>368</v>
      </c>
      <c r="G17" s="18" t="s">
        <v>369</v>
      </c>
      <c r="H17" s="18" t="s">
        <v>370</v>
      </c>
      <c r="I17" s="19">
        <v>2</v>
      </c>
      <c r="J17" s="19" t="s">
        <v>371</v>
      </c>
      <c r="K17" s="18"/>
      <c r="L17" s="19"/>
    </row>
    <row r="18" spans="1:12" ht="43.5" customHeight="1">
      <c r="A18" s="15">
        <v>15</v>
      </c>
      <c r="B18" s="16" t="s">
        <v>144</v>
      </c>
      <c r="C18" s="17" t="s">
        <v>147</v>
      </c>
      <c r="D18" s="19" t="s">
        <v>372</v>
      </c>
      <c r="E18" s="18" t="s">
        <v>373</v>
      </c>
      <c r="F18" s="18" t="s">
        <v>374</v>
      </c>
      <c r="G18" s="18" t="s">
        <v>375</v>
      </c>
      <c r="H18" s="18" t="s">
        <v>376</v>
      </c>
      <c r="I18" s="19">
        <v>4</v>
      </c>
      <c r="J18" s="19" t="s">
        <v>377</v>
      </c>
      <c r="K18" s="18" t="s">
        <v>378</v>
      </c>
      <c r="L18" s="19"/>
    </row>
    <row r="19" spans="1:12" ht="38.25" customHeight="1">
      <c r="A19" s="15">
        <v>16</v>
      </c>
      <c r="B19" s="16" t="s">
        <v>144</v>
      </c>
      <c r="C19" s="17" t="s">
        <v>147</v>
      </c>
      <c r="D19" s="18" t="s">
        <v>379</v>
      </c>
      <c r="E19" s="18" t="s">
        <v>380</v>
      </c>
      <c r="F19" s="18" t="s">
        <v>381</v>
      </c>
      <c r="G19" s="18" t="s">
        <v>382</v>
      </c>
      <c r="H19" s="18" t="s">
        <v>383</v>
      </c>
      <c r="I19" s="19">
        <v>4</v>
      </c>
      <c r="J19" s="19" t="s">
        <v>384</v>
      </c>
      <c r="K19" s="18"/>
      <c r="L19" s="19"/>
    </row>
    <row r="20" spans="1:12" ht="38.25" customHeight="1">
      <c r="A20" s="15">
        <v>17</v>
      </c>
      <c r="B20" s="16" t="s">
        <v>144</v>
      </c>
      <c r="C20" s="17" t="s">
        <v>147</v>
      </c>
      <c r="D20" s="19" t="s">
        <v>385</v>
      </c>
      <c r="E20" s="18" t="s">
        <v>386</v>
      </c>
      <c r="F20" s="18" t="s">
        <v>387</v>
      </c>
      <c r="G20" s="18" t="s">
        <v>388</v>
      </c>
      <c r="H20" s="18" t="s">
        <v>389</v>
      </c>
      <c r="I20" s="19">
        <v>1</v>
      </c>
      <c r="J20" s="19" t="s">
        <v>390</v>
      </c>
      <c r="K20" s="18"/>
      <c r="L20" s="19"/>
    </row>
    <row r="21" spans="1:12" ht="43.5" customHeight="1">
      <c r="A21" s="15">
        <v>18</v>
      </c>
      <c r="B21" s="16" t="s">
        <v>144</v>
      </c>
      <c r="C21" s="17" t="s">
        <v>148</v>
      </c>
      <c r="D21" s="19" t="s">
        <v>391</v>
      </c>
      <c r="E21" s="18" t="s">
        <v>392</v>
      </c>
      <c r="F21" s="18" t="s">
        <v>393</v>
      </c>
      <c r="G21" s="18" t="s">
        <v>394</v>
      </c>
      <c r="H21" s="18" t="s">
        <v>395</v>
      </c>
      <c r="I21" s="19">
        <v>1</v>
      </c>
      <c r="J21" s="19" t="s">
        <v>396</v>
      </c>
      <c r="K21" s="18"/>
      <c r="L21" s="19"/>
    </row>
    <row r="22" spans="1:12" ht="51" customHeight="1">
      <c r="A22" s="15">
        <v>19</v>
      </c>
      <c r="B22" s="16" t="s">
        <v>144</v>
      </c>
      <c r="C22" s="17" t="s">
        <v>148</v>
      </c>
      <c r="D22" s="18" t="s">
        <v>397</v>
      </c>
      <c r="E22" s="18" t="s">
        <v>398</v>
      </c>
      <c r="F22" s="18" t="s">
        <v>399</v>
      </c>
      <c r="G22" s="18" t="s">
        <v>400</v>
      </c>
      <c r="H22" s="18" t="s">
        <v>401</v>
      </c>
      <c r="I22" s="19">
        <v>3</v>
      </c>
      <c r="J22" s="19" t="s">
        <v>402</v>
      </c>
      <c r="K22" s="18"/>
      <c r="L22" s="19"/>
    </row>
    <row r="23" spans="1:12" ht="51" customHeight="1">
      <c r="A23" s="20">
        <v>20</v>
      </c>
      <c r="B23" s="21" t="s">
        <v>144</v>
      </c>
      <c r="C23" s="22" t="s">
        <v>146</v>
      </c>
      <c r="D23" s="23" t="s">
        <v>403</v>
      </c>
      <c r="E23" s="23" t="s">
        <v>404</v>
      </c>
      <c r="F23" s="23" t="s">
        <v>405</v>
      </c>
      <c r="G23" s="23" t="s">
        <v>406</v>
      </c>
      <c r="H23" s="23" t="s">
        <v>407</v>
      </c>
      <c r="I23" s="24">
        <v>1</v>
      </c>
      <c r="J23" s="24" t="s">
        <v>408</v>
      </c>
      <c r="K23" s="23" t="s">
        <v>409</v>
      </c>
      <c r="L23" s="24"/>
    </row>
    <row r="24" spans="1:12" ht="126" customHeight="1">
      <c r="A24" s="20">
        <v>21</v>
      </c>
      <c r="B24" s="21" t="s">
        <v>144</v>
      </c>
      <c r="C24" s="22" t="s">
        <v>145</v>
      </c>
      <c r="D24" s="23" t="s">
        <v>410</v>
      </c>
      <c r="E24" s="23" t="s">
        <v>411</v>
      </c>
      <c r="F24" s="23" t="s">
        <v>412</v>
      </c>
      <c r="G24" s="23" t="s">
        <v>413</v>
      </c>
      <c r="H24" s="23" t="s">
        <v>414</v>
      </c>
      <c r="I24" s="24">
        <v>4</v>
      </c>
      <c r="J24" s="24" t="s">
        <v>415</v>
      </c>
      <c r="K24" s="23" t="s">
        <v>416</v>
      </c>
      <c r="L24" s="24"/>
    </row>
    <row r="25" spans="1:12" ht="126" customHeight="1">
      <c r="A25" s="20">
        <v>22</v>
      </c>
      <c r="B25" s="21" t="s">
        <v>144</v>
      </c>
      <c r="C25" s="22" t="s">
        <v>146</v>
      </c>
      <c r="D25" s="23" t="s">
        <v>417</v>
      </c>
      <c r="E25" s="23" t="s">
        <v>418</v>
      </c>
      <c r="F25" s="23" t="s">
        <v>419</v>
      </c>
      <c r="G25" s="23" t="s">
        <v>420</v>
      </c>
      <c r="H25" s="23" t="s">
        <v>421</v>
      </c>
      <c r="I25" s="24">
        <v>2</v>
      </c>
      <c r="J25" s="24" t="s">
        <v>422</v>
      </c>
      <c r="K25" s="23" t="s">
        <v>423</v>
      </c>
      <c r="L25" s="24"/>
    </row>
    <row r="26" spans="1:12" ht="97.5" customHeight="1">
      <c r="A26" s="20">
        <v>23</v>
      </c>
      <c r="B26" s="21" t="s">
        <v>144</v>
      </c>
      <c r="C26" s="22" t="s">
        <v>146</v>
      </c>
      <c r="D26" s="23" t="s">
        <v>424</v>
      </c>
      <c r="E26" s="23" t="s">
        <v>425</v>
      </c>
      <c r="F26" s="23" t="s">
        <v>426</v>
      </c>
      <c r="G26" s="23" t="s">
        <v>427</v>
      </c>
      <c r="H26" s="23" t="s">
        <v>428</v>
      </c>
      <c r="I26" s="24">
        <v>1</v>
      </c>
      <c r="J26" s="24" t="s">
        <v>429</v>
      </c>
      <c r="K26" s="23" t="s">
        <v>430</v>
      </c>
      <c r="L26" s="24"/>
    </row>
    <row r="27" spans="1:12" ht="139.5" customHeight="1">
      <c r="A27" s="20">
        <v>24</v>
      </c>
      <c r="B27" s="21" t="s">
        <v>144</v>
      </c>
      <c r="C27" s="22" t="s">
        <v>146</v>
      </c>
      <c r="D27" s="23" t="s">
        <v>431</v>
      </c>
      <c r="E27" s="23" t="s">
        <v>432</v>
      </c>
      <c r="F27" s="23" t="s">
        <v>433</v>
      </c>
      <c r="G27" s="23" t="s">
        <v>434</v>
      </c>
      <c r="H27" s="23" t="s">
        <v>435</v>
      </c>
      <c r="I27" s="24">
        <v>3</v>
      </c>
      <c r="J27" s="24" t="s">
        <v>436</v>
      </c>
      <c r="K27" s="23" t="s">
        <v>437</v>
      </c>
      <c r="L27" s="24"/>
    </row>
    <row r="28" spans="1:12" ht="50.75" customHeight="1">
      <c r="A28" s="20">
        <v>25</v>
      </c>
      <c r="B28" s="87" t="s">
        <v>138</v>
      </c>
      <c r="C28" s="87" t="s">
        <v>139</v>
      </c>
      <c r="D28" s="88" t="s">
        <v>438</v>
      </c>
      <c r="E28" s="87" t="s">
        <v>439</v>
      </c>
      <c r="F28" s="87" t="s">
        <v>440</v>
      </c>
      <c r="G28" s="87" t="s">
        <v>441</v>
      </c>
      <c r="H28" s="87" t="s">
        <v>442</v>
      </c>
      <c r="I28" s="87">
        <v>4</v>
      </c>
      <c r="J28" s="88" t="s">
        <v>443</v>
      </c>
      <c r="K28" s="87"/>
    </row>
    <row r="29" spans="1:12" ht="50.75" customHeight="1">
      <c r="A29" s="20">
        <v>26</v>
      </c>
      <c r="B29" s="87" t="s">
        <v>138</v>
      </c>
      <c r="C29" s="87" t="s">
        <v>140</v>
      </c>
      <c r="D29" s="88" t="s">
        <v>444</v>
      </c>
      <c r="E29" s="87" t="s">
        <v>445</v>
      </c>
      <c r="F29" s="87" t="s">
        <v>446</v>
      </c>
      <c r="G29" s="87" t="s">
        <v>447</v>
      </c>
      <c r="H29" s="87" t="s">
        <v>448</v>
      </c>
      <c r="I29" s="87">
        <v>3</v>
      </c>
      <c r="J29" s="88" t="s">
        <v>449</v>
      </c>
      <c r="K29" s="87"/>
    </row>
    <row r="30" spans="1:12" ht="67.5" customHeight="1">
      <c r="A30" s="20">
        <v>27</v>
      </c>
      <c r="B30" s="87" t="s">
        <v>138</v>
      </c>
      <c r="C30" s="87" t="s">
        <v>141</v>
      </c>
      <c r="D30" s="88" t="s">
        <v>450</v>
      </c>
      <c r="E30" s="87" t="s">
        <v>451</v>
      </c>
      <c r="F30" s="87" t="s">
        <v>452</v>
      </c>
      <c r="G30" s="87" t="s">
        <v>453</v>
      </c>
      <c r="H30" s="87" t="s">
        <v>454</v>
      </c>
      <c r="I30" s="87">
        <v>2</v>
      </c>
      <c r="J30" s="88" t="s">
        <v>455</v>
      </c>
      <c r="K30" s="87"/>
    </row>
    <row r="31" spans="1:12" ht="67.5" customHeight="1">
      <c r="A31" s="20">
        <v>28</v>
      </c>
      <c r="B31" s="87" t="s">
        <v>138</v>
      </c>
      <c r="C31" s="87" t="s">
        <v>142</v>
      </c>
      <c r="D31" s="88" t="s">
        <v>456</v>
      </c>
      <c r="E31" s="87" t="s">
        <v>457</v>
      </c>
      <c r="F31" s="87" t="s">
        <v>458</v>
      </c>
      <c r="G31" s="87" t="s">
        <v>459</v>
      </c>
      <c r="H31" s="87" t="s">
        <v>460</v>
      </c>
      <c r="I31" s="87">
        <v>2</v>
      </c>
      <c r="J31" s="88" t="s">
        <v>461</v>
      </c>
      <c r="K31" s="87"/>
    </row>
    <row r="32" spans="1:12" ht="84.5" customHeight="1">
      <c r="A32" s="20">
        <v>29</v>
      </c>
      <c r="B32" s="87" t="s">
        <v>138</v>
      </c>
      <c r="C32" s="87" t="s">
        <v>143</v>
      </c>
      <c r="D32" s="88" t="s">
        <v>462</v>
      </c>
      <c r="E32" s="87" t="s">
        <v>463</v>
      </c>
      <c r="F32" s="87" t="s">
        <v>464</v>
      </c>
      <c r="G32" s="87" t="s">
        <v>465</v>
      </c>
      <c r="H32" s="87" t="s">
        <v>466</v>
      </c>
      <c r="I32" s="87">
        <v>3</v>
      </c>
      <c r="J32" s="88" t="s">
        <v>467</v>
      </c>
      <c r="K32" s="87"/>
    </row>
    <row r="33" spans="1:11" ht="67.5" customHeight="1">
      <c r="A33" s="20">
        <v>30</v>
      </c>
      <c r="B33" s="87" t="s">
        <v>138</v>
      </c>
      <c r="C33" s="87" t="s">
        <v>139</v>
      </c>
      <c r="D33" s="88" t="s">
        <v>468</v>
      </c>
      <c r="E33" s="87" t="s">
        <v>469</v>
      </c>
      <c r="F33" s="87" t="s">
        <v>470</v>
      </c>
      <c r="G33" s="87" t="s">
        <v>471</v>
      </c>
      <c r="H33" s="87" t="s">
        <v>472</v>
      </c>
      <c r="I33" s="87">
        <v>1</v>
      </c>
      <c r="J33" s="88" t="s">
        <v>473</v>
      </c>
      <c r="K33" s="87"/>
    </row>
    <row r="34" spans="1:11" ht="67.5" customHeight="1">
      <c r="A34" s="20">
        <v>31</v>
      </c>
      <c r="B34" s="87" t="s">
        <v>138</v>
      </c>
      <c r="C34" s="87" t="s">
        <v>139</v>
      </c>
      <c r="D34" s="88" t="s">
        <v>474</v>
      </c>
      <c r="E34" s="87" t="s">
        <v>475</v>
      </c>
      <c r="F34" s="87" t="s">
        <v>476</v>
      </c>
      <c r="G34" s="87" t="s">
        <v>477</v>
      </c>
      <c r="H34" s="87" t="s">
        <v>478</v>
      </c>
      <c r="I34" s="87">
        <v>1</v>
      </c>
      <c r="J34" s="88" t="s">
        <v>479</v>
      </c>
      <c r="K34" s="87"/>
    </row>
    <row r="35" spans="1:11" ht="84.5" customHeight="1">
      <c r="A35" s="20">
        <v>32</v>
      </c>
      <c r="B35" s="87" t="s">
        <v>138</v>
      </c>
      <c r="C35" s="87" t="s">
        <v>139</v>
      </c>
      <c r="D35" s="88" t="s">
        <v>480</v>
      </c>
      <c r="E35" s="87" t="s">
        <v>481</v>
      </c>
      <c r="F35" s="87" t="s">
        <v>482</v>
      </c>
      <c r="G35" s="87" t="s">
        <v>483</v>
      </c>
      <c r="H35" s="87" t="s">
        <v>484</v>
      </c>
      <c r="I35" s="87">
        <v>4</v>
      </c>
      <c r="J35" s="88" t="s">
        <v>485</v>
      </c>
      <c r="K35" s="87"/>
    </row>
    <row r="36" spans="1:11" ht="50.75" customHeight="1">
      <c r="A36" s="20">
        <v>33</v>
      </c>
      <c r="B36" s="87" t="s">
        <v>138</v>
      </c>
      <c r="C36" s="87" t="s">
        <v>139</v>
      </c>
      <c r="D36" s="88" t="s">
        <v>486</v>
      </c>
      <c r="E36" s="87" t="s">
        <v>487</v>
      </c>
      <c r="F36" s="87" t="s">
        <v>488</v>
      </c>
      <c r="G36" s="87" t="s">
        <v>489</v>
      </c>
      <c r="H36" s="87" t="s">
        <v>490</v>
      </c>
      <c r="I36" s="87">
        <v>2</v>
      </c>
      <c r="J36" s="88" t="s">
        <v>491</v>
      </c>
      <c r="K36" s="87"/>
    </row>
    <row r="37" spans="1:11" ht="50.75" customHeight="1">
      <c r="A37" s="20">
        <v>34</v>
      </c>
      <c r="B37" s="87" t="s">
        <v>138</v>
      </c>
      <c r="C37" s="87" t="s">
        <v>140</v>
      </c>
      <c r="D37" s="88" t="s">
        <v>492</v>
      </c>
      <c r="E37" s="87" t="s">
        <v>493</v>
      </c>
      <c r="F37" s="87" t="s">
        <v>494</v>
      </c>
      <c r="G37" s="87" t="s">
        <v>495</v>
      </c>
      <c r="H37" s="87" t="s">
        <v>496</v>
      </c>
      <c r="I37" s="87">
        <v>2</v>
      </c>
      <c r="J37" s="88" t="s">
        <v>497</v>
      </c>
      <c r="K37" s="87"/>
    </row>
    <row r="38" spans="1:11" ht="50.75" customHeight="1">
      <c r="A38" s="20">
        <v>35</v>
      </c>
      <c r="B38" s="87" t="s">
        <v>138</v>
      </c>
      <c r="C38" s="87" t="s">
        <v>139</v>
      </c>
      <c r="D38" s="88" t="s">
        <v>498</v>
      </c>
      <c r="E38" s="87" t="s">
        <v>499</v>
      </c>
      <c r="F38" s="87" t="s">
        <v>500</v>
      </c>
      <c r="G38" s="87" t="s">
        <v>501</v>
      </c>
      <c r="H38" s="87" t="s">
        <v>502</v>
      </c>
      <c r="I38" s="87">
        <v>3</v>
      </c>
      <c r="J38" s="88" t="s">
        <v>503</v>
      </c>
      <c r="K38" s="87"/>
    </row>
    <row r="39" spans="1:11" ht="50.75" customHeight="1">
      <c r="A39" s="20">
        <v>36</v>
      </c>
      <c r="B39" s="87" t="s">
        <v>138</v>
      </c>
      <c r="C39" s="87" t="s">
        <v>140</v>
      </c>
      <c r="D39" s="88" t="s">
        <v>504</v>
      </c>
      <c r="E39" s="87" t="s">
        <v>505</v>
      </c>
      <c r="F39" s="87" t="s">
        <v>506</v>
      </c>
      <c r="G39" s="87" t="s">
        <v>507</v>
      </c>
      <c r="H39" s="87" t="s">
        <v>508</v>
      </c>
      <c r="I39" s="87">
        <v>2</v>
      </c>
      <c r="J39" s="88" t="s">
        <v>509</v>
      </c>
      <c r="K39" s="87"/>
    </row>
    <row r="40" spans="1:11" ht="50.75" customHeight="1">
      <c r="A40" s="20">
        <v>37</v>
      </c>
      <c r="B40" s="87" t="s">
        <v>138</v>
      </c>
      <c r="C40" s="87" t="s">
        <v>139</v>
      </c>
      <c r="D40" s="88" t="s">
        <v>510</v>
      </c>
      <c r="E40" s="87" t="s">
        <v>511</v>
      </c>
      <c r="F40" s="87" t="s">
        <v>512</v>
      </c>
      <c r="G40" s="87" t="s">
        <v>513</v>
      </c>
      <c r="H40" s="87" t="s">
        <v>514</v>
      </c>
      <c r="I40" s="87">
        <v>2</v>
      </c>
      <c r="J40" s="88" t="s">
        <v>515</v>
      </c>
      <c r="K40" s="87"/>
    </row>
    <row r="41" spans="1:11" ht="50.75" customHeight="1">
      <c r="A41" s="20">
        <v>38</v>
      </c>
      <c r="B41" s="87" t="s">
        <v>138</v>
      </c>
      <c r="C41" s="87" t="s">
        <v>139</v>
      </c>
      <c r="D41" s="88" t="s">
        <v>516</v>
      </c>
      <c r="E41" s="87" t="s">
        <v>517</v>
      </c>
      <c r="F41" s="87" t="s">
        <v>518</v>
      </c>
      <c r="G41" s="87" t="s">
        <v>519</v>
      </c>
      <c r="H41" s="87" t="s">
        <v>520</v>
      </c>
      <c r="I41" s="87">
        <v>2</v>
      </c>
      <c r="J41" s="88" t="s">
        <v>521</v>
      </c>
      <c r="K41" s="87"/>
    </row>
    <row r="42" spans="1:11" ht="50.75" customHeight="1">
      <c r="A42" s="20">
        <v>39</v>
      </c>
      <c r="B42" s="87" t="s">
        <v>138</v>
      </c>
      <c r="C42" s="87" t="s">
        <v>139</v>
      </c>
      <c r="D42" s="88" t="s">
        <v>522</v>
      </c>
      <c r="E42" s="87" t="s">
        <v>523</v>
      </c>
      <c r="F42" s="87" t="s">
        <v>524</v>
      </c>
      <c r="G42" s="87" t="s">
        <v>525</v>
      </c>
      <c r="H42" s="87" t="s">
        <v>526</v>
      </c>
      <c r="I42" s="87">
        <v>2</v>
      </c>
      <c r="J42" s="88" t="s">
        <v>527</v>
      </c>
      <c r="K42" s="87"/>
    </row>
    <row r="43" spans="1:11" ht="118.25" customHeight="1">
      <c r="A43" s="20">
        <v>40</v>
      </c>
      <c r="B43" s="87" t="s">
        <v>138</v>
      </c>
      <c r="C43" s="87" t="s">
        <v>139</v>
      </c>
      <c r="D43" s="88" t="s">
        <v>528</v>
      </c>
      <c r="E43" s="87" t="s">
        <v>529</v>
      </c>
      <c r="F43" s="87" t="s">
        <v>530</v>
      </c>
      <c r="G43" s="87" t="s">
        <v>531</v>
      </c>
      <c r="H43" s="87" t="s">
        <v>532</v>
      </c>
      <c r="I43" s="87">
        <v>1</v>
      </c>
      <c r="J43" s="88" t="s">
        <v>533</v>
      </c>
      <c r="K43" s="87"/>
    </row>
    <row r="44" spans="1:11" ht="67.5" customHeight="1">
      <c r="A44" s="20">
        <v>41</v>
      </c>
      <c r="B44" s="87" t="s">
        <v>138</v>
      </c>
      <c r="C44" s="87" t="s">
        <v>139</v>
      </c>
      <c r="D44" s="88" t="s">
        <v>534</v>
      </c>
      <c r="E44" s="87" t="s">
        <v>535</v>
      </c>
      <c r="F44" s="87" t="s">
        <v>536</v>
      </c>
      <c r="G44" s="87" t="s">
        <v>537</v>
      </c>
      <c r="H44" s="87" t="s">
        <v>538</v>
      </c>
      <c r="I44" s="87">
        <v>4</v>
      </c>
      <c r="J44" s="88" t="s">
        <v>539</v>
      </c>
      <c r="K44" s="87"/>
    </row>
    <row r="45" spans="1:11" ht="84.5" customHeight="1">
      <c r="A45" s="20">
        <v>42</v>
      </c>
      <c r="B45" s="87" t="s">
        <v>138</v>
      </c>
      <c r="C45" s="87" t="s">
        <v>139</v>
      </c>
      <c r="D45" s="88" t="s">
        <v>540</v>
      </c>
      <c r="E45" s="87" t="s">
        <v>541</v>
      </c>
      <c r="F45" s="87" t="s">
        <v>542</v>
      </c>
      <c r="G45" s="87" t="s">
        <v>543</v>
      </c>
      <c r="H45" s="87" t="s">
        <v>544</v>
      </c>
      <c r="I45" s="87">
        <v>1</v>
      </c>
      <c r="J45" s="88" t="s">
        <v>545</v>
      </c>
      <c r="K45" s="87"/>
    </row>
    <row r="46" spans="1:11" ht="84.5" customHeight="1">
      <c r="A46" s="20">
        <v>43</v>
      </c>
      <c r="B46" s="87" t="s">
        <v>138</v>
      </c>
      <c r="C46" s="87" t="s">
        <v>140</v>
      </c>
      <c r="D46" s="88" t="s">
        <v>546</v>
      </c>
      <c r="E46" s="87" t="s">
        <v>547</v>
      </c>
      <c r="F46" s="87" t="s">
        <v>548</v>
      </c>
      <c r="G46" s="87" t="s">
        <v>549</v>
      </c>
      <c r="H46" s="87" t="s">
        <v>550</v>
      </c>
      <c r="I46" s="87">
        <v>3</v>
      </c>
      <c r="J46" s="88" t="s">
        <v>551</v>
      </c>
      <c r="K46" s="87"/>
    </row>
    <row r="47" spans="1:11" ht="101.25" customHeight="1">
      <c r="A47" s="20">
        <v>44</v>
      </c>
      <c r="B47" s="87" t="s">
        <v>138</v>
      </c>
      <c r="C47" s="87" t="s">
        <v>139</v>
      </c>
      <c r="D47" s="88" t="s">
        <v>552</v>
      </c>
      <c r="E47" s="87" t="s">
        <v>553</v>
      </c>
      <c r="F47" s="87" t="s">
        <v>554</v>
      </c>
      <c r="G47" s="87" t="s">
        <v>555</v>
      </c>
      <c r="H47" s="87" t="s">
        <v>556</v>
      </c>
      <c r="I47" s="87">
        <v>1</v>
      </c>
      <c r="J47" s="88" t="s">
        <v>557</v>
      </c>
      <c r="K47" s="87"/>
    </row>
    <row r="48" spans="1:11" ht="50.75" customHeight="1">
      <c r="A48" s="20">
        <v>45</v>
      </c>
      <c r="B48" s="87" t="s">
        <v>144</v>
      </c>
      <c r="C48" s="87" t="s">
        <v>146</v>
      </c>
      <c r="D48" s="88" t="s">
        <v>558</v>
      </c>
      <c r="E48" s="87" t="s">
        <v>559</v>
      </c>
      <c r="F48" s="87" t="s">
        <v>560</v>
      </c>
      <c r="G48" s="87" t="s">
        <v>561</v>
      </c>
      <c r="H48" s="87" t="s">
        <v>562</v>
      </c>
      <c r="I48" s="87">
        <v>1</v>
      </c>
      <c r="J48" s="88" t="s">
        <v>563</v>
      </c>
      <c r="K48" s="87"/>
    </row>
    <row r="49" spans="1:11" ht="33.75" customHeight="1">
      <c r="A49" s="20">
        <v>46</v>
      </c>
      <c r="B49" s="87" t="s">
        <v>144</v>
      </c>
      <c r="C49" s="87" t="s">
        <v>146</v>
      </c>
      <c r="D49" s="88" t="s">
        <v>564</v>
      </c>
      <c r="E49" s="87" t="s">
        <v>565</v>
      </c>
      <c r="F49" s="87" t="s">
        <v>566</v>
      </c>
      <c r="G49" s="87" t="s">
        <v>567</v>
      </c>
      <c r="H49" s="87" t="s">
        <v>568</v>
      </c>
      <c r="I49" s="87">
        <v>3</v>
      </c>
      <c r="J49" s="88" t="s">
        <v>569</v>
      </c>
      <c r="K49" s="87"/>
    </row>
    <row r="50" spans="1:11" ht="33.75" customHeight="1">
      <c r="A50" s="20">
        <v>47</v>
      </c>
      <c r="B50" s="87" t="s">
        <v>144</v>
      </c>
      <c r="C50" s="87" t="s">
        <v>147</v>
      </c>
      <c r="D50" s="88" t="s">
        <v>570</v>
      </c>
      <c r="E50" s="87" t="s">
        <v>571</v>
      </c>
      <c r="F50" s="87" t="s">
        <v>572</v>
      </c>
      <c r="G50" s="87" t="s">
        <v>573</v>
      </c>
      <c r="H50" s="87" t="s">
        <v>574</v>
      </c>
      <c r="I50" s="87">
        <v>3</v>
      </c>
      <c r="J50" s="88" t="s">
        <v>575</v>
      </c>
      <c r="K50" s="87"/>
    </row>
    <row r="51" spans="1:11" ht="50.75" customHeight="1">
      <c r="A51" s="20">
        <v>48</v>
      </c>
      <c r="B51" s="87" t="s">
        <v>144</v>
      </c>
      <c r="C51" s="87" t="s">
        <v>145</v>
      </c>
      <c r="D51" s="88" t="s">
        <v>576</v>
      </c>
      <c r="E51" s="87" t="s">
        <v>577</v>
      </c>
      <c r="F51" s="87" t="s">
        <v>578</v>
      </c>
      <c r="G51" s="87" t="s">
        <v>579</v>
      </c>
      <c r="H51" s="87" t="s">
        <v>580</v>
      </c>
      <c r="I51" s="87">
        <v>3</v>
      </c>
      <c r="J51" s="88" t="s">
        <v>581</v>
      </c>
      <c r="K51" s="87"/>
    </row>
    <row r="52" spans="1:11" ht="33.75" customHeight="1">
      <c r="A52" s="20">
        <v>49</v>
      </c>
      <c r="B52" s="87" t="s">
        <v>138</v>
      </c>
      <c r="C52" s="87" t="s">
        <v>141</v>
      </c>
      <c r="D52" s="88" t="s">
        <v>582</v>
      </c>
      <c r="E52" s="87" t="s">
        <v>583</v>
      </c>
      <c r="F52" s="87" t="s">
        <v>584</v>
      </c>
      <c r="G52" s="87" t="s">
        <v>585</v>
      </c>
      <c r="H52" s="87" t="s">
        <v>586</v>
      </c>
      <c r="I52" s="87">
        <v>3</v>
      </c>
      <c r="J52" s="88" t="s">
        <v>587</v>
      </c>
      <c r="K52" s="87"/>
    </row>
    <row r="53" spans="1:11" ht="118.25" customHeight="1">
      <c r="A53" s="20">
        <v>50</v>
      </c>
      <c r="B53" s="87" t="s">
        <v>144</v>
      </c>
      <c r="C53" s="87" t="s">
        <v>148</v>
      </c>
      <c r="D53" s="88" t="s">
        <v>588</v>
      </c>
      <c r="E53" s="87" t="s">
        <v>589</v>
      </c>
      <c r="F53" s="87" t="s">
        <v>590</v>
      </c>
      <c r="G53" s="87" t="s">
        <v>591</v>
      </c>
      <c r="H53" s="87" t="s">
        <v>592</v>
      </c>
      <c r="I53" s="87">
        <v>2</v>
      </c>
      <c r="J53" s="88" t="s">
        <v>593</v>
      </c>
      <c r="K53" s="87"/>
    </row>
    <row r="54" spans="1:11" ht="101.25" customHeight="1">
      <c r="A54" s="20">
        <v>51</v>
      </c>
      <c r="B54" s="87" t="s">
        <v>144</v>
      </c>
      <c r="C54" s="87" t="s">
        <v>147</v>
      </c>
      <c r="D54" s="88" t="s">
        <v>594</v>
      </c>
      <c r="E54" s="87" t="s">
        <v>595</v>
      </c>
      <c r="F54" s="87" t="s">
        <v>596</v>
      </c>
      <c r="G54" s="87" t="s">
        <v>597</v>
      </c>
      <c r="H54" s="87" t="s">
        <v>598</v>
      </c>
      <c r="I54" s="87">
        <v>2</v>
      </c>
      <c r="J54" s="88" t="s">
        <v>599</v>
      </c>
      <c r="K54" s="87"/>
    </row>
    <row r="55" spans="1:11" ht="33.75" customHeight="1">
      <c r="A55" s="20">
        <v>52</v>
      </c>
      <c r="B55" s="87" t="s">
        <v>138</v>
      </c>
      <c r="C55" s="87" t="s">
        <v>142</v>
      </c>
      <c r="D55" s="88" t="s">
        <v>600</v>
      </c>
      <c r="E55" s="87" t="s">
        <v>601</v>
      </c>
      <c r="F55" s="87" t="s">
        <v>602</v>
      </c>
      <c r="G55" s="87" t="s">
        <v>603</v>
      </c>
      <c r="H55" s="87" t="s">
        <v>604</v>
      </c>
      <c r="I55" s="87">
        <v>2</v>
      </c>
      <c r="J55" s="88" t="s">
        <v>605</v>
      </c>
      <c r="K55" s="87"/>
    </row>
    <row r="56" spans="1:11" ht="33.75" customHeight="1">
      <c r="A56" s="20">
        <v>53</v>
      </c>
      <c r="B56" s="87" t="s">
        <v>144</v>
      </c>
      <c r="C56" s="87" t="s">
        <v>146</v>
      </c>
      <c r="D56" s="88" t="s">
        <v>606</v>
      </c>
      <c r="E56" s="87" t="s">
        <v>607</v>
      </c>
      <c r="F56" s="87" t="s">
        <v>608</v>
      </c>
      <c r="G56" s="87" t="s">
        <v>609</v>
      </c>
      <c r="H56" s="87" t="s">
        <v>610</v>
      </c>
      <c r="I56" s="87">
        <v>3</v>
      </c>
      <c r="J56" s="88" t="s">
        <v>611</v>
      </c>
      <c r="K56" s="87"/>
    </row>
    <row r="57" spans="1:11" ht="33.75" customHeight="1">
      <c r="A57" s="20">
        <v>54</v>
      </c>
      <c r="B57" s="87" t="s">
        <v>144</v>
      </c>
      <c r="C57" s="87" t="s">
        <v>146</v>
      </c>
      <c r="D57" s="88" t="s">
        <v>612</v>
      </c>
      <c r="E57" s="87" t="s">
        <v>613</v>
      </c>
      <c r="F57" s="87" t="s">
        <v>614</v>
      </c>
      <c r="G57" s="87" t="s">
        <v>615</v>
      </c>
      <c r="H57" s="87" t="s">
        <v>616</v>
      </c>
      <c r="I57" s="87">
        <v>2</v>
      </c>
      <c r="J57" s="88" t="s">
        <v>617</v>
      </c>
      <c r="K57" s="87"/>
    </row>
    <row r="58" spans="1:11" ht="67.5" customHeight="1">
      <c r="A58" s="20">
        <v>55</v>
      </c>
      <c r="B58" s="87" t="s">
        <v>144</v>
      </c>
      <c r="C58" s="87" t="s">
        <v>145</v>
      </c>
      <c r="D58" s="88" t="s">
        <v>618</v>
      </c>
      <c r="E58" s="87" t="s">
        <v>619</v>
      </c>
      <c r="F58" s="87" t="s">
        <v>620</v>
      </c>
      <c r="G58" s="87" t="s">
        <v>621</v>
      </c>
      <c r="H58" s="87" t="s">
        <v>622</v>
      </c>
      <c r="I58" s="87">
        <v>3</v>
      </c>
      <c r="J58" s="88" t="s">
        <v>623</v>
      </c>
      <c r="K58" s="87"/>
    </row>
    <row r="59" spans="1:11" ht="84.5" customHeight="1">
      <c r="A59" s="20">
        <v>56</v>
      </c>
      <c r="B59" s="87" t="s">
        <v>144</v>
      </c>
      <c r="C59" s="87" t="s">
        <v>146</v>
      </c>
      <c r="D59" s="88" t="s">
        <v>624</v>
      </c>
      <c r="E59" s="87" t="s">
        <v>625</v>
      </c>
      <c r="F59" s="87" t="s">
        <v>626</v>
      </c>
      <c r="G59" s="87" t="s">
        <v>627</v>
      </c>
      <c r="H59" s="87" t="s">
        <v>628</v>
      </c>
      <c r="I59" s="87">
        <v>3</v>
      </c>
      <c r="J59" s="88" t="s">
        <v>629</v>
      </c>
      <c r="K59" s="87"/>
    </row>
    <row r="60" spans="1:11" ht="101.25" customHeight="1">
      <c r="A60" s="20">
        <v>57</v>
      </c>
      <c r="B60" s="87" t="s">
        <v>144</v>
      </c>
      <c r="C60" s="87" t="s">
        <v>147</v>
      </c>
      <c r="D60" s="88" t="s">
        <v>570</v>
      </c>
      <c r="E60" s="87" t="s">
        <v>630</v>
      </c>
      <c r="F60" s="87" t="s">
        <v>631</v>
      </c>
      <c r="G60" s="87" t="s">
        <v>632</v>
      </c>
      <c r="H60" s="87" t="s">
        <v>633</v>
      </c>
      <c r="I60" s="87">
        <v>3</v>
      </c>
      <c r="J60" s="88" t="s">
        <v>634</v>
      </c>
      <c r="K60" s="87"/>
    </row>
    <row r="61" spans="1:11" ht="84.5" customHeight="1">
      <c r="A61" s="20">
        <v>58</v>
      </c>
      <c r="B61" s="87" t="s">
        <v>144</v>
      </c>
      <c r="C61" s="87" t="s">
        <v>148</v>
      </c>
      <c r="D61" s="88" t="s">
        <v>588</v>
      </c>
      <c r="E61" s="87" t="s">
        <v>635</v>
      </c>
      <c r="F61" s="87" t="s">
        <v>636</v>
      </c>
      <c r="G61" s="87" t="s">
        <v>637</v>
      </c>
      <c r="H61" s="87" t="s">
        <v>638</v>
      </c>
      <c r="I61" s="87">
        <v>3</v>
      </c>
      <c r="J61" s="88" t="s">
        <v>639</v>
      </c>
      <c r="K61" s="87"/>
    </row>
    <row r="62" spans="1:11" ht="84.5" customHeight="1">
      <c r="A62" s="20">
        <v>59</v>
      </c>
      <c r="B62" s="87" t="s">
        <v>138</v>
      </c>
      <c r="C62" s="87" t="s">
        <v>139</v>
      </c>
      <c r="D62" s="88" t="s">
        <v>640</v>
      </c>
      <c r="E62" s="87" t="s">
        <v>483</v>
      </c>
      <c r="F62" s="87" t="s">
        <v>484</v>
      </c>
      <c r="G62" s="87" t="s">
        <v>481</v>
      </c>
      <c r="H62" s="87" t="s">
        <v>482</v>
      </c>
      <c r="I62" s="87">
        <v>2</v>
      </c>
      <c r="J62" s="88" t="s">
        <v>641</v>
      </c>
      <c r="K62" s="87"/>
    </row>
    <row r="63" spans="1:11" ht="101.25" customHeight="1">
      <c r="A63" s="20">
        <v>60</v>
      </c>
      <c r="B63" s="87" t="s">
        <v>144</v>
      </c>
      <c r="C63" s="87" t="s">
        <v>146</v>
      </c>
      <c r="D63" s="88" t="s">
        <v>642</v>
      </c>
      <c r="E63" s="87" t="s">
        <v>643</v>
      </c>
      <c r="F63" s="87" t="s">
        <v>644</v>
      </c>
      <c r="G63" s="87" t="s">
        <v>645</v>
      </c>
      <c r="H63" s="87" t="s">
        <v>646</v>
      </c>
      <c r="I63" s="87">
        <v>2</v>
      </c>
      <c r="J63" s="88" t="s">
        <v>647</v>
      </c>
      <c r="K63" s="87"/>
    </row>
    <row r="64" spans="1:11" ht="67.5" customHeight="1">
      <c r="A64" s="20">
        <v>61</v>
      </c>
      <c r="B64" s="87" t="s">
        <v>144</v>
      </c>
      <c r="C64" s="87" t="s">
        <v>146</v>
      </c>
      <c r="D64" s="88" t="s">
        <v>648</v>
      </c>
      <c r="E64" s="87" t="s">
        <v>649</v>
      </c>
      <c r="F64" s="87" t="s">
        <v>650</v>
      </c>
      <c r="G64" s="87" t="s">
        <v>651</v>
      </c>
      <c r="H64" s="87" t="s">
        <v>652</v>
      </c>
      <c r="I64" s="87">
        <v>1</v>
      </c>
      <c r="J64" s="88" t="s">
        <v>653</v>
      </c>
      <c r="K64" s="87"/>
    </row>
    <row r="65" spans="1:11" ht="101.25" customHeight="1">
      <c r="A65" s="20">
        <v>62</v>
      </c>
      <c r="B65" s="87" t="s">
        <v>144</v>
      </c>
      <c r="C65" s="87" t="s">
        <v>146</v>
      </c>
      <c r="D65" s="88" t="s">
        <v>654</v>
      </c>
      <c r="E65" s="87" t="s">
        <v>655</v>
      </c>
      <c r="F65" s="87" t="s">
        <v>656</v>
      </c>
      <c r="G65" s="87" t="s">
        <v>657</v>
      </c>
      <c r="H65" s="87" t="s">
        <v>658</v>
      </c>
      <c r="I65" s="87">
        <v>1</v>
      </c>
      <c r="J65" s="88" t="s">
        <v>659</v>
      </c>
      <c r="K65" s="87"/>
    </row>
    <row r="66" spans="1:11" ht="84.5" customHeight="1">
      <c r="A66" s="20">
        <v>63</v>
      </c>
      <c r="B66" s="87" t="s">
        <v>144</v>
      </c>
      <c r="C66" s="87" t="s">
        <v>146</v>
      </c>
      <c r="D66" s="88" t="s">
        <v>660</v>
      </c>
      <c r="E66" s="87" t="s">
        <v>661</v>
      </c>
      <c r="F66" s="87" t="s">
        <v>662</v>
      </c>
      <c r="G66" s="87" t="s">
        <v>663</v>
      </c>
      <c r="H66" s="87" t="s">
        <v>664</v>
      </c>
      <c r="I66" s="87">
        <v>4</v>
      </c>
      <c r="J66" s="88" t="s">
        <v>665</v>
      </c>
      <c r="K66" s="87"/>
    </row>
    <row r="67" spans="1:11" ht="118.25" customHeight="1">
      <c r="A67" s="20">
        <v>64</v>
      </c>
      <c r="B67" s="87" t="s">
        <v>144</v>
      </c>
      <c r="C67" s="87" t="s">
        <v>147</v>
      </c>
      <c r="D67" s="88" t="s">
        <v>666</v>
      </c>
      <c r="E67" s="87" t="s">
        <v>667</v>
      </c>
      <c r="F67" s="87" t="s">
        <v>668</v>
      </c>
      <c r="G67" s="87" t="s">
        <v>669</v>
      </c>
      <c r="H67" s="87" t="s">
        <v>670</v>
      </c>
      <c r="I67" s="87">
        <v>4</v>
      </c>
      <c r="J67" s="88" t="s">
        <v>671</v>
      </c>
      <c r="K67" s="87"/>
    </row>
  </sheetData>
  <mergeCells count="2">
    <mergeCell ref="A2:L2"/>
    <mergeCell ref="A1:L1"/>
  </mergeCells>
  <phoneticPr fontId="58" type="noConversion"/>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P22"/>
  <sheetViews>
    <sheetView showGridLines="0" zoomScale="117" zoomScaleNormal="117" workbookViewId="0">
      <selection activeCell="G6" sqref="G6"/>
    </sheetView>
  </sheetViews>
  <sheetFormatPr baseColWidth="10" defaultColWidth="8.83203125" defaultRowHeight="17"/>
  <cols>
    <col min="2" max="2" width="23.6640625" style="25" customWidth="1"/>
    <col min="3" max="3" width="24.6640625" style="25" customWidth="1"/>
    <col min="4" max="5" width="15" style="25" customWidth="1"/>
    <col min="6" max="6" width="11.33203125" style="25" customWidth="1"/>
    <col min="7" max="7" width="9.6640625" style="25" customWidth="1"/>
    <col min="8" max="8" width="4.5" style="25" customWidth="1"/>
    <col min="13" max="13" width="15.33203125" style="25" customWidth="1"/>
  </cols>
  <sheetData>
    <row r="1" spans="1:16">
      <c r="A1" s="26"/>
      <c r="B1" s="26"/>
      <c r="C1" s="26"/>
      <c r="D1" s="26"/>
      <c r="E1" s="26"/>
      <c r="F1" s="26"/>
      <c r="G1" s="26"/>
      <c r="H1" s="26"/>
      <c r="I1" s="26"/>
      <c r="J1" s="26"/>
      <c r="K1" s="26"/>
      <c r="L1" s="26"/>
      <c r="M1" s="26"/>
      <c r="N1" s="26"/>
      <c r="O1" s="26"/>
      <c r="P1" s="26"/>
    </row>
    <row r="2" spans="1:16" ht="22.5" customHeight="1">
      <c r="A2" s="26"/>
      <c r="B2" s="27" t="s">
        <v>672</v>
      </c>
      <c r="C2" s="26"/>
      <c r="D2" s="26"/>
      <c r="E2" s="26"/>
      <c r="F2" s="26"/>
      <c r="G2" s="26"/>
      <c r="H2" s="26"/>
      <c r="I2" s="26"/>
      <c r="J2" s="26"/>
      <c r="K2" s="26"/>
      <c r="L2" s="26"/>
      <c r="M2" s="26"/>
      <c r="N2" s="26"/>
      <c r="O2" s="26"/>
      <c r="P2" s="26"/>
    </row>
    <row r="3" spans="1:16">
      <c r="A3" s="26"/>
      <c r="B3" s="28" t="s">
        <v>673</v>
      </c>
      <c r="C3" s="26"/>
      <c r="D3" s="26"/>
      <c r="E3" s="26"/>
      <c r="F3" s="26"/>
      <c r="G3" s="26"/>
      <c r="H3" s="26"/>
      <c r="I3" s="26"/>
      <c r="J3" s="26"/>
      <c r="K3" s="26"/>
      <c r="L3" s="26"/>
      <c r="M3" s="26"/>
      <c r="N3" s="26"/>
      <c r="O3" s="26"/>
      <c r="P3" s="26"/>
    </row>
    <row r="4" spans="1:16" ht="27.75" customHeight="1">
      <c r="A4" s="26"/>
      <c r="B4" s="29" t="s">
        <v>674</v>
      </c>
      <c r="C4" s="30" t="s">
        <v>42</v>
      </c>
      <c r="D4" s="26"/>
      <c r="E4" s="26"/>
      <c r="F4" s="26"/>
      <c r="G4" s="26"/>
      <c r="H4" s="26"/>
      <c r="I4" s="26"/>
      <c r="J4" s="26"/>
      <c r="K4" s="26"/>
      <c r="L4" s="26"/>
      <c r="M4" s="26"/>
      <c r="N4" s="26"/>
      <c r="O4" s="26"/>
      <c r="P4" s="26"/>
    </row>
    <row r="5" spans="1:16" ht="25.5" customHeight="1">
      <c r="A5" s="26"/>
      <c r="B5" s="31" t="s">
        <v>675</v>
      </c>
      <c r="C5" s="32">
        <v>24</v>
      </c>
      <c r="D5" s="33" t="str">
        <f ca="1">IF($C$4="","","/ 총 "&amp;COUNTA(INDIRECT("'"&amp;$C$4&amp;"'!A4:A500"))&amp;" 문항")</f>
        <v>/ 총 151 문항</v>
      </c>
      <c r="E5" s="26"/>
      <c r="F5" s="26"/>
      <c r="G5" s="26"/>
      <c r="H5" s="26"/>
      <c r="I5" s="26"/>
      <c r="J5" s="26"/>
      <c r="K5" s="26"/>
      <c r="L5" s="26"/>
      <c r="M5" s="26"/>
      <c r="N5" s="26"/>
      <c r="O5" s="26"/>
      <c r="P5" s="26"/>
    </row>
    <row r="6" spans="1:16" ht="25.5" customHeight="1">
      <c r="A6" s="26"/>
      <c r="B6" s="34" t="s">
        <v>676</v>
      </c>
      <c r="C6" s="35"/>
      <c r="D6" s="26"/>
      <c r="E6" s="26"/>
      <c r="F6" s="26"/>
      <c r="G6" s="26"/>
      <c r="H6" s="26"/>
      <c r="I6" s="26"/>
      <c r="J6" s="26"/>
      <c r="K6" s="26"/>
      <c r="L6" s="26"/>
      <c r="M6" s="26"/>
      <c r="N6" s="26"/>
      <c r="O6" s="26"/>
      <c r="P6" s="26"/>
    </row>
    <row r="7" spans="1:16">
      <c r="A7" s="26"/>
      <c r="B7" s="26"/>
      <c r="C7" s="26"/>
      <c r="D7" s="26"/>
      <c r="E7" s="26"/>
      <c r="F7" s="26"/>
      <c r="G7" s="26"/>
      <c r="H7" s="26"/>
      <c r="I7" s="26"/>
      <c r="J7" s="26"/>
      <c r="K7" s="26"/>
      <c r="L7" s="26"/>
      <c r="M7" s="26"/>
      <c r="N7" s="26"/>
      <c r="O7" s="26"/>
      <c r="P7" s="26"/>
    </row>
    <row r="8" spans="1:16" ht="31.5" customHeight="1">
      <c r="A8" s="26"/>
      <c r="B8" s="157" t="str">
        <f ca="1">IF($C$4="","단어장을 선택해주세요.",IFERROR(INDEX(INDIRECT("'"&amp;$C$4&amp;"'!D:D"),$C$5+3),"해당 번호의 문제를 찾을 수 없습니다."))</f>
        <v>조달 요구사항(Procurement Requirement) 정의 및 과업명세서 작성 시 고려하는 항목과 세부 질문의 연결로 가장 옳지 않은 것은?</v>
      </c>
      <c r="C8" s="158"/>
      <c r="D8" s="158"/>
      <c r="E8" s="158"/>
      <c r="F8" s="158"/>
      <c r="G8" s="159"/>
      <c r="H8" s="26"/>
      <c r="I8" s="174" t="str">
        <f ca="1">IF(OR($C$4="",ISBLANK(C6)),"💡 정답 번호를 입력하면 자동으로 채점됩니다.",IF(C6=INDEX(INDIRECT("'"&amp;$C$4&amp;"'!I:I"),C5+3),"⭕ 정답입니다!","❌ 오답입니다! 다시 풀어보세요."))</f>
        <v>💡 정답 번호를 입력하면 자동으로 채점됩니다.</v>
      </c>
      <c r="J8" s="158"/>
      <c r="K8" s="158"/>
      <c r="L8" s="158"/>
      <c r="M8" s="159"/>
      <c r="N8" s="26"/>
      <c r="O8" s="26"/>
      <c r="P8" s="26"/>
    </row>
    <row r="9" spans="1:16" ht="21.75" customHeight="1">
      <c r="A9" s="26"/>
      <c r="B9" s="160"/>
      <c r="C9" s="161"/>
      <c r="D9" s="161"/>
      <c r="E9" s="161"/>
      <c r="F9" s="161"/>
      <c r="G9" s="162"/>
      <c r="H9" s="26"/>
      <c r="I9" s="166" t="str">
        <f ca="1">IF(OR($C$4="",ISBLANK(C6)),"","📖 [해설]
"&amp;INDEX(INDIRECT("'"&amp;$C$4&amp;"'!J:J"),C5+3))</f>
        <v/>
      </c>
      <c r="J9" s="167"/>
      <c r="K9" s="167"/>
      <c r="L9" s="167"/>
      <c r="M9" s="168"/>
      <c r="N9" s="26"/>
      <c r="O9" s="26"/>
      <c r="P9" s="26"/>
    </row>
    <row r="10" spans="1:16" ht="21.75" customHeight="1">
      <c r="A10" s="26"/>
      <c r="B10" s="163"/>
      <c r="C10" s="164"/>
      <c r="D10" s="164"/>
      <c r="E10" s="164"/>
      <c r="F10" s="164"/>
      <c r="G10" s="165"/>
      <c r="H10" s="26"/>
      <c r="I10" s="160"/>
      <c r="J10" s="169"/>
      <c r="K10" s="169"/>
      <c r="L10" s="169"/>
      <c r="M10" s="162"/>
      <c r="N10" s="26"/>
      <c r="O10" s="26"/>
      <c r="P10" s="26"/>
    </row>
    <row r="11" spans="1:16" ht="16.5" customHeight="1">
      <c r="A11" s="26"/>
      <c r="B11" s="26"/>
      <c r="C11" s="26"/>
      <c r="D11" s="26"/>
      <c r="E11" s="26"/>
      <c r="F11" s="26"/>
      <c r="G11" s="26"/>
      <c r="H11" s="26"/>
      <c r="I11" s="160"/>
      <c r="J11" s="169"/>
      <c r="K11" s="169"/>
      <c r="L11" s="169"/>
      <c r="M11" s="162"/>
      <c r="N11" s="26"/>
      <c r="O11" s="26"/>
      <c r="P11" s="26"/>
    </row>
    <row r="12" spans="1:16" ht="39" customHeight="1">
      <c r="A12" s="26"/>
      <c r="B12" s="173" t="str">
        <f ca="1">IF($C$4="","","①  "&amp;IFERROR(INDEX(INDIRECT("'"&amp;$C$4&amp;"'!E:E"),$C$5+3),""))</f>
        <v>①  조달 배경 및 목표 - 상품, 서비스 및 공사가 필요한 이유는 무엇인가?</v>
      </c>
      <c r="C12" s="171"/>
      <c r="D12" s="171"/>
      <c r="E12" s="171"/>
      <c r="F12" s="171"/>
      <c r="G12" s="172"/>
      <c r="H12" s="26"/>
      <c r="I12" s="160"/>
      <c r="J12" s="169"/>
      <c r="K12" s="169"/>
      <c r="L12" s="169"/>
      <c r="M12" s="162"/>
      <c r="N12" s="26"/>
      <c r="O12" s="26"/>
      <c r="P12" s="26"/>
    </row>
    <row r="13" spans="1:16" ht="39" customHeight="1">
      <c r="A13" s="26"/>
      <c r="B13" s="173" t="str">
        <f ca="1">IF($C$4="","","②  "&amp;IFERROR(INDEX(INDIRECT("'"&amp;$C$4&amp;"'!F:F"),$C$5+3),""))</f>
        <v>②  이행 장소 및 방법 - 배송지(수행/시공장소)는 어디이며 어떻게 수행되는가?</v>
      </c>
      <c r="C13" s="171"/>
      <c r="D13" s="171"/>
      <c r="E13" s="171"/>
      <c r="F13" s="171"/>
      <c r="G13" s="172"/>
      <c r="H13" s="26"/>
      <c r="I13" s="163"/>
      <c r="J13" s="164"/>
      <c r="K13" s="164"/>
      <c r="L13" s="164"/>
      <c r="M13" s="165"/>
      <c r="N13" s="26"/>
      <c r="O13" s="26"/>
      <c r="P13" s="26"/>
    </row>
    <row r="14" spans="1:16" ht="39" customHeight="1">
      <c r="A14" s="26"/>
      <c r="B14" s="173" t="str">
        <f ca="1">IF($C$4="","","③  "&amp;IFERROR(INDEX(INDIRECT("'"&amp;$C$4&amp;"'!G:G"),$C$5+3),""))</f>
        <v>③  의사결정 체계 - 제안서 평가위원회의 개별 평가위원 명단은 누구인가?</v>
      </c>
      <c r="C14" s="171"/>
      <c r="D14" s="171"/>
      <c r="E14" s="171"/>
      <c r="F14" s="171"/>
      <c r="G14" s="172"/>
      <c r="H14" s="26"/>
      <c r="I14" s="26"/>
      <c r="J14" s="26"/>
      <c r="K14" s="26"/>
      <c r="L14" s="26"/>
      <c r="M14" s="26"/>
      <c r="N14" s="26"/>
      <c r="O14" s="26"/>
      <c r="P14" s="26"/>
    </row>
    <row r="15" spans="1:16" ht="39" customHeight="1">
      <c r="A15" s="26"/>
      <c r="B15" s="173" t="str">
        <f ca="1">IF($C$4="","","④  "&amp;IFERROR(INDEX(INDIRECT("'"&amp;$C$4&amp;"'!H:H"),$C$5+3),""))</f>
        <v>④  스펙 및 요구량 - 어떤 구체적인 품질 또는 수량 요구 사항을 고려해야 하는가?</v>
      </c>
      <c r="C15" s="171"/>
      <c r="D15" s="171"/>
      <c r="E15" s="171"/>
      <c r="F15" s="171"/>
      <c r="G15" s="172"/>
      <c r="H15" s="26"/>
      <c r="I15" s="170" t="str">
        <f ca="1">IF(OR($C$4="",ISBLANK(C6)),"","§ [출처]
"&amp;INDEX(INDIRECT("'"&amp;$C$4&amp;"'!K:K"),C5+3))</f>
        <v/>
      </c>
      <c r="J15" s="171"/>
      <c r="K15" s="171"/>
      <c r="L15" s="171"/>
      <c r="M15" s="172"/>
      <c r="N15" s="26"/>
      <c r="O15" s="26"/>
      <c r="P15" s="26"/>
    </row>
    <row r="16" spans="1:16">
      <c r="A16" s="26"/>
      <c r="B16" s="26"/>
      <c r="C16" s="26"/>
      <c r="D16" s="26"/>
      <c r="E16" s="26"/>
      <c r="F16" s="26"/>
      <c r="G16" s="26"/>
      <c r="H16" s="26"/>
      <c r="I16" s="26"/>
      <c r="J16" s="26"/>
      <c r="K16" s="26"/>
      <c r="L16" s="26"/>
      <c r="M16" s="26"/>
      <c r="N16" s="26"/>
      <c r="O16" s="26"/>
      <c r="P16" s="26"/>
    </row>
    <row r="17" spans="1:16">
      <c r="A17" s="26"/>
      <c r="B17" s="26"/>
      <c r="C17" s="26"/>
      <c r="D17" s="26"/>
      <c r="E17" s="26"/>
      <c r="F17" s="26"/>
      <c r="G17" s="26"/>
      <c r="H17" s="26"/>
      <c r="I17" s="26"/>
      <c r="J17" s="26"/>
      <c r="K17" s="26"/>
      <c r="L17" s="26"/>
      <c r="M17" s="26"/>
      <c r="N17" s="26"/>
      <c r="O17" s="26"/>
      <c r="P17" s="26"/>
    </row>
    <row r="18" spans="1:16" ht="16.5" customHeight="1">
      <c r="A18" s="26"/>
      <c r="B18" s="26"/>
      <c r="C18" s="26"/>
      <c r="D18" s="26"/>
      <c r="E18" s="26"/>
      <c r="F18" s="26"/>
      <c r="G18" s="26"/>
      <c r="H18" s="26"/>
      <c r="I18" s="26"/>
      <c r="J18" s="26"/>
      <c r="K18" s="26"/>
      <c r="L18" s="26"/>
      <c r="M18" s="26"/>
      <c r="N18" s="26"/>
      <c r="O18" s="26"/>
      <c r="P18" s="26"/>
    </row>
    <row r="19" spans="1:16">
      <c r="A19" s="26"/>
      <c r="B19" s="26"/>
      <c r="C19" s="26"/>
      <c r="D19" s="26"/>
      <c r="E19" s="26"/>
      <c r="F19" s="26"/>
      <c r="G19" s="26"/>
      <c r="H19" s="26"/>
      <c r="I19" s="26"/>
      <c r="J19" s="26"/>
      <c r="K19" s="26"/>
      <c r="L19" s="26"/>
      <c r="M19" s="26"/>
      <c r="N19" s="26"/>
      <c r="O19" s="26"/>
      <c r="P19" s="26"/>
    </row>
    <row r="20" spans="1:16">
      <c r="A20" s="26"/>
      <c r="B20" s="26"/>
      <c r="C20" s="26"/>
      <c r="D20" s="26"/>
      <c r="E20" s="26"/>
      <c r="F20" s="26"/>
      <c r="G20" s="26"/>
      <c r="H20" s="26"/>
      <c r="I20" s="26"/>
      <c r="J20" s="26"/>
      <c r="K20" s="26"/>
      <c r="L20" s="26"/>
      <c r="M20" s="26"/>
      <c r="N20" s="26"/>
      <c r="O20" s="26"/>
      <c r="P20" s="26"/>
    </row>
    <row r="21" spans="1:16">
      <c r="A21" s="26"/>
      <c r="B21" s="26"/>
      <c r="C21" s="26"/>
      <c r="D21" s="26"/>
      <c r="E21" s="26"/>
      <c r="F21" s="26"/>
      <c r="G21" s="26"/>
      <c r="H21" s="26"/>
      <c r="I21" s="26"/>
      <c r="J21" s="26"/>
      <c r="K21" s="26"/>
      <c r="L21" s="26"/>
      <c r="M21" s="26"/>
      <c r="N21" s="26"/>
      <c r="O21" s="26"/>
      <c r="P21" s="26"/>
    </row>
    <row r="22" spans="1:16">
      <c r="A22" s="26"/>
      <c r="B22" s="26"/>
      <c r="C22" s="26"/>
      <c r="D22" s="26"/>
      <c r="E22" s="26"/>
      <c r="F22" s="26"/>
      <c r="G22" s="26"/>
      <c r="H22" s="26"/>
      <c r="I22" s="26"/>
      <c r="J22" s="26"/>
      <c r="K22" s="26"/>
      <c r="L22" s="26"/>
      <c r="M22" s="26"/>
      <c r="N22" s="26"/>
      <c r="O22" s="26"/>
      <c r="P22" s="26"/>
    </row>
  </sheetData>
  <mergeCells count="8">
    <mergeCell ref="B8:G10"/>
    <mergeCell ref="I9:M13"/>
    <mergeCell ref="I15:M15"/>
    <mergeCell ref="B14:G14"/>
    <mergeCell ref="B12:G12"/>
    <mergeCell ref="B13:G13"/>
    <mergeCell ref="I8:M8"/>
    <mergeCell ref="B15:G15"/>
  </mergeCells>
  <phoneticPr fontId="58" type="noConversion"/>
  <dataValidations count="1">
    <dataValidation type="list" sqref="C6" xr:uid="{00000000-0002-0000-0300-000000000000}">
      <formula1>"1,2,3,4"</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65"/>
  <sheetViews>
    <sheetView zoomScaleNormal="100" workbookViewId="0"/>
  </sheetViews>
  <sheetFormatPr baseColWidth="10" defaultColWidth="8.83203125" defaultRowHeight="17"/>
  <sheetData>
    <row r="1" spans="1:1">
      <c r="A1" t="s">
        <v>677</v>
      </c>
    </row>
    <row r="2" spans="1:1">
      <c r="A2" t="s">
        <v>678</v>
      </c>
    </row>
    <row r="3" spans="1:1">
      <c r="A3" t="s">
        <v>679</v>
      </c>
    </row>
    <row r="4" spans="1:1">
      <c r="A4" t="s">
        <v>680</v>
      </c>
    </row>
    <row r="5" spans="1:1">
      <c r="A5" t="s">
        <v>681</v>
      </c>
    </row>
    <row r="6" spans="1:1">
      <c r="A6" t="s">
        <v>682</v>
      </c>
    </row>
    <row r="7" spans="1:1">
      <c r="A7" t="s">
        <v>683</v>
      </c>
    </row>
    <row r="8" spans="1:1">
      <c r="A8" t="s">
        <v>684</v>
      </c>
    </row>
    <row r="9" spans="1:1">
      <c r="A9" t="s">
        <v>685</v>
      </c>
    </row>
    <row r="10" spans="1:1">
      <c r="A10" t="s">
        <v>686</v>
      </c>
    </row>
    <row r="11" spans="1:1">
      <c r="A11" t="s">
        <v>687</v>
      </c>
    </row>
    <row r="12" spans="1:1">
      <c r="A12" t="s">
        <v>684</v>
      </c>
    </row>
    <row r="13" spans="1:1">
      <c r="A13" t="s">
        <v>688</v>
      </c>
    </row>
    <row r="14" spans="1:1">
      <c r="A14" t="s">
        <v>689</v>
      </c>
    </row>
    <row r="15" spans="1:1">
      <c r="A15" t="s">
        <v>690</v>
      </c>
    </row>
    <row r="16" spans="1:1">
      <c r="A16" t="s">
        <v>684</v>
      </c>
    </row>
    <row r="17" spans="1:1">
      <c r="A17" t="s">
        <v>691</v>
      </c>
    </row>
    <row r="18" spans="1:1">
      <c r="A18" t="s">
        <v>692</v>
      </c>
    </row>
    <row r="20" spans="1:1">
      <c r="A20" t="s">
        <v>693</v>
      </c>
    </row>
    <row r="21" spans="1:1">
      <c r="A21" t="s">
        <v>694</v>
      </c>
    </row>
    <row r="22" spans="1:1">
      <c r="A22" t="s">
        <v>695</v>
      </c>
    </row>
    <row r="23" spans="1:1">
      <c r="A23" t="s">
        <v>696</v>
      </c>
    </row>
    <row r="24" spans="1:1">
      <c r="A24" t="s">
        <v>697</v>
      </c>
    </row>
    <row r="25" spans="1:1">
      <c r="A25" t="s">
        <v>698</v>
      </c>
    </row>
    <row r="26" spans="1:1">
      <c r="A26" t="s">
        <v>699</v>
      </c>
    </row>
    <row r="27" spans="1:1">
      <c r="A27" t="s">
        <v>700</v>
      </c>
    </row>
    <row r="28" spans="1:1">
      <c r="A28" t="s">
        <v>701</v>
      </c>
    </row>
    <row r="29" spans="1:1">
      <c r="A29" t="s">
        <v>702</v>
      </c>
    </row>
    <row r="30" spans="1:1">
      <c r="A30" t="s">
        <v>684</v>
      </c>
    </row>
    <row r="31" spans="1:1">
      <c r="A31" t="s">
        <v>703</v>
      </c>
    </row>
    <row r="32" spans="1:1">
      <c r="A32" t="s">
        <v>692</v>
      </c>
    </row>
    <row r="34" spans="1:1">
      <c r="A34" t="s">
        <v>704</v>
      </c>
    </row>
    <row r="35" spans="1:1">
      <c r="A35" t="s">
        <v>705</v>
      </c>
    </row>
    <row r="36" spans="1:1">
      <c r="A36" t="s">
        <v>704</v>
      </c>
    </row>
    <row r="37" spans="1:1">
      <c r="A37" t="s">
        <v>706</v>
      </c>
    </row>
    <row r="38" spans="1:1">
      <c r="A38" t="s">
        <v>707</v>
      </c>
    </row>
    <row r="39" spans="1:1">
      <c r="A39" t="s">
        <v>708</v>
      </c>
    </row>
    <row r="40" spans="1:1">
      <c r="A40" t="s">
        <v>709</v>
      </c>
    </row>
    <row r="42" spans="1:1">
      <c r="A42" t="s">
        <v>704</v>
      </c>
    </row>
    <row r="43" spans="1:1">
      <c r="A43" t="s">
        <v>710</v>
      </c>
    </row>
    <row r="44" spans="1:1">
      <c r="A44" t="s">
        <v>704</v>
      </c>
    </row>
    <row r="45" spans="1:1">
      <c r="A45" t="s">
        <v>711</v>
      </c>
    </row>
    <row r="46" spans="1:1">
      <c r="A46" t="s">
        <v>712</v>
      </c>
    </row>
    <row r="47" spans="1:1">
      <c r="A47" t="s">
        <v>713</v>
      </c>
    </row>
    <row r="48" spans="1:1">
      <c r="A48" t="s">
        <v>714</v>
      </c>
    </row>
    <row r="49" spans="1:1">
      <c r="A49" t="s">
        <v>715</v>
      </c>
    </row>
    <row r="50" spans="1:1">
      <c r="A50" t="s">
        <v>716</v>
      </c>
    </row>
    <row r="51" spans="1:1">
      <c r="A51" t="s">
        <v>717</v>
      </c>
    </row>
    <row r="52" spans="1:1">
      <c r="A52" t="s">
        <v>718</v>
      </c>
    </row>
    <row r="53" spans="1:1">
      <c r="A53" t="s">
        <v>692</v>
      </c>
    </row>
    <row r="55" spans="1:1">
      <c r="A55" t="s">
        <v>719</v>
      </c>
    </row>
    <row r="56" spans="1:1">
      <c r="A56" t="s">
        <v>720</v>
      </c>
    </row>
    <row r="57" spans="1:1">
      <c r="A57" t="s">
        <v>713</v>
      </c>
    </row>
    <row r="58" spans="1:1">
      <c r="A58" t="s">
        <v>714</v>
      </c>
    </row>
    <row r="59" spans="1:1">
      <c r="A59" t="s">
        <v>721</v>
      </c>
    </row>
    <row r="60" spans="1:1">
      <c r="A60" t="s">
        <v>722</v>
      </c>
    </row>
    <row r="61" spans="1:1">
      <c r="A61" t="s">
        <v>723</v>
      </c>
    </row>
    <row r="62" spans="1:1">
      <c r="A62" t="s">
        <v>724</v>
      </c>
    </row>
    <row r="63" spans="1:1">
      <c r="A63" t="s">
        <v>717</v>
      </c>
    </row>
    <row r="64" spans="1:1">
      <c r="A64" t="s">
        <v>718</v>
      </c>
    </row>
    <row r="65" spans="1:1">
      <c r="A65" t="s">
        <v>692</v>
      </c>
    </row>
  </sheetData>
  <phoneticPr fontId="58" type="noConversion"/>
  <pageMargins left="0.74791666666666701" right="0.74791666666666701" top="0.98402777777777795" bottom="0.9840277777777779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2:V15"/>
  <sheetViews>
    <sheetView zoomScaleNormal="100" workbookViewId="0">
      <selection activeCell="J27" sqref="J27"/>
    </sheetView>
  </sheetViews>
  <sheetFormatPr baseColWidth="10" defaultColWidth="8.83203125" defaultRowHeight="17"/>
  <cols>
    <col min="2" max="3" width="8.83203125" style="25" customWidth="1"/>
    <col min="17" max="17" width="13.1640625" style="25" customWidth="1"/>
    <col min="18" max="18" width="10" style="25" customWidth="1"/>
  </cols>
  <sheetData>
    <row r="2" spans="2:22">
      <c r="B2" s="36" t="s">
        <v>725</v>
      </c>
    </row>
    <row r="3" spans="2:22">
      <c r="B3" t="s">
        <v>726</v>
      </c>
    </row>
    <row r="4" spans="2:22">
      <c r="B4" s="37" t="s">
        <v>727</v>
      </c>
      <c r="R4" s="26"/>
      <c r="S4" s="26"/>
    </row>
    <row r="5" spans="2:22">
      <c r="B5" t="s">
        <v>728</v>
      </c>
      <c r="O5" s="38"/>
      <c r="P5" s="38"/>
      <c r="Q5" s="38"/>
      <c r="R5" s="26"/>
      <c r="S5" s="26"/>
      <c r="T5" s="38"/>
      <c r="U5" s="38"/>
      <c r="V5" s="38"/>
    </row>
    <row r="6" spans="2:22">
      <c r="B6" s="39" t="s">
        <v>729</v>
      </c>
      <c r="O6" s="38"/>
      <c r="P6" s="38"/>
      <c r="Q6" s="40" t="s">
        <v>730</v>
      </c>
      <c r="R6" s="26"/>
      <c r="S6" s="26"/>
      <c r="T6" s="38"/>
      <c r="U6" s="38"/>
      <c r="V6" s="38"/>
    </row>
    <row r="7" spans="2:22">
      <c r="O7" s="38"/>
      <c r="P7" s="38"/>
      <c r="Q7" s="41" t="s">
        <v>731</v>
      </c>
      <c r="R7" s="42" t="s">
        <v>732</v>
      </c>
      <c r="S7" s="38"/>
      <c r="T7" s="38"/>
      <c r="U7" s="38"/>
      <c r="V7" s="38"/>
    </row>
    <row r="8" spans="2:22">
      <c r="O8" s="38"/>
      <c r="P8" s="38"/>
      <c r="Q8" s="41" t="s">
        <v>733</v>
      </c>
      <c r="R8" s="42" t="s">
        <v>732</v>
      </c>
      <c r="S8" s="38"/>
      <c r="T8" s="38"/>
      <c r="U8" s="38"/>
      <c r="V8" s="38"/>
    </row>
    <row r="9" spans="2:22">
      <c r="O9" s="38"/>
      <c r="P9" s="38"/>
      <c r="Q9" s="41" t="s">
        <v>734</v>
      </c>
      <c r="R9" s="42" t="s">
        <v>735</v>
      </c>
      <c r="S9" s="38"/>
      <c r="T9" s="38"/>
      <c r="U9" s="38"/>
      <c r="V9" s="38"/>
    </row>
    <row r="10" spans="2:22">
      <c r="O10" s="38"/>
      <c r="P10" s="38"/>
      <c r="Q10" s="38"/>
      <c r="R10" s="43"/>
      <c r="S10" s="38"/>
      <c r="T10" s="38"/>
      <c r="U10" s="38"/>
      <c r="V10" s="38"/>
    </row>
    <row r="11" spans="2:22">
      <c r="O11" s="38"/>
      <c r="P11" s="38"/>
      <c r="Q11" s="38"/>
      <c r="R11" s="38"/>
      <c r="S11" s="38"/>
      <c r="T11" s="38"/>
      <c r="U11" s="38"/>
      <c r="V11" s="38"/>
    </row>
    <row r="12" spans="2:22">
      <c r="O12" s="38"/>
      <c r="P12" s="38"/>
      <c r="Q12" s="38"/>
      <c r="R12" s="38"/>
      <c r="S12" s="38"/>
      <c r="T12" s="38"/>
      <c r="U12" s="38"/>
      <c r="V12" s="38"/>
    </row>
    <row r="13" spans="2:22">
      <c r="O13" s="38"/>
      <c r="P13" s="38"/>
      <c r="Q13" s="38"/>
      <c r="R13" s="38"/>
      <c r="S13" s="38"/>
      <c r="T13" s="38"/>
      <c r="U13" s="38"/>
      <c r="V13" s="38"/>
    </row>
    <row r="14" spans="2:22">
      <c r="O14" s="38"/>
      <c r="P14" s="38"/>
      <c r="Q14" s="38"/>
      <c r="R14" s="38"/>
      <c r="S14" s="38"/>
      <c r="T14" s="38"/>
      <c r="U14" s="38"/>
      <c r="V14" s="38"/>
    </row>
    <row r="15" spans="2:22">
      <c r="O15" s="38"/>
      <c r="P15" s="38"/>
      <c r="Q15" s="38"/>
      <c r="R15" s="38"/>
      <c r="S15" s="38"/>
      <c r="T15" s="38"/>
      <c r="U15" s="38"/>
      <c r="V15" s="38"/>
    </row>
  </sheetData>
  <phoneticPr fontId="58" type="noConversion"/>
  <pageMargins left="0.69930555555555596" right="0.69930555555555596"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122"/>
  <sheetViews>
    <sheetView zoomScaleNormal="100" workbookViewId="0">
      <pane xSplit="3" ySplit="3" topLeftCell="E113" activePane="bottomRight" state="frozen"/>
      <selection activeCell="C120" sqref="C120"/>
      <selection pane="topRight" activeCell="C120" sqref="C120"/>
      <selection pane="bottomLeft" activeCell="C120" sqref="C120"/>
      <selection pane="bottomRight" activeCell="C114" sqref="C114"/>
    </sheetView>
  </sheetViews>
  <sheetFormatPr baseColWidth="10" defaultColWidth="8.5" defaultRowHeight="17"/>
  <cols>
    <col min="1" max="1" width="6" style="12" customWidth="1"/>
    <col min="2" max="2" width="24" style="13" customWidth="1"/>
    <col min="3" max="3" width="28" style="12" customWidth="1"/>
    <col min="4" max="4" width="42" style="13" customWidth="1"/>
    <col min="5" max="8" width="20" style="13" customWidth="1"/>
    <col min="9" max="9" width="10" style="13" customWidth="1"/>
    <col min="10" max="10" width="44" style="13" customWidth="1"/>
    <col min="11" max="11" width="26" style="13" customWidth="1"/>
    <col min="12" max="12" width="10.5" style="13" customWidth="1"/>
    <col min="13" max="14" width="8.5" style="2" customWidth="1"/>
    <col min="15" max="16384" width="8.5" style="2"/>
  </cols>
  <sheetData>
    <row r="1" spans="1:13">
      <c r="A1" s="156"/>
      <c r="B1" s="155"/>
      <c r="C1" s="154"/>
      <c r="D1" s="155"/>
      <c r="E1" s="155"/>
      <c r="F1" s="155"/>
      <c r="G1" s="155"/>
      <c r="H1" s="155"/>
      <c r="I1" s="155"/>
      <c r="J1" s="155"/>
      <c r="K1" s="155"/>
      <c r="L1" s="155"/>
    </row>
    <row r="2" spans="1:13" ht="17.25" customHeight="1">
      <c r="A2" s="153" t="s">
        <v>736</v>
      </c>
      <c r="B2" s="155"/>
      <c r="C2" s="154"/>
      <c r="D2" s="155"/>
      <c r="E2" s="155"/>
      <c r="F2" s="155"/>
      <c r="G2" s="155"/>
      <c r="H2" s="155"/>
      <c r="I2" s="155"/>
      <c r="J2" s="155"/>
      <c r="K2" s="155"/>
      <c r="L2" s="155"/>
    </row>
    <row r="3" spans="1:13" ht="19.5" customHeight="1">
      <c r="A3" s="14" t="s">
        <v>0</v>
      </c>
      <c r="B3" s="14" t="s">
        <v>1</v>
      </c>
      <c r="C3" s="14" t="s">
        <v>2</v>
      </c>
      <c r="D3" s="14" t="s">
        <v>3</v>
      </c>
      <c r="E3" s="14" t="s">
        <v>4</v>
      </c>
      <c r="F3" s="14" t="s">
        <v>5</v>
      </c>
      <c r="G3" s="14" t="s">
        <v>6</v>
      </c>
      <c r="H3" s="14" t="s">
        <v>7</v>
      </c>
      <c r="I3" s="14" t="s">
        <v>8</v>
      </c>
      <c r="J3" s="14" t="s">
        <v>9</v>
      </c>
      <c r="K3" s="14" t="s">
        <v>10</v>
      </c>
      <c r="L3" s="93" t="s">
        <v>737</v>
      </c>
      <c r="M3" s="94" t="s">
        <v>738</v>
      </c>
    </row>
    <row r="4" spans="1:13" ht="57.75" customHeight="1">
      <c r="A4" s="15">
        <v>1</v>
      </c>
      <c r="B4" s="44" t="s">
        <v>24</v>
      </c>
      <c r="C4" s="17" t="s">
        <v>25</v>
      </c>
      <c r="D4" s="19" t="s">
        <v>739</v>
      </c>
      <c r="E4" s="19" t="s">
        <v>740</v>
      </c>
      <c r="F4" s="19" t="s">
        <v>741</v>
      </c>
      <c r="G4" s="19" t="s">
        <v>742</v>
      </c>
      <c r="H4" s="18" t="s">
        <v>743</v>
      </c>
      <c r="I4" s="19">
        <v>1</v>
      </c>
      <c r="J4" s="19" t="s">
        <v>744</v>
      </c>
      <c r="K4" s="18"/>
      <c r="L4" s="19"/>
    </row>
    <row r="5" spans="1:13" ht="38.25" customHeight="1">
      <c r="A5" s="15">
        <v>2</v>
      </c>
      <c r="B5" s="44" t="s">
        <v>24</v>
      </c>
      <c r="C5" s="17" t="s">
        <v>25</v>
      </c>
      <c r="D5" s="18" t="s">
        <v>745</v>
      </c>
      <c r="E5" s="18" t="s">
        <v>746</v>
      </c>
      <c r="F5" s="19" t="s">
        <v>747</v>
      </c>
      <c r="G5" s="19" t="s">
        <v>748</v>
      </c>
      <c r="H5" s="19" t="s">
        <v>749</v>
      </c>
      <c r="I5" s="19">
        <v>1</v>
      </c>
      <c r="J5" s="19" t="s">
        <v>750</v>
      </c>
      <c r="K5" s="18"/>
      <c r="L5" s="19"/>
    </row>
    <row r="6" spans="1:13" ht="51" customHeight="1">
      <c r="A6" s="20">
        <v>3</v>
      </c>
      <c r="B6" s="45" t="s">
        <v>24</v>
      </c>
      <c r="C6" s="17" t="s">
        <v>25</v>
      </c>
      <c r="D6" s="23" t="s">
        <v>751</v>
      </c>
      <c r="E6" s="23" t="s">
        <v>752</v>
      </c>
      <c r="F6" s="23" t="s">
        <v>753</v>
      </c>
      <c r="G6" s="23" t="s">
        <v>754</v>
      </c>
      <c r="H6" s="23" t="s">
        <v>755</v>
      </c>
      <c r="I6" s="24">
        <v>4</v>
      </c>
      <c r="J6" s="24" t="s">
        <v>756</v>
      </c>
      <c r="K6" s="23"/>
      <c r="L6" s="24"/>
    </row>
    <row r="7" spans="1:13" ht="38.25" customHeight="1">
      <c r="A7" s="15">
        <v>4</v>
      </c>
      <c r="B7" s="45" t="s">
        <v>24</v>
      </c>
      <c r="C7" s="22" t="s">
        <v>25</v>
      </c>
      <c r="D7" s="23" t="s">
        <v>757</v>
      </c>
      <c r="E7" s="23" t="s">
        <v>758</v>
      </c>
      <c r="F7" s="23" t="s">
        <v>759</v>
      </c>
      <c r="G7" s="23" t="s">
        <v>760</v>
      </c>
      <c r="H7" s="23" t="s">
        <v>761</v>
      </c>
      <c r="I7" s="24">
        <v>3</v>
      </c>
      <c r="J7" s="24" t="s">
        <v>762</v>
      </c>
      <c r="K7" s="23"/>
      <c r="L7" s="24"/>
    </row>
    <row r="8" spans="1:13" ht="51" customHeight="1">
      <c r="A8" s="15">
        <v>5</v>
      </c>
      <c r="B8" s="44" t="s">
        <v>24</v>
      </c>
      <c r="C8" s="17" t="s">
        <v>27</v>
      </c>
      <c r="D8" s="18" t="s">
        <v>763</v>
      </c>
      <c r="E8" s="18" t="s">
        <v>764</v>
      </c>
      <c r="F8" s="18" t="s">
        <v>765</v>
      </c>
      <c r="G8" s="18" t="s">
        <v>766</v>
      </c>
      <c r="H8" s="18" t="s">
        <v>767</v>
      </c>
      <c r="I8" s="19">
        <v>2</v>
      </c>
      <c r="J8" s="19" t="s">
        <v>768</v>
      </c>
      <c r="K8" s="18"/>
      <c r="L8" s="19"/>
    </row>
    <row r="9" spans="1:13" ht="89.25" customHeight="1">
      <c r="A9" s="20">
        <v>6</v>
      </c>
      <c r="B9" s="45" t="s">
        <v>24</v>
      </c>
      <c r="C9" s="22" t="s">
        <v>27</v>
      </c>
      <c r="D9" s="23" t="s">
        <v>769</v>
      </c>
      <c r="E9" s="23" t="s">
        <v>770</v>
      </c>
      <c r="F9" s="23" t="s">
        <v>771</v>
      </c>
      <c r="G9" s="23" t="s">
        <v>772</v>
      </c>
      <c r="H9" s="23" t="s">
        <v>773</v>
      </c>
      <c r="I9" s="24">
        <v>3</v>
      </c>
      <c r="J9" s="24" t="s">
        <v>774</v>
      </c>
      <c r="K9" s="23"/>
      <c r="L9" s="24"/>
    </row>
    <row r="10" spans="1:13" ht="63.75" customHeight="1">
      <c r="A10" s="15">
        <v>7</v>
      </c>
      <c r="B10" s="45" t="s">
        <v>24</v>
      </c>
      <c r="C10" s="22" t="s">
        <v>27</v>
      </c>
      <c r="D10" s="23" t="s">
        <v>775</v>
      </c>
      <c r="E10" s="23" t="s">
        <v>776</v>
      </c>
      <c r="F10" s="23" t="s">
        <v>777</v>
      </c>
      <c r="G10" s="23" t="s">
        <v>778</v>
      </c>
      <c r="H10" s="23" t="s">
        <v>779</v>
      </c>
      <c r="I10" s="24">
        <v>4</v>
      </c>
      <c r="J10" s="24" t="s">
        <v>780</v>
      </c>
      <c r="K10" s="23"/>
      <c r="L10" s="24"/>
    </row>
    <row r="11" spans="1:13" ht="63.75" customHeight="1">
      <c r="A11" s="15">
        <v>8</v>
      </c>
      <c r="B11" s="45" t="s">
        <v>24</v>
      </c>
      <c r="C11" s="22" t="s">
        <v>27</v>
      </c>
      <c r="D11" s="23" t="s">
        <v>781</v>
      </c>
      <c r="E11" s="23" t="s">
        <v>782</v>
      </c>
      <c r="F11" s="23" t="s">
        <v>783</v>
      </c>
      <c r="G11" s="23" t="s">
        <v>784</v>
      </c>
      <c r="H11" s="23" t="s">
        <v>785</v>
      </c>
      <c r="I11" s="24">
        <v>3</v>
      </c>
      <c r="J11" s="24" t="s">
        <v>786</v>
      </c>
      <c r="K11" s="23"/>
      <c r="L11" s="24"/>
    </row>
    <row r="12" spans="1:13" ht="72" customHeight="1">
      <c r="A12" s="20">
        <v>9</v>
      </c>
      <c r="B12" s="45" t="s">
        <v>24</v>
      </c>
      <c r="C12" s="22" t="s">
        <v>27</v>
      </c>
      <c r="D12" s="23" t="s">
        <v>787</v>
      </c>
      <c r="E12" s="23" t="s">
        <v>788</v>
      </c>
      <c r="F12" s="23" t="s">
        <v>789</v>
      </c>
      <c r="G12" s="23" t="s">
        <v>790</v>
      </c>
      <c r="H12" s="23" t="s">
        <v>791</v>
      </c>
      <c r="I12" s="24">
        <v>1</v>
      </c>
      <c r="J12" s="24" t="s">
        <v>792</v>
      </c>
      <c r="K12" s="23"/>
      <c r="L12" s="24"/>
    </row>
    <row r="13" spans="1:13" ht="51" customHeight="1">
      <c r="A13" s="15">
        <v>10</v>
      </c>
      <c r="B13" s="45" t="s">
        <v>24</v>
      </c>
      <c r="C13" s="22" t="s">
        <v>27</v>
      </c>
      <c r="D13" s="23" t="s">
        <v>793</v>
      </c>
      <c r="E13" s="23" t="s">
        <v>794</v>
      </c>
      <c r="F13" s="23" t="s">
        <v>795</v>
      </c>
      <c r="G13" s="23" t="s">
        <v>796</v>
      </c>
      <c r="H13" s="23" t="s">
        <v>797</v>
      </c>
      <c r="I13" s="24">
        <v>2</v>
      </c>
      <c r="J13" s="24" t="s">
        <v>798</v>
      </c>
      <c r="K13" s="23"/>
      <c r="L13" s="24"/>
    </row>
    <row r="14" spans="1:13" ht="76.5" customHeight="1">
      <c r="A14" s="15">
        <v>11</v>
      </c>
      <c r="B14" s="45" t="s">
        <v>24</v>
      </c>
      <c r="C14" s="22" t="s">
        <v>27</v>
      </c>
      <c r="D14" s="23" t="s">
        <v>799</v>
      </c>
      <c r="E14" s="23" t="s">
        <v>800</v>
      </c>
      <c r="F14" s="23" t="s">
        <v>801</v>
      </c>
      <c r="G14" s="23" t="s">
        <v>802</v>
      </c>
      <c r="H14" s="23" t="s">
        <v>803</v>
      </c>
      <c r="I14" s="24">
        <v>2</v>
      </c>
      <c r="J14" s="24" t="s">
        <v>804</v>
      </c>
      <c r="K14" s="23"/>
      <c r="L14" s="24"/>
    </row>
    <row r="15" spans="1:13" ht="57.75" customHeight="1">
      <c r="A15" s="20">
        <v>12</v>
      </c>
      <c r="B15" s="45" t="s">
        <v>24</v>
      </c>
      <c r="C15" s="22" t="s">
        <v>27</v>
      </c>
      <c r="D15" s="23" t="s">
        <v>805</v>
      </c>
      <c r="E15" s="23" t="s">
        <v>806</v>
      </c>
      <c r="F15" s="23" t="s">
        <v>807</v>
      </c>
      <c r="G15" s="23" t="s">
        <v>808</v>
      </c>
      <c r="H15" s="23" t="s">
        <v>809</v>
      </c>
      <c r="I15" s="24">
        <v>4</v>
      </c>
      <c r="J15" s="24" t="s">
        <v>810</v>
      </c>
      <c r="K15" s="23"/>
      <c r="L15" s="24"/>
    </row>
    <row r="16" spans="1:13" ht="51" customHeight="1">
      <c r="A16" s="15">
        <v>13</v>
      </c>
      <c r="B16" s="45" t="s">
        <v>24</v>
      </c>
      <c r="C16" s="22" t="s">
        <v>27</v>
      </c>
      <c r="D16" s="23" t="s">
        <v>811</v>
      </c>
      <c r="E16" s="23" t="s">
        <v>812</v>
      </c>
      <c r="F16" s="23" t="s">
        <v>813</v>
      </c>
      <c r="G16" s="23" t="s">
        <v>814</v>
      </c>
      <c r="H16" s="23" t="s">
        <v>815</v>
      </c>
      <c r="I16" s="24">
        <v>1</v>
      </c>
      <c r="J16" s="24" t="s">
        <v>816</v>
      </c>
      <c r="K16" s="23"/>
      <c r="L16" s="24"/>
    </row>
    <row r="17" spans="1:12" ht="38.25" customHeight="1">
      <c r="A17" s="15">
        <v>14</v>
      </c>
      <c r="B17" s="45" t="s">
        <v>24</v>
      </c>
      <c r="C17" s="22" t="s">
        <v>27</v>
      </c>
      <c r="D17" s="23" t="s">
        <v>817</v>
      </c>
      <c r="E17" s="23" t="s">
        <v>818</v>
      </c>
      <c r="F17" s="23" t="s">
        <v>819</v>
      </c>
      <c r="G17" s="23" t="s">
        <v>820</v>
      </c>
      <c r="H17" s="23" t="s">
        <v>821</v>
      </c>
      <c r="I17" s="24">
        <v>3</v>
      </c>
      <c r="J17" s="24" t="s">
        <v>822</v>
      </c>
      <c r="K17" s="23"/>
      <c r="L17" s="24"/>
    </row>
    <row r="18" spans="1:12" ht="38.25" customHeight="1">
      <c r="A18" s="20">
        <v>15</v>
      </c>
      <c r="B18" s="45" t="s">
        <v>24</v>
      </c>
      <c r="C18" s="22" t="s">
        <v>27</v>
      </c>
      <c r="D18" s="23" t="s">
        <v>823</v>
      </c>
      <c r="E18" s="23" t="s">
        <v>824</v>
      </c>
      <c r="F18" s="23" t="s">
        <v>825</v>
      </c>
      <c r="G18" s="23" t="s">
        <v>826</v>
      </c>
      <c r="H18" s="23" t="s">
        <v>827</v>
      </c>
      <c r="I18" s="24">
        <v>3</v>
      </c>
      <c r="J18" s="24" t="s">
        <v>828</v>
      </c>
      <c r="K18" s="23"/>
      <c r="L18" s="24"/>
    </row>
    <row r="19" spans="1:12" ht="51" customHeight="1">
      <c r="A19" s="15">
        <v>16</v>
      </c>
      <c r="B19" s="44" t="s">
        <v>24</v>
      </c>
      <c r="C19" s="17" t="s">
        <v>29</v>
      </c>
      <c r="D19" s="18" t="s">
        <v>829</v>
      </c>
      <c r="E19" s="18" t="s">
        <v>830</v>
      </c>
      <c r="F19" s="18" t="s">
        <v>831</v>
      </c>
      <c r="G19" s="18" t="s">
        <v>832</v>
      </c>
      <c r="H19" s="18" t="s">
        <v>833</v>
      </c>
      <c r="I19" s="19">
        <v>2</v>
      </c>
      <c r="J19" s="19" t="s">
        <v>834</v>
      </c>
      <c r="K19" s="18"/>
      <c r="L19" s="19"/>
    </row>
    <row r="20" spans="1:12" ht="51" customHeight="1">
      <c r="A20" s="15">
        <v>17</v>
      </c>
      <c r="B20" s="44" t="s">
        <v>24</v>
      </c>
      <c r="C20" s="17" t="s">
        <v>29</v>
      </c>
      <c r="D20" s="19" t="s">
        <v>835</v>
      </c>
      <c r="E20" s="18" t="s">
        <v>836</v>
      </c>
      <c r="F20" s="18" t="s">
        <v>837</v>
      </c>
      <c r="G20" s="18" t="s">
        <v>838</v>
      </c>
      <c r="H20" s="18" t="s">
        <v>839</v>
      </c>
      <c r="I20" s="19">
        <v>1</v>
      </c>
      <c r="J20" s="19" t="s">
        <v>840</v>
      </c>
      <c r="K20" s="18"/>
      <c r="L20" s="19"/>
    </row>
    <row r="21" spans="1:12" ht="38.25" customHeight="1">
      <c r="A21" s="20">
        <v>18</v>
      </c>
      <c r="B21" s="44" t="s">
        <v>24</v>
      </c>
      <c r="C21" s="17" t="s">
        <v>29</v>
      </c>
      <c r="D21" s="18" t="s">
        <v>841</v>
      </c>
      <c r="E21" s="18" t="s">
        <v>842</v>
      </c>
      <c r="F21" s="18" t="s">
        <v>843</v>
      </c>
      <c r="G21" s="18" t="s">
        <v>844</v>
      </c>
      <c r="H21" s="18" t="s">
        <v>845</v>
      </c>
      <c r="I21" s="19">
        <v>4</v>
      </c>
      <c r="J21" s="19" t="s">
        <v>846</v>
      </c>
      <c r="K21" s="18" t="s">
        <v>847</v>
      </c>
      <c r="L21" s="19"/>
    </row>
    <row r="22" spans="1:12" ht="38.25" customHeight="1">
      <c r="A22" s="15">
        <v>19</v>
      </c>
      <c r="B22" s="44" t="s">
        <v>24</v>
      </c>
      <c r="C22" s="17" t="s">
        <v>29</v>
      </c>
      <c r="D22" s="18" t="s">
        <v>848</v>
      </c>
      <c r="E22" s="18" t="s">
        <v>849</v>
      </c>
      <c r="F22" s="18" t="s">
        <v>850</v>
      </c>
      <c r="G22" s="18" t="s">
        <v>851</v>
      </c>
      <c r="H22" s="18" t="s">
        <v>852</v>
      </c>
      <c r="I22" s="19">
        <v>2</v>
      </c>
      <c r="J22" s="19" t="s">
        <v>853</v>
      </c>
      <c r="K22" s="18"/>
      <c r="L22" s="19"/>
    </row>
    <row r="23" spans="1:12" ht="63.75" customHeight="1">
      <c r="A23" s="15">
        <v>20</v>
      </c>
      <c r="B23" s="45" t="s">
        <v>24</v>
      </c>
      <c r="C23" s="22" t="s">
        <v>29</v>
      </c>
      <c r="D23" s="23" t="s">
        <v>854</v>
      </c>
      <c r="E23" s="23" t="s">
        <v>855</v>
      </c>
      <c r="F23" s="23" t="s">
        <v>856</v>
      </c>
      <c r="G23" s="23" t="s">
        <v>857</v>
      </c>
      <c r="H23" s="23" t="s">
        <v>858</v>
      </c>
      <c r="I23" s="24">
        <v>4</v>
      </c>
      <c r="J23" s="24" t="s">
        <v>859</v>
      </c>
      <c r="K23" s="23"/>
      <c r="L23" s="24"/>
    </row>
    <row r="24" spans="1:12" ht="43.5" customHeight="1">
      <c r="A24" s="20">
        <v>21</v>
      </c>
      <c r="B24" s="45" t="s">
        <v>24</v>
      </c>
      <c r="C24" s="22" t="s">
        <v>29</v>
      </c>
      <c r="D24" s="23" t="s">
        <v>860</v>
      </c>
      <c r="E24" s="23" t="s">
        <v>861</v>
      </c>
      <c r="F24" s="23" t="s">
        <v>862</v>
      </c>
      <c r="G24" s="23" t="s">
        <v>863</v>
      </c>
      <c r="H24" s="23" t="s">
        <v>864</v>
      </c>
      <c r="I24" s="24">
        <v>3</v>
      </c>
      <c r="J24" s="24" t="s">
        <v>865</v>
      </c>
      <c r="K24" s="23"/>
      <c r="L24" s="24"/>
    </row>
    <row r="25" spans="1:12" ht="51" customHeight="1">
      <c r="A25" s="15">
        <v>22</v>
      </c>
      <c r="B25" s="45" t="s">
        <v>24</v>
      </c>
      <c r="C25" s="22" t="s">
        <v>29</v>
      </c>
      <c r="D25" s="23" t="s">
        <v>866</v>
      </c>
      <c r="E25" s="23" t="s">
        <v>867</v>
      </c>
      <c r="F25" s="23" t="s">
        <v>868</v>
      </c>
      <c r="G25" s="23" t="s">
        <v>869</v>
      </c>
      <c r="H25" s="23" t="s">
        <v>870</v>
      </c>
      <c r="I25" s="24">
        <v>1</v>
      </c>
      <c r="J25" s="24" t="s">
        <v>871</v>
      </c>
      <c r="K25" s="23"/>
      <c r="L25" s="24"/>
    </row>
    <row r="26" spans="1:12" ht="38.25" customHeight="1">
      <c r="A26" s="15">
        <v>23</v>
      </c>
      <c r="B26" s="45" t="s">
        <v>24</v>
      </c>
      <c r="C26" s="22" t="s">
        <v>29</v>
      </c>
      <c r="D26" s="23" t="s">
        <v>872</v>
      </c>
      <c r="E26" s="23" t="s">
        <v>873</v>
      </c>
      <c r="F26" s="23" t="s">
        <v>874</v>
      </c>
      <c r="G26" s="23" t="s">
        <v>875</v>
      </c>
      <c r="H26" s="23" t="s">
        <v>876</v>
      </c>
      <c r="I26" s="24">
        <v>2</v>
      </c>
      <c r="J26" s="24" t="s">
        <v>877</v>
      </c>
      <c r="K26" s="23"/>
      <c r="L26" s="24"/>
    </row>
    <row r="27" spans="1:12" ht="63.75" customHeight="1">
      <c r="A27" s="20">
        <v>24</v>
      </c>
      <c r="B27" s="44" t="s">
        <v>24</v>
      </c>
      <c r="C27" s="22" t="s">
        <v>25</v>
      </c>
      <c r="D27" s="19" t="s">
        <v>878</v>
      </c>
      <c r="E27" s="18" t="s">
        <v>879</v>
      </c>
      <c r="F27" s="18" t="s">
        <v>880</v>
      </c>
      <c r="G27" s="18" t="s">
        <v>881</v>
      </c>
      <c r="H27" s="18" t="s">
        <v>882</v>
      </c>
      <c r="I27" s="19">
        <v>4</v>
      </c>
      <c r="J27" s="19" t="s">
        <v>883</v>
      </c>
      <c r="K27" s="18"/>
      <c r="L27" s="19"/>
    </row>
    <row r="28" spans="1:12" ht="63.75" customHeight="1">
      <c r="A28" s="15">
        <v>25</v>
      </c>
      <c r="B28" s="44" t="s">
        <v>31</v>
      </c>
      <c r="C28" s="17" t="s">
        <v>32</v>
      </c>
      <c r="D28" s="19" t="s">
        <v>884</v>
      </c>
      <c r="E28" s="18" t="s">
        <v>885</v>
      </c>
      <c r="F28" s="18" t="s">
        <v>886</v>
      </c>
      <c r="G28" s="18" t="s">
        <v>887</v>
      </c>
      <c r="H28" s="18" t="s">
        <v>888</v>
      </c>
      <c r="I28" s="19">
        <v>2</v>
      </c>
      <c r="J28" s="19" t="s">
        <v>889</v>
      </c>
      <c r="K28" s="18"/>
      <c r="L28" s="19"/>
    </row>
    <row r="29" spans="1:12" ht="63.75" customHeight="1">
      <c r="A29" s="15">
        <v>26</v>
      </c>
      <c r="B29" s="44" t="s">
        <v>31</v>
      </c>
      <c r="C29" s="17" t="s">
        <v>34</v>
      </c>
      <c r="D29" s="19" t="s">
        <v>890</v>
      </c>
      <c r="E29" s="18" t="s">
        <v>891</v>
      </c>
      <c r="F29" s="18" t="s">
        <v>892</v>
      </c>
      <c r="G29" s="18" t="s">
        <v>893</v>
      </c>
      <c r="H29" s="18" t="s">
        <v>894</v>
      </c>
      <c r="I29" s="19">
        <v>2</v>
      </c>
      <c r="J29" s="19" t="s">
        <v>895</v>
      </c>
      <c r="K29" s="18"/>
      <c r="L29" s="19"/>
    </row>
    <row r="30" spans="1:12" ht="63.75" customHeight="1">
      <c r="A30" s="20">
        <v>27</v>
      </c>
      <c r="B30" s="45" t="s">
        <v>31</v>
      </c>
      <c r="C30" s="22" t="s">
        <v>34</v>
      </c>
      <c r="D30" s="23" t="s">
        <v>896</v>
      </c>
      <c r="E30" s="23" t="s">
        <v>897</v>
      </c>
      <c r="F30" s="23" t="s">
        <v>898</v>
      </c>
      <c r="G30" s="23" t="s">
        <v>899</v>
      </c>
      <c r="H30" s="23" t="s">
        <v>900</v>
      </c>
      <c r="I30" s="24">
        <v>3</v>
      </c>
      <c r="J30" s="24" t="s">
        <v>901</v>
      </c>
      <c r="K30" s="23"/>
      <c r="L30" s="24"/>
    </row>
    <row r="31" spans="1:12" ht="63.75" customHeight="1">
      <c r="A31" s="15">
        <v>28</v>
      </c>
      <c r="B31" s="45" t="s">
        <v>31</v>
      </c>
      <c r="C31" s="22" t="s">
        <v>34</v>
      </c>
      <c r="D31" s="23" t="s">
        <v>902</v>
      </c>
      <c r="E31" s="23" t="s">
        <v>903</v>
      </c>
      <c r="F31" s="23" t="s">
        <v>904</v>
      </c>
      <c r="G31" s="23" t="s">
        <v>905</v>
      </c>
      <c r="H31" s="23" t="s">
        <v>906</v>
      </c>
      <c r="I31" s="24">
        <v>2</v>
      </c>
      <c r="J31" s="24" t="s">
        <v>907</v>
      </c>
      <c r="K31" s="23"/>
      <c r="L31" s="24"/>
    </row>
    <row r="32" spans="1:12" ht="63.75" customHeight="1">
      <c r="A32" s="15">
        <v>29</v>
      </c>
      <c r="B32" s="44" t="s">
        <v>31</v>
      </c>
      <c r="C32" s="17" t="s">
        <v>36</v>
      </c>
      <c r="D32" s="19" t="s">
        <v>908</v>
      </c>
      <c r="E32" s="18" t="s">
        <v>909</v>
      </c>
      <c r="F32" s="18" t="s">
        <v>910</v>
      </c>
      <c r="G32" s="18" t="s">
        <v>911</v>
      </c>
      <c r="H32" s="18" t="s">
        <v>912</v>
      </c>
      <c r="I32" s="19">
        <v>3</v>
      </c>
      <c r="J32" s="19" t="s">
        <v>913</v>
      </c>
      <c r="K32" s="18"/>
      <c r="L32" s="19"/>
    </row>
    <row r="33" spans="1:12" ht="63.75" customHeight="1">
      <c r="A33" s="20">
        <v>30</v>
      </c>
      <c r="B33" s="45" t="s">
        <v>31</v>
      </c>
      <c r="C33" s="22" t="s">
        <v>36</v>
      </c>
      <c r="D33" s="23" t="s">
        <v>914</v>
      </c>
      <c r="E33" s="23" t="s">
        <v>915</v>
      </c>
      <c r="F33" s="23" t="s">
        <v>916</v>
      </c>
      <c r="G33" s="23" t="s">
        <v>917</v>
      </c>
      <c r="H33" s="23" t="s">
        <v>918</v>
      </c>
      <c r="I33" s="24">
        <v>2</v>
      </c>
      <c r="J33" s="24" t="s">
        <v>919</v>
      </c>
      <c r="K33" s="23"/>
      <c r="L33" s="24"/>
    </row>
    <row r="34" spans="1:12" ht="63.75" customHeight="1">
      <c r="A34" s="15">
        <v>31</v>
      </c>
      <c r="B34" s="45" t="s">
        <v>31</v>
      </c>
      <c r="C34" s="22" t="s">
        <v>36</v>
      </c>
      <c r="D34" s="23" t="s">
        <v>920</v>
      </c>
      <c r="E34" s="23" t="s">
        <v>921</v>
      </c>
      <c r="F34" s="23" t="s">
        <v>922</v>
      </c>
      <c r="G34" s="23" t="s">
        <v>923</v>
      </c>
      <c r="H34" s="23" t="s">
        <v>924</v>
      </c>
      <c r="I34" s="24">
        <v>4</v>
      </c>
      <c r="J34" s="24" t="s">
        <v>925</v>
      </c>
      <c r="K34" s="23"/>
      <c r="L34" s="24"/>
    </row>
    <row r="35" spans="1:12" ht="63.75" customHeight="1">
      <c r="A35" s="15">
        <v>32</v>
      </c>
      <c r="B35" s="44" t="s">
        <v>38</v>
      </c>
      <c r="C35" s="17" t="s">
        <v>39</v>
      </c>
      <c r="D35" s="19" t="s">
        <v>926</v>
      </c>
      <c r="E35" s="18" t="s">
        <v>927</v>
      </c>
      <c r="F35" s="18" t="s">
        <v>928</v>
      </c>
      <c r="G35" s="18" t="s">
        <v>929</v>
      </c>
      <c r="H35" s="18" t="s">
        <v>930</v>
      </c>
      <c r="I35" s="19">
        <v>3</v>
      </c>
      <c r="J35" s="19" t="s">
        <v>931</v>
      </c>
      <c r="K35" s="18"/>
      <c r="L35" s="19"/>
    </row>
    <row r="36" spans="1:12" ht="63.75" customHeight="1">
      <c r="A36" s="20">
        <v>33</v>
      </c>
      <c r="B36" s="44" t="s">
        <v>38</v>
      </c>
      <c r="C36" s="17" t="s">
        <v>39</v>
      </c>
      <c r="D36" s="19" t="s">
        <v>932</v>
      </c>
      <c r="E36" s="18" t="s">
        <v>933</v>
      </c>
      <c r="F36" s="18" t="s">
        <v>934</v>
      </c>
      <c r="G36" s="18" t="s">
        <v>935</v>
      </c>
      <c r="H36" s="18" t="s">
        <v>936</v>
      </c>
      <c r="I36" s="19">
        <v>1</v>
      </c>
      <c r="J36" s="19" t="s">
        <v>937</v>
      </c>
      <c r="K36" s="18"/>
      <c r="L36" s="19"/>
    </row>
    <row r="37" spans="1:12" ht="63.75" customHeight="1">
      <c r="A37" s="15">
        <v>34</v>
      </c>
      <c r="B37" s="45" t="s">
        <v>38</v>
      </c>
      <c r="C37" s="22" t="s">
        <v>39</v>
      </c>
      <c r="D37" s="23" t="s">
        <v>938</v>
      </c>
      <c r="E37" s="23" t="s">
        <v>939</v>
      </c>
      <c r="F37" s="23" t="s">
        <v>940</v>
      </c>
      <c r="G37" s="23" t="s">
        <v>941</v>
      </c>
      <c r="H37" s="23" t="s">
        <v>942</v>
      </c>
      <c r="I37" s="24">
        <v>1</v>
      </c>
      <c r="J37" s="24" t="s">
        <v>943</v>
      </c>
      <c r="K37" s="23"/>
      <c r="L37" s="24"/>
    </row>
    <row r="38" spans="1:12" ht="63.75" customHeight="1">
      <c r="A38" s="15">
        <v>35</v>
      </c>
      <c r="B38" s="45" t="s">
        <v>38</v>
      </c>
      <c r="C38" s="22" t="s">
        <v>39</v>
      </c>
      <c r="D38" s="23" t="s">
        <v>944</v>
      </c>
      <c r="E38" s="23" t="s">
        <v>945</v>
      </c>
      <c r="F38" s="23" t="s">
        <v>946</v>
      </c>
      <c r="G38" s="23" t="s">
        <v>947</v>
      </c>
      <c r="H38" s="23" t="s">
        <v>948</v>
      </c>
      <c r="I38" s="24">
        <v>2</v>
      </c>
      <c r="J38" s="24" t="s">
        <v>949</v>
      </c>
      <c r="K38" s="23"/>
      <c r="L38" s="24"/>
    </row>
    <row r="39" spans="1:12" ht="63.75" customHeight="1">
      <c r="A39" s="20">
        <v>36</v>
      </c>
      <c r="B39" s="44" t="s">
        <v>38</v>
      </c>
      <c r="C39" s="17" t="s">
        <v>41</v>
      </c>
      <c r="D39" s="19" t="s">
        <v>950</v>
      </c>
      <c r="E39" s="18" t="s">
        <v>951</v>
      </c>
      <c r="F39" s="18" t="s">
        <v>952</v>
      </c>
      <c r="G39" s="18" t="s">
        <v>953</v>
      </c>
      <c r="H39" s="18" t="s">
        <v>954</v>
      </c>
      <c r="I39" s="19">
        <v>3</v>
      </c>
      <c r="J39" s="19" t="s">
        <v>955</v>
      </c>
      <c r="K39" s="18"/>
      <c r="L39" s="19"/>
    </row>
    <row r="40" spans="1:12" ht="63.75" customHeight="1">
      <c r="A40" s="15">
        <v>37</v>
      </c>
      <c r="B40" s="44" t="s">
        <v>38</v>
      </c>
      <c r="C40" s="17" t="s">
        <v>41</v>
      </c>
      <c r="D40" s="18" t="s">
        <v>956</v>
      </c>
      <c r="E40" s="18" t="s">
        <v>927</v>
      </c>
      <c r="F40" s="18" t="s">
        <v>957</v>
      </c>
      <c r="G40" s="18" t="s">
        <v>958</v>
      </c>
      <c r="H40" s="18" t="s">
        <v>959</v>
      </c>
      <c r="I40" s="19">
        <v>4</v>
      </c>
      <c r="J40" s="19" t="s">
        <v>960</v>
      </c>
      <c r="K40" s="18"/>
      <c r="L40" s="19"/>
    </row>
    <row r="41" spans="1:12" ht="63.75" customHeight="1">
      <c r="A41" s="15">
        <v>38</v>
      </c>
      <c r="B41" s="44" t="s">
        <v>38</v>
      </c>
      <c r="C41" s="17" t="s">
        <v>41</v>
      </c>
      <c r="D41" s="19" t="s">
        <v>961</v>
      </c>
      <c r="E41" s="19" t="s">
        <v>962</v>
      </c>
      <c r="F41" s="19" t="s">
        <v>963</v>
      </c>
      <c r="G41" s="19" t="s">
        <v>964</v>
      </c>
      <c r="H41" s="19" t="s">
        <v>965</v>
      </c>
      <c r="I41" s="19">
        <v>3</v>
      </c>
      <c r="J41" s="19" t="s">
        <v>966</v>
      </c>
      <c r="K41" s="18"/>
      <c r="L41" s="19"/>
    </row>
    <row r="42" spans="1:12" ht="63.75" customHeight="1">
      <c r="A42" s="20">
        <v>39</v>
      </c>
      <c r="B42" s="44" t="s">
        <v>38</v>
      </c>
      <c r="C42" s="17" t="s">
        <v>41</v>
      </c>
      <c r="D42" s="19" t="s">
        <v>967</v>
      </c>
      <c r="E42" s="18" t="s">
        <v>968</v>
      </c>
      <c r="F42" s="18" t="s">
        <v>969</v>
      </c>
      <c r="G42" s="18" t="s">
        <v>970</v>
      </c>
      <c r="H42" s="18" t="s">
        <v>971</v>
      </c>
      <c r="I42" s="19">
        <v>3</v>
      </c>
      <c r="J42" s="19" t="s">
        <v>972</v>
      </c>
      <c r="K42" s="18"/>
      <c r="L42" s="19"/>
    </row>
    <row r="43" spans="1:12" ht="63.75" customHeight="1">
      <c r="A43" s="15">
        <v>40</v>
      </c>
      <c r="B43" s="44" t="s">
        <v>38</v>
      </c>
      <c r="C43" s="17" t="s">
        <v>41</v>
      </c>
      <c r="D43" s="46" t="s">
        <v>973</v>
      </c>
      <c r="E43" s="18" t="s">
        <v>974</v>
      </c>
      <c r="F43" s="18" t="s">
        <v>975</v>
      </c>
      <c r="G43" s="18" t="s">
        <v>976</v>
      </c>
      <c r="H43" s="18" t="s">
        <v>977</v>
      </c>
      <c r="I43" s="19">
        <v>3</v>
      </c>
      <c r="J43" s="19" t="s">
        <v>978</v>
      </c>
      <c r="K43" s="18" t="s">
        <v>979</v>
      </c>
      <c r="L43" s="19"/>
    </row>
    <row r="44" spans="1:12" ht="63.75" customHeight="1">
      <c r="A44" s="15">
        <v>41</v>
      </c>
      <c r="B44" s="44" t="s">
        <v>38</v>
      </c>
      <c r="C44" s="17" t="s">
        <v>41</v>
      </c>
      <c r="D44" s="19" t="s">
        <v>980</v>
      </c>
      <c r="E44" s="18" t="s">
        <v>959</v>
      </c>
      <c r="F44" s="18" t="s">
        <v>957</v>
      </c>
      <c r="G44" s="18" t="s">
        <v>981</v>
      </c>
      <c r="H44" s="18" t="s">
        <v>958</v>
      </c>
      <c r="I44" s="19">
        <v>1</v>
      </c>
      <c r="J44" s="19" t="s">
        <v>982</v>
      </c>
      <c r="K44" s="18"/>
      <c r="L44" s="19"/>
    </row>
    <row r="45" spans="1:12" ht="63.75" customHeight="1">
      <c r="A45" s="20">
        <v>42</v>
      </c>
      <c r="B45" s="44" t="s">
        <v>38</v>
      </c>
      <c r="C45" s="17" t="s">
        <v>41</v>
      </c>
      <c r="D45" s="19" t="s">
        <v>983</v>
      </c>
      <c r="E45" s="18" t="s">
        <v>984</v>
      </c>
      <c r="F45" s="18" t="s">
        <v>985</v>
      </c>
      <c r="G45" s="18" t="s">
        <v>986</v>
      </c>
      <c r="H45" s="18" t="s">
        <v>987</v>
      </c>
      <c r="I45" s="19">
        <v>2</v>
      </c>
      <c r="J45" s="19" t="s">
        <v>988</v>
      </c>
      <c r="K45" s="18"/>
      <c r="L45" s="19"/>
    </row>
    <row r="46" spans="1:12" ht="63.75" customHeight="1">
      <c r="A46" s="15">
        <v>43</v>
      </c>
      <c r="B46" s="45" t="s">
        <v>38</v>
      </c>
      <c r="C46" s="22" t="s">
        <v>41</v>
      </c>
      <c r="D46" s="23" t="s">
        <v>989</v>
      </c>
      <c r="E46" s="23" t="s">
        <v>990</v>
      </c>
      <c r="F46" s="23" t="s">
        <v>991</v>
      </c>
      <c r="G46" s="23" t="s">
        <v>992</v>
      </c>
      <c r="H46" s="23" t="s">
        <v>993</v>
      </c>
      <c r="I46" s="24">
        <v>1</v>
      </c>
      <c r="J46" s="24" t="s">
        <v>994</v>
      </c>
      <c r="K46" s="23"/>
      <c r="L46" s="24"/>
    </row>
    <row r="47" spans="1:12" ht="63.75" customHeight="1">
      <c r="A47" s="15">
        <v>44</v>
      </c>
      <c r="B47" s="45" t="s">
        <v>38</v>
      </c>
      <c r="C47" s="22" t="s">
        <v>41</v>
      </c>
      <c r="D47" s="23" t="s">
        <v>995</v>
      </c>
      <c r="E47" s="23" t="s">
        <v>996</v>
      </c>
      <c r="F47" s="23" t="s">
        <v>997</v>
      </c>
      <c r="G47" s="23" t="s">
        <v>998</v>
      </c>
      <c r="H47" s="23" t="s">
        <v>999</v>
      </c>
      <c r="I47" s="24">
        <v>4</v>
      </c>
      <c r="J47" s="24" t="s">
        <v>1000</v>
      </c>
      <c r="K47" s="23"/>
      <c r="L47" s="24"/>
    </row>
    <row r="48" spans="1:12" ht="63.75" customHeight="1">
      <c r="A48" s="20">
        <v>45</v>
      </c>
      <c r="B48" s="45" t="s">
        <v>38</v>
      </c>
      <c r="C48" s="22" t="s">
        <v>41</v>
      </c>
      <c r="D48" s="23" t="s">
        <v>1001</v>
      </c>
      <c r="E48" s="23" t="s">
        <v>1002</v>
      </c>
      <c r="F48" s="23" t="s">
        <v>1003</v>
      </c>
      <c r="G48" s="23" t="s">
        <v>1004</v>
      </c>
      <c r="H48" s="23" t="s">
        <v>1005</v>
      </c>
      <c r="I48" s="24">
        <v>1</v>
      </c>
      <c r="J48" s="24" t="s">
        <v>1006</v>
      </c>
      <c r="K48" s="23"/>
      <c r="L48" s="24"/>
    </row>
    <row r="49" spans="1:13" ht="63.75" customHeight="1">
      <c r="A49" s="15">
        <v>46</v>
      </c>
      <c r="B49" s="45" t="s">
        <v>38</v>
      </c>
      <c r="C49" s="22" t="s">
        <v>41</v>
      </c>
      <c r="D49" s="23" t="s">
        <v>1007</v>
      </c>
      <c r="E49" s="23" t="s">
        <v>1008</v>
      </c>
      <c r="F49" s="23" t="s">
        <v>1009</v>
      </c>
      <c r="G49" s="23" t="s">
        <v>1010</v>
      </c>
      <c r="H49" s="23" t="s">
        <v>1011</v>
      </c>
      <c r="I49" s="24">
        <v>2</v>
      </c>
      <c r="J49" s="24" t="s">
        <v>1012</v>
      </c>
      <c r="K49" s="23"/>
      <c r="L49" s="24"/>
    </row>
    <row r="50" spans="1:13" ht="63.75" customHeight="1">
      <c r="A50" s="15">
        <v>47</v>
      </c>
      <c r="B50" s="44" t="s">
        <v>43</v>
      </c>
      <c r="C50" s="17" t="s">
        <v>44</v>
      </c>
      <c r="D50" s="19" t="s">
        <v>1013</v>
      </c>
      <c r="E50" s="18" t="s">
        <v>1014</v>
      </c>
      <c r="F50" s="18" t="s">
        <v>1015</v>
      </c>
      <c r="G50" s="18" t="s">
        <v>1016</v>
      </c>
      <c r="H50" s="18" t="s">
        <v>1017</v>
      </c>
      <c r="I50" s="19">
        <v>4</v>
      </c>
      <c r="J50" s="19" t="s">
        <v>1018</v>
      </c>
      <c r="K50" s="18"/>
      <c r="L50" s="19"/>
    </row>
    <row r="51" spans="1:13" ht="63.75" customHeight="1">
      <c r="A51" s="20">
        <v>48</v>
      </c>
      <c r="B51" s="44" t="s">
        <v>43</v>
      </c>
      <c r="C51" s="17" t="s">
        <v>44</v>
      </c>
      <c r="D51" s="18" t="s">
        <v>1019</v>
      </c>
      <c r="E51" s="18" t="s">
        <v>1020</v>
      </c>
      <c r="F51" s="18" t="s">
        <v>1021</v>
      </c>
      <c r="G51" s="18" t="s">
        <v>1022</v>
      </c>
      <c r="H51" s="18" t="s">
        <v>1023</v>
      </c>
      <c r="I51" s="19">
        <v>4</v>
      </c>
      <c r="J51" s="19" t="s">
        <v>1024</v>
      </c>
      <c r="K51" s="18"/>
      <c r="L51" s="19"/>
    </row>
    <row r="52" spans="1:13" ht="63.75" customHeight="1">
      <c r="A52" s="15">
        <v>49</v>
      </c>
      <c r="B52" s="44" t="s">
        <v>43</v>
      </c>
      <c r="C52" s="17" t="s">
        <v>44</v>
      </c>
      <c r="D52" s="19" t="s">
        <v>1025</v>
      </c>
      <c r="E52" s="18" t="s">
        <v>1026</v>
      </c>
      <c r="F52" s="18" t="s">
        <v>1027</v>
      </c>
      <c r="G52" s="18" t="s">
        <v>1028</v>
      </c>
      <c r="H52" s="18" t="s">
        <v>1029</v>
      </c>
      <c r="I52" s="19">
        <v>4</v>
      </c>
      <c r="J52" s="19" t="s">
        <v>1030</v>
      </c>
      <c r="K52" s="18"/>
      <c r="L52" s="19"/>
    </row>
    <row r="53" spans="1:13" ht="63.75" customHeight="1">
      <c r="A53" s="15">
        <v>50</v>
      </c>
      <c r="B53" s="44" t="s">
        <v>43</v>
      </c>
      <c r="C53" s="17" t="s">
        <v>44</v>
      </c>
      <c r="D53" s="18" t="s">
        <v>1031</v>
      </c>
      <c r="E53" s="18" t="s">
        <v>1032</v>
      </c>
      <c r="F53" s="18" t="s">
        <v>1033</v>
      </c>
      <c r="G53" s="18" t="s">
        <v>1034</v>
      </c>
      <c r="H53" s="18" t="s">
        <v>1035</v>
      </c>
      <c r="I53" s="19">
        <v>1</v>
      </c>
      <c r="J53" s="19" t="s">
        <v>1036</v>
      </c>
      <c r="K53" s="18"/>
      <c r="L53" s="19"/>
    </row>
    <row r="54" spans="1:13" ht="63.75" customHeight="1">
      <c r="A54" s="20">
        <v>51</v>
      </c>
      <c r="B54" s="45" t="s">
        <v>43</v>
      </c>
      <c r="C54" s="22" t="s">
        <v>44</v>
      </c>
      <c r="D54" s="23" t="s">
        <v>1037</v>
      </c>
      <c r="E54" s="23" t="s">
        <v>1038</v>
      </c>
      <c r="F54" s="23" t="s">
        <v>1039</v>
      </c>
      <c r="G54" s="23" t="s">
        <v>1040</v>
      </c>
      <c r="H54" s="23" t="s">
        <v>1041</v>
      </c>
      <c r="I54" s="24">
        <v>3</v>
      </c>
      <c r="J54" s="24" t="s">
        <v>1042</v>
      </c>
      <c r="K54" s="23"/>
      <c r="L54" s="24"/>
    </row>
    <row r="55" spans="1:13" ht="63.75" customHeight="1">
      <c r="A55" s="15">
        <v>52</v>
      </c>
      <c r="B55" s="44" t="s">
        <v>43</v>
      </c>
      <c r="C55" s="17" t="s">
        <v>46</v>
      </c>
      <c r="D55" s="18" t="s">
        <v>1043</v>
      </c>
      <c r="E55" s="18" t="s">
        <v>1044</v>
      </c>
      <c r="F55" s="18" t="s">
        <v>1045</v>
      </c>
      <c r="G55" s="18" t="s">
        <v>1046</v>
      </c>
      <c r="H55" s="18" t="s">
        <v>1047</v>
      </c>
      <c r="I55" s="19">
        <v>1</v>
      </c>
      <c r="J55" s="19" t="s">
        <v>1048</v>
      </c>
      <c r="K55" s="18"/>
      <c r="L55" s="19"/>
    </row>
    <row r="56" spans="1:13" ht="55.5" customHeight="1">
      <c r="A56" s="15">
        <v>53</v>
      </c>
      <c r="B56" s="45" t="s">
        <v>43</v>
      </c>
      <c r="C56" s="22" t="s">
        <v>46</v>
      </c>
      <c r="D56" s="23" t="s">
        <v>1049</v>
      </c>
      <c r="E56" s="23" t="s">
        <v>1050</v>
      </c>
      <c r="F56" s="23" t="s">
        <v>1051</v>
      </c>
      <c r="G56" s="23" t="s">
        <v>1052</v>
      </c>
      <c r="H56" s="23" t="s">
        <v>1053</v>
      </c>
      <c r="I56" s="24">
        <v>2</v>
      </c>
      <c r="J56" s="23" t="s">
        <v>1054</v>
      </c>
      <c r="K56" s="23" t="s">
        <v>1055</v>
      </c>
      <c r="L56" s="24"/>
    </row>
    <row r="57" spans="1:13" ht="69.75" customHeight="1">
      <c r="A57" s="20">
        <v>54</v>
      </c>
      <c r="B57" s="45" t="s">
        <v>43</v>
      </c>
      <c r="C57" s="22" t="s">
        <v>46</v>
      </c>
      <c r="D57" s="23" t="s">
        <v>1056</v>
      </c>
      <c r="E57" s="23" t="s">
        <v>1057</v>
      </c>
      <c r="F57" s="23" t="s">
        <v>1058</v>
      </c>
      <c r="G57" s="23" t="s">
        <v>1059</v>
      </c>
      <c r="H57" s="23" t="s">
        <v>1060</v>
      </c>
      <c r="I57" s="24">
        <v>2</v>
      </c>
      <c r="J57" s="23" t="s">
        <v>1061</v>
      </c>
      <c r="K57" s="23" t="s">
        <v>1062</v>
      </c>
      <c r="L57" s="24"/>
    </row>
    <row r="58" spans="1:13" ht="55.5" customHeight="1">
      <c r="A58" s="20">
        <v>55</v>
      </c>
      <c r="B58" s="45" t="s">
        <v>24</v>
      </c>
      <c r="C58" s="22" t="s">
        <v>25</v>
      </c>
      <c r="D58" s="23" t="s">
        <v>1063</v>
      </c>
      <c r="E58" s="23" t="s">
        <v>469</v>
      </c>
      <c r="F58" s="23" t="s">
        <v>471</v>
      </c>
      <c r="G58" s="23" t="s">
        <v>470</v>
      </c>
      <c r="H58" s="23" t="s">
        <v>472</v>
      </c>
      <c r="I58" s="24">
        <v>1</v>
      </c>
      <c r="J58" s="23" t="s">
        <v>1064</v>
      </c>
      <c r="M58" s="23" t="s">
        <v>1065</v>
      </c>
    </row>
    <row r="59" spans="1:13" ht="69.75" customHeight="1">
      <c r="A59" s="20">
        <v>56</v>
      </c>
      <c r="B59" s="45" t="s">
        <v>24</v>
      </c>
      <c r="C59" s="22" t="s">
        <v>25</v>
      </c>
      <c r="D59" s="23" t="s">
        <v>1066</v>
      </c>
      <c r="E59" s="23" t="s">
        <v>476</v>
      </c>
      <c r="F59" s="23" t="s">
        <v>475</v>
      </c>
      <c r="G59" s="23" t="s">
        <v>477</v>
      </c>
      <c r="H59" s="23" t="s">
        <v>478</v>
      </c>
      <c r="I59" s="24">
        <v>2</v>
      </c>
      <c r="J59" s="23" t="s">
        <v>1067</v>
      </c>
      <c r="M59" s="23" t="s">
        <v>1065</v>
      </c>
    </row>
    <row r="60" spans="1:13" ht="69.75" customHeight="1">
      <c r="A60" s="20">
        <v>57</v>
      </c>
      <c r="B60" s="45" t="s">
        <v>24</v>
      </c>
      <c r="C60" s="22" t="s">
        <v>25</v>
      </c>
      <c r="D60" s="23" t="s">
        <v>1068</v>
      </c>
      <c r="E60" s="23" t="s">
        <v>1069</v>
      </c>
      <c r="F60" s="23" t="s">
        <v>1070</v>
      </c>
      <c r="G60" s="23" t="s">
        <v>1071</v>
      </c>
      <c r="H60" s="23" t="s">
        <v>1072</v>
      </c>
      <c r="I60" s="24">
        <v>2</v>
      </c>
      <c r="J60" s="23" t="s">
        <v>1073</v>
      </c>
      <c r="M60" s="23" t="s">
        <v>1065</v>
      </c>
    </row>
    <row r="61" spans="1:13" ht="84" customHeight="1">
      <c r="A61" s="20">
        <v>58</v>
      </c>
      <c r="B61" s="45" t="s">
        <v>24</v>
      </c>
      <c r="C61" s="22" t="s">
        <v>25</v>
      </c>
      <c r="D61" s="23" t="s">
        <v>1074</v>
      </c>
      <c r="E61" s="23" t="s">
        <v>1075</v>
      </c>
      <c r="F61" s="23" t="s">
        <v>1076</v>
      </c>
      <c r="G61" s="23" t="s">
        <v>1077</v>
      </c>
      <c r="H61" s="23" t="s">
        <v>1078</v>
      </c>
      <c r="I61" s="24">
        <v>2</v>
      </c>
      <c r="J61" s="23" t="s">
        <v>1079</v>
      </c>
      <c r="M61" s="23" t="s">
        <v>1065</v>
      </c>
    </row>
    <row r="62" spans="1:13" ht="42" customHeight="1">
      <c r="A62" s="20">
        <v>59</v>
      </c>
      <c r="B62" s="45" t="s">
        <v>24</v>
      </c>
      <c r="C62" s="22" t="s">
        <v>25</v>
      </c>
      <c r="D62" s="23" t="s">
        <v>1080</v>
      </c>
      <c r="E62" s="23" t="s">
        <v>1081</v>
      </c>
      <c r="F62" s="23" t="s">
        <v>1082</v>
      </c>
      <c r="G62" s="23" t="s">
        <v>1083</v>
      </c>
      <c r="H62" s="23" t="s">
        <v>1084</v>
      </c>
      <c r="I62" s="24">
        <v>3</v>
      </c>
      <c r="J62" s="23" t="s">
        <v>1085</v>
      </c>
      <c r="M62" s="23" t="s">
        <v>1065</v>
      </c>
    </row>
    <row r="63" spans="1:13" ht="42" customHeight="1">
      <c r="A63" s="20">
        <v>60</v>
      </c>
      <c r="B63" s="45" t="s">
        <v>24</v>
      </c>
      <c r="C63" s="22" t="s">
        <v>27</v>
      </c>
      <c r="D63" s="23" t="s">
        <v>1086</v>
      </c>
      <c r="E63" s="23" t="s">
        <v>1087</v>
      </c>
      <c r="F63" s="23" t="s">
        <v>1088</v>
      </c>
      <c r="G63" s="23" t="s">
        <v>1089</v>
      </c>
      <c r="H63" s="23" t="s">
        <v>1090</v>
      </c>
      <c r="I63" s="24">
        <v>2</v>
      </c>
      <c r="J63" s="23" t="s">
        <v>1091</v>
      </c>
      <c r="M63" s="23" t="s">
        <v>1065</v>
      </c>
    </row>
    <row r="64" spans="1:13" ht="42" customHeight="1">
      <c r="A64" s="20">
        <v>61</v>
      </c>
      <c r="B64" s="45" t="s">
        <v>24</v>
      </c>
      <c r="C64" s="22" t="s">
        <v>25</v>
      </c>
      <c r="D64" s="23" t="s">
        <v>1092</v>
      </c>
      <c r="E64" s="23" t="s">
        <v>1093</v>
      </c>
      <c r="F64" s="23" t="s">
        <v>1094</v>
      </c>
      <c r="G64" s="23" t="s">
        <v>1095</v>
      </c>
      <c r="H64" s="23" t="s">
        <v>1096</v>
      </c>
      <c r="I64" s="24">
        <v>3</v>
      </c>
      <c r="J64" s="23" t="s">
        <v>1097</v>
      </c>
      <c r="M64" s="23" t="s">
        <v>1065</v>
      </c>
    </row>
    <row r="65" spans="1:13" ht="42" customHeight="1">
      <c r="A65" s="20">
        <v>62</v>
      </c>
      <c r="B65" s="45" t="s">
        <v>24</v>
      </c>
      <c r="C65" s="22" t="s">
        <v>29</v>
      </c>
      <c r="D65" s="23" t="s">
        <v>1098</v>
      </c>
      <c r="E65" s="23" t="s">
        <v>1099</v>
      </c>
      <c r="F65" s="23" t="s">
        <v>1100</v>
      </c>
      <c r="G65" s="23" t="s">
        <v>1101</v>
      </c>
      <c r="H65" s="23" t="s">
        <v>1102</v>
      </c>
      <c r="I65" s="24">
        <v>2</v>
      </c>
      <c r="J65" s="23" t="s">
        <v>1103</v>
      </c>
      <c r="M65" s="23" t="s">
        <v>1065</v>
      </c>
    </row>
    <row r="66" spans="1:13" ht="42" customHeight="1">
      <c r="A66" s="20">
        <v>63</v>
      </c>
      <c r="B66" s="45" t="s">
        <v>24</v>
      </c>
      <c r="C66" s="22" t="s">
        <v>25</v>
      </c>
      <c r="D66" s="23" t="s">
        <v>1104</v>
      </c>
      <c r="E66" s="23" t="s">
        <v>1105</v>
      </c>
      <c r="F66" s="23" t="s">
        <v>1106</v>
      </c>
      <c r="G66" s="23" t="s">
        <v>1107</v>
      </c>
      <c r="H66" s="23" t="s">
        <v>1108</v>
      </c>
      <c r="I66" s="24">
        <v>4</v>
      </c>
      <c r="J66" s="23" t="s">
        <v>1109</v>
      </c>
      <c r="M66" s="23" t="s">
        <v>1065</v>
      </c>
    </row>
    <row r="67" spans="1:13" ht="27.75" customHeight="1">
      <c r="A67" s="20">
        <v>64</v>
      </c>
      <c r="B67" s="45" t="s">
        <v>24</v>
      </c>
      <c r="C67" s="22" t="s">
        <v>29</v>
      </c>
      <c r="D67" s="23" t="s">
        <v>1110</v>
      </c>
      <c r="E67" s="23" t="s">
        <v>1111</v>
      </c>
      <c r="F67" s="23" t="s">
        <v>1112</v>
      </c>
      <c r="G67" s="23" t="s">
        <v>1113</v>
      </c>
      <c r="H67" s="23" t="s">
        <v>1114</v>
      </c>
      <c r="I67" s="24">
        <v>4</v>
      </c>
      <c r="J67" s="23" t="s">
        <v>1115</v>
      </c>
      <c r="M67" s="23" t="s">
        <v>1065</v>
      </c>
    </row>
    <row r="68" spans="1:13" ht="27.75" customHeight="1">
      <c r="A68" s="20">
        <v>65</v>
      </c>
      <c r="B68" s="45" t="s">
        <v>24</v>
      </c>
      <c r="C68" s="22" t="s">
        <v>25</v>
      </c>
      <c r="D68" s="23" t="s">
        <v>1116</v>
      </c>
      <c r="E68" s="23" t="s">
        <v>1117</v>
      </c>
      <c r="F68" s="23" t="s">
        <v>1118</v>
      </c>
      <c r="G68" s="23" t="s">
        <v>1119</v>
      </c>
      <c r="H68" s="23" t="s">
        <v>1120</v>
      </c>
      <c r="I68" s="24">
        <v>2</v>
      </c>
      <c r="J68" s="23" t="s">
        <v>1121</v>
      </c>
      <c r="M68" s="23" t="s">
        <v>1065</v>
      </c>
    </row>
    <row r="69" spans="1:13" ht="42" customHeight="1">
      <c r="A69" s="20">
        <v>66</v>
      </c>
      <c r="B69" s="45" t="s">
        <v>24</v>
      </c>
      <c r="C69" s="22" t="s">
        <v>29</v>
      </c>
      <c r="D69" s="23" t="s">
        <v>1122</v>
      </c>
      <c r="E69" s="23" t="s">
        <v>1123</v>
      </c>
      <c r="F69" s="23" t="s">
        <v>1124</v>
      </c>
      <c r="G69" s="23" t="s">
        <v>1125</v>
      </c>
      <c r="H69" s="23" t="s">
        <v>1126</v>
      </c>
      <c r="I69" s="24">
        <v>1</v>
      </c>
      <c r="J69" s="23" t="s">
        <v>1127</v>
      </c>
      <c r="M69" s="23" t="s">
        <v>1065</v>
      </c>
    </row>
    <row r="70" spans="1:13" ht="42" customHeight="1">
      <c r="A70" s="20">
        <v>67</v>
      </c>
      <c r="B70" s="45" t="s">
        <v>24</v>
      </c>
      <c r="C70" s="22" t="s">
        <v>25</v>
      </c>
      <c r="D70" s="23" t="s">
        <v>1128</v>
      </c>
      <c r="E70" s="23" t="s">
        <v>1129</v>
      </c>
      <c r="F70" s="23" t="s">
        <v>1130</v>
      </c>
      <c r="G70" s="23" t="s">
        <v>1131</v>
      </c>
      <c r="H70" s="23" t="s">
        <v>1132</v>
      </c>
      <c r="I70" s="24">
        <v>2</v>
      </c>
      <c r="J70" s="23" t="s">
        <v>1133</v>
      </c>
      <c r="M70" s="23" t="s">
        <v>1065</v>
      </c>
    </row>
    <row r="71" spans="1:13" ht="55.5" customHeight="1">
      <c r="A71" s="20">
        <v>68</v>
      </c>
      <c r="B71" s="45" t="s">
        <v>24</v>
      </c>
      <c r="C71" s="22" t="s">
        <v>25</v>
      </c>
      <c r="D71" s="23" t="s">
        <v>1134</v>
      </c>
      <c r="E71" s="23" t="s">
        <v>1135</v>
      </c>
      <c r="F71" s="23" t="s">
        <v>1136</v>
      </c>
      <c r="G71" s="23" t="s">
        <v>1137</v>
      </c>
      <c r="H71" s="23" t="s">
        <v>1138</v>
      </c>
      <c r="I71" s="24">
        <v>3</v>
      </c>
      <c r="J71" s="23" t="s">
        <v>1139</v>
      </c>
      <c r="M71" s="23" t="s">
        <v>1065</v>
      </c>
    </row>
    <row r="72" spans="1:13" ht="84" customHeight="1">
      <c r="A72" s="20">
        <v>69</v>
      </c>
      <c r="B72" s="45" t="s">
        <v>24</v>
      </c>
      <c r="C72" s="22" t="s">
        <v>27</v>
      </c>
      <c r="D72" s="23" t="s">
        <v>1140</v>
      </c>
      <c r="E72" s="23" t="s">
        <v>1075</v>
      </c>
      <c r="F72" s="23" t="s">
        <v>1078</v>
      </c>
      <c r="G72" s="23" t="s">
        <v>1076</v>
      </c>
      <c r="H72" s="23" t="s">
        <v>1141</v>
      </c>
      <c r="I72" s="24">
        <v>2</v>
      </c>
      <c r="J72" s="23" t="s">
        <v>1142</v>
      </c>
      <c r="M72" s="23" t="s">
        <v>1065</v>
      </c>
    </row>
    <row r="73" spans="1:13" ht="69.75" customHeight="1">
      <c r="A73" s="20">
        <v>70</v>
      </c>
      <c r="B73" s="45" t="s">
        <v>24</v>
      </c>
      <c r="C73" s="22" t="s">
        <v>27</v>
      </c>
      <c r="D73" s="23" t="s">
        <v>1143</v>
      </c>
      <c r="E73" s="23" t="s">
        <v>1144</v>
      </c>
      <c r="F73" s="23" t="s">
        <v>1145</v>
      </c>
      <c r="G73" s="23" t="s">
        <v>1146</v>
      </c>
      <c r="H73" s="23" t="s">
        <v>1147</v>
      </c>
      <c r="I73" s="24">
        <v>4</v>
      </c>
      <c r="J73" s="23" t="s">
        <v>1148</v>
      </c>
      <c r="M73" s="23" t="s">
        <v>1065</v>
      </c>
    </row>
    <row r="74" spans="1:13" ht="55.5" customHeight="1">
      <c r="A74" s="20">
        <v>71</v>
      </c>
      <c r="B74" s="45" t="s">
        <v>24</v>
      </c>
      <c r="C74" s="22" t="s">
        <v>25</v>
      </c>
      <c r="D74" s="23" t="s">
        <v>1149</v>
      </c>
      <c r="E74" s="23" t="s">
        <v>1150</v>
      </c>
      <c r="F74" s="23" t="s">
        <v>1151</v>
      </c>
      <c r="G74" s="23" t="s">
        <v>1152</v>
      </c>
      <c r="H74" s="23" t="s">
        <v>1153</v>
      </c>
      <c r="I74" s="24">
        <v>2</v>
      </c>
      <c r="J74" s="23" t="s">
        <v>1154</v>
      </c>
      <c r="M74" s="23" t="s">
        <v>1065</v>
      </c>
    </row>
    <row r="75" spans="1:13" ht="55.5" customHeight="1">
      <c r="A75" s="20">
        <v>72</v>
      </c>
      <c r="B75" s="45" t="s">
        <v>24</v>
      </c>
      <c r="C75" s="22" t="s">
        <v>27</v>
      </c>
      <c r="D75" s="23" t="s">
        <v>1155</v>
      </c>
      <c r="E75" s="23" t="s">
        <v>1156</v>
      </c>
      <c r="F75" s="23" t="s">
        <v>1157</v>
      </c>
      <c r="G75" s="23" t="s">
        <v>1158</v>
      </c>
      <c r="H75" s="23" t="s">
        <v>1159</v>
      </c>
      <c r="I75" s="24">
        <v>4</v>
      </c>
      <c r="J75" s="23" t="s">
        <v>1160</v>
      </c>
      <c r="M75" s="23" t="s">
        <v>1065</v>
      </c>
    </row>
    <row r="76" spans="1:13" ht="55.5" customHeight="1">
      <c r="A76" s="20">
        <v>73</v>
      </c>
      <c r="B76" s="45" t="s">
        <v>24</v>
      </c>
      <c r="C76" s="22" t="s">
        <v>27</v>
      </c>
      <c r="D76" s="23" t="s">
        <v>1161</v>
      </c>
      <c r="E76" s="23" t="s">
        <v>1162</v>
      </c>
      <c r="F76" s="23" t="s">
        <v>1163</v>
      </c>
      <c r="G76" s="23" t="s">
        <v>1164</v>
      </c>
      <c r="H76" s="23" t="s">
        <v>1165</v>
      </c>
      <c r="I76" s="24">
        <v>1</v>
      </c>
      <c r="J76" s="23" t="s">
        <v>1166</v>
      </c>
      <c r="M76" s="23" t="s">
        <v>1065</v>
      </c>
    </row>
    <row r="77" spans="1:13" ht="55.5" customHeight="1">
      <c r="A77" s="20">
        <v>74</v>
      </c>
      <c r="B77" s="45" t="s">
        <v>24</v>
      </c>
      <c r="C77" s="22" t="s">
        <v>27</v>
      </c>
      <c r="D77" s="23" t="s">
        <v>1167</v>
      </c>
      <c r="E77" s="23" t="s">
        <v>1168</v>
      </c>
      <c r="F77" s="23" t="s">
        <v>1169</v>
      </c>
      <c r="G77" s="23" t="s">
        <v>1170</v>
      </c>
      <c r="H77" s="23" t="s">
        <v>1171</v>
      </c>
      <c r="I77" s="24">
        <v>3</v>
      </c>
      <c r="J77" s="23" t="s">
        <v>1172</v>
      </c>
      <c r="M77" s="23" t="s">
        <v>1065</v>
      </c>
    </row>
    <row r="78" spans="1:13" ht="84" customHeight="1">
      <c r="A78" s="20">
        <v>75</v>
      </c>
      <c r="B78" s="45" t="s">
        <v>31</v>
      </c>
      <c r="C78" s="22" t="s">
        <v>36</v>
      </c>
      <c r="D78" s="23" t="s">
        <v>1173</v>
      </c>
      <c r="E78" s="23" t="s">
        <v>470</v>
      </c>
      <c r="F78" s="23" t="s">
        <v>471</v>
      </c>
      <c r="G78" s="23" t="s">
        <v>469</v>
      </c>
      <c r="H78" s="23" t="s">
        <v>1174</v>
      </c>
      <c r="I78" s="24">
        <v>3</v>
      </c>
      <c r="J78" s="23" t="s">
        <v>1175</v>
      </c>
      <c r="M78" s="23" t="s">
        <v>1065</v>
      </c>
    </row>
    <row r="79" spans="1:13" ht="69.75" customHeight="1">
      <c r="A79" s="20">
        <v>76</v>
      </c>
      <c r="B79" s="45" t="s">
        <v>31</v>
      </c>
      <c r="C79" s="22" t="s">
        <v>36</v>
      </c>
      <c r="D79" s="23" t="s">
        <v>1176</v>
      </c>
      <c r="E79" s="23" t="s">
        <v>476</v>
      </c>
      <c r="F79" s="23" t="s">
        <v>478</v>
      </c>
      <c r="G79" s="23" t="s">
        <v>475</v>
      </c>
      <c r="H79" s="23" t="s">
        <v>477</v>
      </c>
      <c r="I79" s="24">
        <v>3</v>
      </c>
      <c r="J79" s="23" t="s">
        <v>1177</v>
      </c>
      <c r="M79" s="23" t="s">
        <v>1065</v>
      </c>
    </row>
    <row r="80" spans="1:13" ht="69.75" customHeight="1">
      <c r="A80" s="20">
        <v>77</v>
      </c>
      <c r="B80" s="45" t="s">
        <v>31</v>
      </c>
      <c r="C80" s="22" t="s">
        <v>36</v>
      </c>
      <c r="D80" s="23" t="s">
        <v>1178</v>
      </c>
      <c r="E80" s="23" t="s">
        <v>1071</v>
      </c>
      <c r="F80" s="23" t="s">
        <v>1069</v>
      </c>
      <c r="G80" s="23" t="s">
        <v>1070</v>
      </c>
      <c r="H80" s="23" t="s">
        <v>1072</v>
      </c>
      <c r="I80" s="24">
        <v>3</v>
      </c>
      <c r="J80" s="23" t="s">
        <v>1179</v>
      </c>
      <c r="M80" s="23" t="s">
        <v>1065</v>
      </c>
    </row>
    <row r="81" spans="1:13" ht="27.75" customHeight="1">
      <c r="A81" s="20">
        <v>78</v>
      </c>
      <c r="B81" s="45" t="s">
        <v>31</v>
      </c>
      <c r="C81" s="22" t="s">
        <v>32</v>
      </c>
      <c r="D81" s="23" t="s">
        <v>1180</v>
      </c>
      <c r="E81" s="23" t="s">
        <v>1181</v>
      </c>
      <c r="F81" s="23" t="s">
        <v>1182</v>
      </c>
      <c r="G81" s="23" t="s">
        <v>1183</v>
      </c>
      <c r="H81" s="23" t="s">
        <v>1184</v>
      </c>
      <c r="I81" s="24">
        <v>3</v>
      </c>
      <c r="J81" s="23" t="s">
        <v>1185</v>
      </c>
      <c r="M81" s="23" t="s">
        <v>1065</v>
      </c>
    </row>
    <row r="82" spans="1:13" ht="42" customHeight="1">
      <c r="A82" s="20">
        <v>79</v>
      </c>
      <c r="B82" s="45" t="s">
        <v>31</v>
      </c>
      <c r="C82" s="22" t="s">
        <v>32</v>
      </c>
      <c r="D82" s="23" t="s">
        <v>1186</v>
      </c>
      <c r="E82" s="23" t="s">
        <v>1187</v>
      </c>
      <c r="F82" s="23" t="s">
        <v>1188</v>
      </c>
      <c r="G82" s="23" t="s">
        <v>1189</v>
      </c>
      <c r="H82" s="23" t="s">
        <v>1190</v>
      </c>
      <c r="I82" s="24">
        <v>2</v>
      </c>
      <c r="J82" s="23" t="s">
        <v>1191</v>
      </c>
      <c r="M82" s="23" t="s">
        <v>1065</v>
      </c>
    </row>
    <row r="83" spans="1:13" ht="42" customHeight="1">
      <c r="A83" s="20">
        <v>80</v>
      </c>
      <c r="B83" s="45" t="s">
        <v>31</v>
      </c>
      <c r="C83" s="22" t="s">
        <v>34</v>
      </c>
      <c r="D83" s="23" t="s">
        <v>1192</v>
      </c>
      <c r="E83" s="23" t="s">
        <v>1193</v>
      </c>
      <c r="F83" s="23" t="s">
        <v>1194</v>
      </c>
      <c r="G83" s="23" t="s">
        <v>1195</v>
      </c>
      <c r="H83" s="23" t="s">
        <v>1196</v>
      </c>
      <c r="I83" s="24">
        <v>2</v>
      </c>
      <c r="J83" s="23" t="s">
        <v>1197</v>
      </c>
      <c r="M83" s="23" t="s">
        <v>1065</v>
      </c>
    </row>
    <row r="84" spans="1:13" ht="42" customHeight="1">
      <c r="A84" s="20">
        <v>81</v>
      </c>
      <c r="B84" s="45" t="s">
        <v>31</v>
      </c>
      <c r="C84" s="22" t="s">
        <v>36</v>
      </c>
      <c r="D84" s="23" t="s">
        <v>1198</v>
      </c>
      <c r="E84" s="23" t="s">
        <v>1199</v>
      </c>
      <c r="F84" s="23" t="s">
        <v>1200</v>
      </c>
      <c r="G84" s="23" t="s">
        <v>1201</v>
      </c>
      <c r="H84" s="23" t="s">
        <v>1202</v>
      </c>
      <c r="I84" s="24">
        <v>2</v>
      </c>
      <c r="J84" s="23" t="s">
        <v>1203</v>
      </c>
      <c r="M84" s="23" t="s">
        <v>1065</v>
      </c>
    </row>
    <row r="85" spans="1:13" ht="27.75" customHeight="1">
      <c r="A85" s="20">
        <v>82</v>
      </c>
      <c r="B85" s="45" t="s">
        <v>31</v>
      </c>
      <c r="C85" s="22" t="s">
        <v>36</v>
      </c>
      <c r="D85" s="23" t="s">
        <v>1204</v>
      </c>
      <c r="E85" s="23" t="s">
        <v>1205</v>
      </c>
      <c r="F85" s="23" t="s">
        <v>1206</v>
      </c>
      <c r="G85" s="23" t="s">
        <v>1207</v>
      </c>
      <c r="H85" s="23" t="s">
        <v>1208</v>
      </c>
      <c r="I85" s="24">
        <v>2</v>
      </c>
      <c r="J85" s="23" t="s">
        <v>1209</v>
      </c>
      <c r="M85" s="23" t="s">
        <v>1065</v>
      </c>
    </row>
    <row r="86" spans="1:13" ht="27.75" customHeight="1">
      <c r="A86" s="20">
        <v>83</v>
      </c>
      <c r="B86" s="45" t="s">
        <v>31</v>
      </c>
      <c r="C86" s="22" t="s">
        <v>36</v>
      </c>
      <c r="D86" s="23" t="s">
        <v>1210</v>
      </c>
      <c r="E86" s="23" t="s">
        <v>1211</v>
      </c>
      <c r="F86" s="23" t="s">
        <v>1212</v>
      </c>
      <c r="G86" s="23" t="s">
        <v>1213</v>
      </c>
      <c r="H86" s="23" t="s">
        <v>1214</v>
      </c>
      <c r="I86" s="24">
        <v>2</v>
      </c>
      <c r="J86" s="23" t="s">
        <v>1215</v>
      </c>
      <c r="M86" s="23" t="s">
        <v>1065</v>
      </c>
    </row>
    <row r="87" spans="1:13" ht="27.75" customHeight="1">
      <c r="A87" s="20">
        <v>84</v>
      </c>
      <c r="B87" s="45" t="s">
        <v>31</v>
      </c>
      <c r="C87" s="22" t="s">
        <v>32</v>
      </c>
      <c r="D87" s="23" t="s">
        <v>1216</v>
      </c>
      <c r="E87" s="23" t="s">
        <v>1217</v>
      </c>
      <c r="F87" s="23" t="s">
        <v>1218</v>
      </c>
      <c r="G87" s="23" t="s">
        <v>1219</v>
      </c>
      <c r="H87" s="23" t="s">
        <v>1220</v>
      </c>
      <c r="I87" s="24">
        <v>3</v>
      </c>
      <c r="J87" s="23" t="s">
        <v>1221</v>
      </c>
      <c r="M87" s="23" t="s">
        <v>1065</v>
      </c>
    </row>
    <row r="88" spans="1:13" ht="55.5" customHeight="1">
      <c r="A88" s="20">
        <v>85</v>
      </c>
      <c r="B88" s="45" t="s">
        <v>31</v>
      </c>
      <c r="C88" s="22" t="s">
        <v>32</v>
      </c>
      <c r="D88" s="23" t="s">
        <v>1222</v>
      </c>
      <c r="E88" s="23" t="s">
        <v>1223</v>
      </c>
      <c r="F88" s="23" t="s">
        <v>1224</v>
      </c>
      <c r="G88" s="23" t="s">
        <v>1225</v>
      </c>
      <c r="H88" s="23" t="s">
        <v>1226</v>
      </c>
      <c r="I88" s="24">
        <v>4</v>
      </c>
      <c r="J88" s="23" t="s">
        <v>1227</v>
      </c>
      <c r="M88" s="23" t="s">
        <v>1065</v>
      </c>
    </row>
    <row r="89" spans="1:13" ht="55.5" customHeight="1">
      <c r="A89" s="20">
        <v>86</v>
      </c>
      <c r="B89" s="45" t="s">
        <v>31</v>
      </c>
      <c r="C89" s="22" t="s">
        <v>34</v>
      </c>
      <c r="D89" s="23" t="s">
        <v>1228</v>
      </c>
      <c r="E89" s="23" t="s">
        <v>1229</v>
      </c>
      <c r="F89" s="23" t="s">
        <v>1230</v>
      </c>
      <c r="G89" s="23" t="s">
        <v>1231</v>
      </c>
      <c r="H89" s="23" t="s">
        <v>1232</v>
      </c>
      <c r="I89" s="24">
        <v>2</v>
      </c>
      <c r="J89" s="23" t="s">
        <v>1233</v>
      </c>
      <c r="M89" s="23" t="s">
        <v>1065</v>
      </c>
    </row>
    <row r="90" spans="1:13" ht="42" customHeight="1">
      <c r="A90" s="20">
        <v>87</v>
      </c>
      <c r="B90" s="45" t="s">
        <v>31</v>
      </c>
      <c r="C90" s="22" t="s">
        <v>36</v>
      </c>
      <c r="D90" s="23" t="s">
        <v>1234</v>
      </c>
      <c r="E90" s="23" t="s">
        <v>1235</v>
      </c>
      <c r="F90" s="23" t="s">
        <v>1236</v>
      </c>
      <c r="G90" s="23" t="s">
        <v>1237</v>
      </c>
      <c r="H90" s="23" t="s">
        <v>1238</v>
      </c>
      <c r="I90" s="24">
        <v>4</v>
      </c>
      <c r="J90" s="23" t="s">
        <v>1239</v>
      </c>
      <c r="M90" s="23" t="s">
        <v>1065</v>
      </c>
    </row>
    <row r="91" spans="1:13" ht="55.5" customHeight="1">
      <c r="A91" s="20">
        <v>88</v>
      </c>
      <c r="B91" s="45" t="s">
        <v>31</v>
      </c>
      <c r="C91" s="22" t="s">
        <v>36</v>
      </c>
      <c r="D91" s="23" t="s">
        <v>1240</v>
      </c>
      <c r="E91" s="23" t="s">
        <v>1241</v>
      </c>
      <c r="F91" s="23" t="s">
        <v>1242</v>
      </c>
      <c r="G91" s="23" t="s">
        <v>1243</v>
      </c>
      <c r="H91" s="23" t="s">
        <v>1244</v>
      </c>
      <c r="I91" s="24">
        <v>2</v>
      </c>
      <c r="J91" s="23" t="s">
        <v>1245</v>
      </c>
      <c r="M91" s="23" t="s">
        <v>1065</v>
      </c>
    </row>
    <row r="92" spans="1:13" ht="55.5" customHeight="1">
      <c r="A92" s="20">
        <v>89</v>
      </c>
      <c r="B92" s="45" t="s">
        <v>31</v>
      </c>
      <c r="C92" s="22" t="s">
        <v>36</v>
      </c>
      <c r="D92" s="23" t="s">
        <v>1246</v>
      </c>
      <c r="E92" s="23" t="s">
        <v>1247</v>
      </c>
      <c r="F92" s="23" t="s">
        <v>1248</v>
      </c>
      <c r="G92" s="23" t="s">
        <v>1249</v>
      </c>
      <c r="H92" s="23" t="s">
        <v>1250</v>
      </c>
      <c r="I92" s="24">
        <v>4</v>
      </c>
      <c r="J92" s="23" t="s">
        <v>1251</v>
      </c>
      <c r="M92" s="23" t="s">
        <v>1065</v>
      </c>
    </row>
    <row r="93" spans="1:13" ht="55.5" customHeight="1">
      <c r="A93" s="20">
        <v>90</v>
      </c>
      <c r="B93" s="45" t="s">
        <v>38</v>
      </c>
      <c r="C93" s="22" t="s">
        <v>41</v>
      </c>
      <c r="D93" s="23" t="s">
        <v>1252</v>
      </c>
      <c r="E93" s="23" t="s">
        <v>470</v>
      </c>
      <c r="F93" s="23" t="s">
        <v>471</v>
      </c>
      <c r="G93" s="23" t="s">
        <v>1174</v>
      </c>
      <c r="H93" s="23" t="s">
        <v>469</v>
      </c>
      <c r="I93" s="24">
        <v>4</v>
      </c>
      <c r="J93" s="23" t="s">
        <v>1253</v>
      </c>
      <c r="M93" s="23" t="s">
        <v>1065</v>
      </c>
    </row>
    <row r="94" spans="1:13" ht="55.5" customHeight="1">
      <c r="A94" s="20">
        <v>91</v>
      </c>
      <c r="B94" s="45" t="s">
        <v>38</v>
      </c>
      <c r="C94" s="22" t="s">
        <v>41</v>
      </c>
      <c r="D94" s="23" t="s">
        <v>1254</v>
      </c>
      <c r="E94" s="23" t="s">
        <v>478</v>
      </c>
      <c r="F94" s="23" t="s">
        <v>477</v>
      </c>
      <c r="G94" s="23" t="s">
        <v>475</v>
      </c>
      <c r="H94" s="23" t="s">
        <v>476</v>
      </c>
      <c r="I94" s="24">
        <v>3</v>
      </c>
      <c r="J94" s="23" t="s">
        <v>1255</v>
      </c>
      <c r="M94" s="23" t="s">
        <v>1065</v>
      </c>
    </row>
    <row r="95" spans="1:13" ht="55.5" customHeight="1">
      <c r="A95" s="20">
        <v>92</v>
      </c>
      <c r="B95" s="45" t="s">
        <v>38</v>
      </c>
      <c r="C95" s="22" t="s">
        <v>41</v>
      </c>
      <c r="D95" s="23" t="s">
        <v>1256</v>
      </c>
      <c r="E95" s="23" t="s">
        <v>1069</v>
      </c>
      <c r="F95" s="23" t="s">
        <v>1071</v>
      </c>
      <c r="G95" s="23" t="s">
        <v>1070</v>
      </c>
      <c r="H95" s="23" t="s">
        <v>1072</v>
      </c>
      <c r="I95" s="24">
        <v>3</v>
      </c>
      <c r="J95" s="23" t="s">
        <v>1257</v>
      </c>
      <c r="M95" s="23" t="s">
        <v>1065</v>
      </c>
    </row>
    <row r="96" spans="1:13" ht="42" customHeight="1">
      <c r="A96" s="20">
        <v>93</v>
      </c>
      <c r="B96" s="45" t="s">
        <v>38</v>
      </c>
      <c r="C96" s="22" t="s">
        <v>41</v>
      </c>
      <c r="D96" s="23" t="s">
        <v>1258</v>
      </c>
      <c r="E96" s="23" t="s">
        <v>1259</v>
      </c>
      <c r="F96" s="23" t="s">
        <v>1260</v>
      </c>
      <c r="G96" s="23" t="s">
        <v>1261</v>
      </c>
      <c r="H96" s="23" t="s">
        <v>1262</v>
      </c>
      <c r="I96" s="24">
        <v>2</v>
      </c>
      <c r="J96" s="23" t="s">
        <v>1263</v>
      </c>
      <c r="M96" s="23" t="s">
        <v>1065</v>
      </c>
    </row>
    <row r="97" spans="1:13" ht="42" customHeight="1">
      <c r="A97" s="20">
        <v>94</v>
      </c>
      <c r="B97" s="45" t="s">
        <v>38</v>
      </c>
      <c r="C97" s="22" t="s">
        <v>39</v>
      </c>
      <c r="D97" s="23" t="s">
        <v>1264</v>
      </c>
      <c r="E97" s="23" t="s">
        <v>1265</v>
      </c>
      <c r="F97" s="23" t="s">
        <v>1266</v>
      </c>
      <c r="G97" s="23" t="s">
        <v>1267</v>
      </c>
      <c r="H97" s="23" t="s">
        <v>1268</v>
      </c>
      <c r="I97" s="24">
        <v>2</v>
      </c>
      <c r="J97" s="23" t="s">
        <v>1269</v>
      </c>
      <c r="M97" s="23" t="s">
        <v>1065</v>
      </c>
    </row>
    <row r="98" spans="1:13" ht="42" customHeight="1">
      <c r="A98" s="20">
        <v>95</v>
      </c>
      <c r="B98" s="45" t="s">
        <v>38</v>
      </c>
      <c r="C98" s="22" t="s">
        <v>41</v>
      </c>
      <c r="D98" s="23" t="s">
        <v>1270</v>
      </c>
      <c r="E98" s="23" t="s">
        <v>1271</v>
      </c>
      <c r="F98" s="23" t="s">
        <v>1272</v>
      </c>
      <c r="G98" s="23" t="s">
        <v>1273</v>
      </c>
      <c r="H98" s="23" t="s">
        <v>1274</v>
      </c>
      <c r="I98" s="24">
        <v>2</v>
      </c>
      <c r="J98" s="23" t="s">
        <v>1275</v>
      </c>
      <c r="M98" s="23" t="s">
        <v>1065</v>
      </c>
    </row>
    <row r="99" spans="1:13" ht="27.75" customHeight="1">
      <c r="A99" s="20">
        <v>96</v>
      </c>
      <c r="B99" s="45" t="s">
        <v>38</v>
      </c>
      <c r="C99" s="22" t="s">
        <v>41</v>
      </c>
      <c r="D99" s="23" t="s">
        <v>1276</v>
      </c>
      <c r="E99" s="23" t="s">
        <v>1277</v>
      </c>
      <c r="F99" s="23" t="s">
        <v>1278</v>
      </c>
      <c r="G99" s="23" t="s">
        <v>1279</v>
      </c>
      <c r="H99" s="23" t="s">
        <v>1280</v>
      </c>
      <c r="I99" s="24">
        <v>2</v>
      </c>
      <c r="J99" s="23" t="s">
        <v>1281</v>
      </c>
      <c r="M99" s="23" t="s">
        <v>1065</v>
      </c>
    </row>
    <row r="100" spans="1:13" ht="42" customHeight="1">
      <c r="A100" s="20">
        <v>97</v>
      </c>
      <c r="B100" s="45" t="s">
        <v>38</v>
      </c>
      <c r="C100" s="22" t="s">
        <v>39</v>
      </c>
      <c r="D100" s="23" t="s">
        <v>1282</v>
      </c>
      <c r="E100" s="23" t="s">
        <v>1283</v>
      </c>
      <c r="F100" s="23" t="s">
        <v>1284</v>
      </c>
      <c r="G100" s="23" t="s">
        <v>1285</v>
      </c>
      <c r="H100" s="23" t="s">
        <v>1286</v>
      </c>
      <c r="I100" s="24">
        <v>2</v>
      </c>
      <c r="J100" s="23" t="s">
        <v>1287</v>
      </c>
      <c r="M100" s="23" t="s">
        <v>1065</v>
      </c>
    </row>
    <row r="101" spans="1:13" ht="42" customHeight="1">
      <c r="A101" s="20">
        <v>98</v>
      </c>
      <c r="B101" s="45" t="s">
        <v>38</v>
      </c>
      <c r="C101" s="22" t="s">
        <v>41</v>
      </c>
      <c r="D101" s="23" t="s">
        <v>1288</v>
      </c>
      <c r="E101" s="23" t="s">
        <v>1289</v>
      </c>
      <c r="F101" s="23" t="s">
        <v>1290</v>
      </c>
      <c r="G101" s="23" t="s">
        <v>1291</v>
      </c>
      <c r="H101" s="23" t="s">
        <v>1292</v>
      </c>
      <c r="I101" s="24">
        <v>3</v>
      </c>
      <c r="J101" s="23" t="s">
        <v>1293</v>
      </c>
      <c r="M101" s="23" t="s">
        <v>1065</v>
      </c>
    </row>
    <row r="102" spans="1:13" ht="42" customHeight="1">
      <c r="A102" s="20">
        <v>99</v>
      </c>
      <c r="B102" s="45" t="s">
        <v>38</v>
      </c>
      <c r="C102" s="22" t="s">
        <v>41</v>
      </c>
      <c r="D102" s="23" t="s">
        <v>1294</v>
      </c>
      <c r="E102" s="23" t="s">
        <v>1295</v>
      </c>
      <c r="F102" s="23" t="s">
        <v>1296</v>
      </c>
      <c r="G102" s="23" t="s">
        <v>1297</v>
      </c>
      <c r="H102" s="23" t="s">
        <v>1298</v>
      </c>
      <c r="I102" s="24">
        <v>2</v>
      </c>
      <c r="J102" s="23" t="s">
        <v>1299</v>
      </c>
      <c r="M102" s="23" t="s">
        <v>1065</v>
      </c>
    </row>
    <row r="103" spans="1:13" ht="55.5" customHeight="1">
      <c r="A103" s="20">
        <v>100</v>
      </c>
      <c r="B103" s="45" t="s">
        <v>38</v>
      </c>
      <c r="C103" s="22" t="s">
        <v>39</v>
      </c>
      <c r="D103" s="23" t="s">
        <v>1300</v>
      </c>
      <c r="E103" s="23" t="s">
        <v>1301</v>
      </c>
      <c r="F103" s="23" t="s">
        <v>1302</v>
      </c>
      <c r="G103" s="23" t="s">
        <v>1303</v>
      </c>
      <c r="H103" s="23" t="s">
        <v>1304</v>
      </c>
      <c r="I103" s="24">
        <v>2</v>
      </c>
      <c r="J103" s="23" t="s">
        <v>1305</v>
      </c>
      <c r="M103" s="23" t="s">
        <v>1065</v>
      </c>
    </row>
    <row r="104" spans="1:13" ht="55.5" customHeight="1">
      <c r="A104" s="20">
        <v>101</v>
      </c>
      <c r="B104" s="45" t="s">
        <v>38</v>
      </c>
      <c r="C104" s="22" t="s">
        <v>41</v>
      </c>
      <c r="D104" s="23" t="s">
        <v>1306</v>
      </c>
      <c r="E104" s="23" t="s">
        <v>1307</v>
      </c>
      <c r="F104" s="23" t="s">
        <v>1308</v>
      </c>
      <c r="G104" s="23" t="s">
        <v>1309</v>
      </c>
      <c r="H104" s="23" t="s">
        <v>1310</v>
      </c>
      <c r="I104" s="24">
        <v>4</v>
      </c>
      <c r="J104" s="23" t="s">
        <v>1311</v>
      </c>
      <c r="M104" s="23" t="s">
        <v>1065</v>
      </c>
    </row>
    <row r="105" spans="1:13" ht="55.5" customHeight="1">
      <c r="A105" s="20">
        <v>102</v>
      </c>
      <c r="B105" s="45" t="s">
        <v>38</v>
      </c>
      <c r="C105" s="22" t="s">
        <v>41</v>
      </c>
      <c r="D105" s="23" t="s">
        <v>1312</v>
      </c>
      <c r="E105" s="23" t="s">
        <v>1313</v>
      </c>
      <c r="F105" s="23" t="s">
        <v>1314</v>
      </c>
      <c r="G105" s="23" t="s">
        <v>1315</v>
      </c>
      <c r="H105" s="23" t="s">
        <v>1316</v>
      </c>
      <c r="I105" s="24">
        <v>1</v>
      </c>
      <c r="J105" s="23" t="s">
        <v>1317</v>
      </c>
      <c r="M105" s="23" t="s">
        <v>1065</v>
      </c>
    </row>
    <row r="106" spans="1:13" ht="55.5" customHeight="1">
      <c r="A106" s="20">
        <v>103</v>
      </c>
      <c r="B106" s="45" t="s">
        <v>38</v>
      </c>
      <c r="C106" s="22" t="s">
        <v>41</v>
      </c>
      <c r="D106" s="23" t="s">
        <v>1318</v>
      </c>
      <c r="E106" s="23" t="s">
        <v>1319</v>
      </c>
      <c r="F106" s="23" t="s">
        <v>1320</v>
      </c>
      <c r="G106" s="23" t="s">
        <v>1321</v>
      </c>
      <c r="H106" s="23" t="s">
        <v>1322</v>
      </c>
      <c r="I106" s="24">
        <v>4</v>
      </c>
      <c r="J106" s="23" t="s">
        <v>1323</v>
      </c>
      <c r="M106" s="23" t="s">
        <v>1065</v>
      </c>
    </row>
    <row r="107" spans="1:13" ht="55.5" customHeight="1">
      <c r="A107" s="20">
        <v>104</v>
      </c>
      <c r="B107" s="45" t="s">
        <v>38</v>
      </c>
      <c r="C107" s="22" t="s">
        <v>41</v>
      </c>
      <c r="D107" s="23" t="s">
        <v>1324</v>
      </c>
      <c r="E107" s="23" t="s">
        <v>1325</v>
      </c>
      <c r="F107" s="23" t="s">
        <v>1326</v>
      </c>
      <c r="G107" s="23" t="s">
        <v>1327</v>
      </c>
      <c r="H107" s="23" t="s">
        <v>1328</v>
      </c>
      <c r="I107" s="24">
        <v>3</v>
      </c>
      <c r="J107" s="23" t="s">
        <v>1329</v>
      </c>
      <c r="M107" s="23" t="s">
        <v>1065</v>
      </c>
    </row>
    <row r="108" spans="1:13" ht="51" customHeight="1">
      <c r="A108" s="20">
        <v>105</v>
      </c>
      <c r="B108" s="45" t="s">
        <v>43</v>
      </c>
      <c r="C108" s="22" t="s">
        <v>44</v>
      </c>
      <c r="D108" s="23" t="s">
        <v>1330</v>
      </c>
      <c r="E108" s="23" t="s">
        <v>470</v>
      </c>
      <c r="F108" s="23" t="s">
        <v>469</v>
      </c>
      <c r="G108" s="23" t="s">
        <v>471</v>
      </c>
      <c r="H108" s="23" t="s">
        <v>472</v>
      </c>
      <c r="I108" s="24">
        <v>2</v>
      </c>
      <c r="J108" s="23" t="s">
        <v>1331</v>
      </c>
      <c r="M108" s="23" t="s">
        <v>1065</v>
      </c>
    </row>
    <row r="109" spans="1:13" ht="51" customHeight="1">
      <c r="A109" s="20">
        <v>106</v>
      </c>
      <c r="B109" s="45" t="s">
        <v>43</v>
      </c>
      <c r="C109" s="22" t="s">
        <v>44</v>
      </c>
      <c r="D109" s="23" t="s">
        <v>1332</v>
      </c>
      <c r="E109" s="23" t="s">
        <v>476</v>
      </c>
      <c r="F109" s="23" t="s">
        <v>478</v>
      </c>
      <c r="G109" s="23" t="s">
        <v>477</v>
      </c>
      <c r="H109" s="23" t="s">
        <v>475</v>
      </c>
      <c r="I109" s="24">
        <v>4</v>
      </c>
      <c r="J109" s="23" t="s">
        <v>1333</v>
      </c>
      <c r="M109" s="23" t="s">
        <v>1065</v>
      </c>
    </row>
    <row r="110" spans="1:13" ht="51" customHeight="1">
      <c r="A110" s="20">
        <v>107</v>
      </c>
      <c r="B110" s="45" t="s">
        <v>43</v>
      </c>
      <c r="C110" s="22" t="s">
        <v>44</v>
      </c>
      <c r="D110" s="23" t="s">
        <v>1334</v>
      </c>
      <c r="E110" s="23" t="s">
        <v>483</v>
      </c>
      <c r="F110" s="23" t="s">
        <v>484</v>
      </c>
      <c r="G110" s="23" t="s">
        <v>482</v>
      </c>
      <c r="H110" s="23" t="s">
        <v>1335</v>
      </c>
      <c r="I110" s="24">
        <v>2</v>
      </c>
      <c r="J110" s="23" t="s">
        <v>1336</v>
      </c>
      <c r="M110" s="23" t="s">
        <v>1065</v>
      </c>
    </row>
    <row r="111" spans="1:13" ht="63.75" customHeight="1">
      <c r="A111" s="20">
        <v>108</v>
      </c>
      <c r="B111" s="45" t="s">
        <v>43</v>
      </c>
      <c r="C111" s="22" t="s">
        <v>46</v>
      </c>
      <c r="D111" s="23" t="s">
        <v>1337</v>
      </c>
      <c r="E111" s="23" t="s">
        <v>1338</v>
      </c>
      <c r="F111" s="23" t="s">
        <v>1339</v>
      </c>
      <c r="G111" s="23" t="s">
        <v>1340</v>
      </c>
      <c r="H111" s="23" t="s">
        <v>1341</v>
      </c>
      <c r="I111" s="24">
        <v>2</v>
      </c>
      <c r="J111" s="23" t="s">
        <v>1342</v>
      </c>
      <c r="M111" s="23" t="s">
        <v>1065</v>
      </c>
    </row>
    <row r="112" spans="1:13" ht="63.75" customHeight="1">
      <c r="A112" s="20">
        <v>109</v>
      </c>
      <c r="B112" s="45" t="s">
        <v>43</v>
      </c>
      <c r="C112" s="22" t="s">
        <v>46</v>
      </c>
      <c r="D112" s="23" t="s">
        <v>1343</v>
      </c>
      <c r="E112" s="23" t="s">
        <v>1344</v>
      </c>
      <c r="F112" s="23" t="s">
        <v>1345</v>
      </c>
      <c r="G112" s="23" t="s">
        <v>1346</v>
      </c>
      <c r="H112" s="23" t="s">
        <v>1347</v>
      </c>
      <c r="I112" s="24">
        <v>2</v>
      </c>
      <c r="J112" s="23" t="s">
        <v>1348</v>
      </c>
      <c r="M112" s="23" t="s">
        <v>1065</v>
      </c>
    </row>
    <row r="113" spans="1:13" ht="63.75" customHeight="1">
      <c r="A113" s="20">
        <v>110</v>
      </c>
      <c r="B113" s="45" t="s">
        <v>43</v>
      </c>
      <c r="C113" s="22" t="s">
        <v>44</v>
      </c>
      <c r="D113" s="23" t="s">
        <v>1349</v>
      </c>
      <c r="E113" s="56" t="s">
        <v>1350</v>
      </c>
      <c r="F113" s="23" t="s">
        <v>1351</v>
      </c>
      <c r="G113" s="23" t="s">
        <v>1352</v>
      </c>
      <c r="H113" s="23" t="s">
        <v>1353</v>
      </c>
      <c r="I113" s="24">
        <v>4</v>
      </c>
      <c r="J113" s="23" t="s">
        <v>1354</v>
      </c>
      <c r="M113" s="23" t="s">
        <v>1065</v>
      </c>
    </row>
    <row r="114" spans="1:13" ht="63.75" customHeight="1">
      <c r="A114" s="20">
        <v>111</v>
      </c>
      <c r="B114" s="45" t="s">
        <v>43</v>
      </c>
      <c r="C114" s="22" t="s">
        <v>44</v>
      </c>
      <c r="D114" s="23" t="s">
        <v>1355</v>
      </c>
      <c r="E114" s="23" t="s">
        <v>1356</v>
      </c>
      <c r="F114" s="23" t="s">
        <v>1357</v>
      </c>
      <c r="G114" s="23" t="s">
        <v>1358</v>
      </c>
      <c r="H114" s="23" t="s">
        <v>1359</v>
      </c>
      <c r="I114" s="24">
        <v>3</v>
      </c>
      <c r="J114" s="23" t="s">
        <v>1360</v>
      </c>
      <c r="M114" s="23" t="s">
        <v>1065</v>
      </c>
    </row>
    <row r="115" spans="1:13" ht="63.75" customHeight="1">
      <c r="A115" s="20">
        <v>112</v>
      </c>
      <c r="B115" s="45" t="s">
        <v>43</v>
      </c>
      <c r="C115" s="22" t="s">
        <v>44</v>
      </c>
      <c r="D115" s="23" t="s">
        <v>1361</v>
      </c>
      <c r="E115" s="23" t="s">
        <v>1362</v>
      </c>
      <c r="F115" s="23" t="s">
        <v>1363</v>
      </c>
      <c r="G115" s="23" t="s">
        <v>1364</v>
      </c>
      <c r="H115" s="23" t="s">
        <v>1365</v>
      </c>
      <c r="I115" s="24">
        <v>2</v>
      </c>
      <c r="J115" s="23" t="s">
        <v>1366</v>
      </c>
      <c r="M115" s="23" t="s">
        <v>1065</v>
      </c>
    </row>
    <row r="116" spans="1:13" ht="63.75" customHeight="1">
      <c r="A116" s="20">
        <v>113</v>
      </c>
      <c r="B116" s="45" t="s">
        <v>43</v>
      </c>
      <c r="C116" s="22" t="s">
        <v>46</v>
      </c>
      <c r="D116" s="23" t="s">
        <v>1367</v>
      </c>
      <c r="E116" s="23" t="s">
        <v>1368</v>
      </c>
      <c r="F116" s="23" t="s">
        <v>1369</v>
      </c>
      <c r="G116" s="23" t="s">
        <v>1370</v>
      </c>
      <c r="H116" s="23" t="s">
        <v>1371</v>
      </c>
      <c r="I116" s="24">
        <v>2</v>
      </c>
      <c r="J116" s="23" t="s">
        <v>1372</v>
      </c>
      <c r="M116" s="23" t="s">
        <v>1065</v>
      </c>
    </row>
    <row r="117" spans="1:13" s="104" customFormat="1" ht="51" customHeight="1">
      <c r="A117" s="99">
        <v>114</v>
      </c>
      <c r="B117" s="117" t="s">
        <v>43</v>
      </c>
      <c r="C117" s="101" t="s">
        <v>46</v>
      </c>
      <c r="D117" s="102" t="s">
        <v>1373</v>
      </c>
      <c r="E117" s="102" t="s">
        <v>1374</v>
      </c>
      <c r="F117" s="118" t="s">
        <v>1375</v>
      </c>
      <c r="G117" s="102" t="s">
        <v>1376</v>
      </c>
      <c r="H117" s="102" t="s">
        <v>1377</v>
      </c>
      <c r="I117" s="103">
        <v>2</v>
      </c>
      <c r="J117" s="102" t="s">
        <v>1378</v>
      </c>
      <c r="K117" s="119"/>
      <c r="L117" s="119">
        <v>260830</v>
      </c>
      <c r="M117" s="102" t="s">
        <v>1065</v>
      </c>
    </row>
    <row r="118" spans="1:13" ht="51" customHeight="1">
      <c r="A118" s="20">
        <v>115</v>
      </c>
      <c r="B118" s="45" t="s">
        <v>43</v>
      </c>
      <c r="C118" s="22" t="s">
        <v>46</v>
      </c>
      <c r="D118" s="23" t="s">
        <v>1379</v>
      </c>
      <c r="E118" s="23" t="s">
        <v>1380</v>
      </c>
      <c r="F118" s="23" t="s">
        <v>1381</v>
      </c>
      <c r="G118" s="23" t="s">
        <v>1382</v>
      </c>
      <c r="H118" s="23" t="s">
        <v>1383</v>
      </c>
      <c r="I118" s="24">
        <v>2</v>
      </c>
      <c r="J118" s="23" t="s">
        <v>1384</v>
      </c>
      <c r="M118" s="23" t="s">
        <v>1065</v>
      </c>
    </row>
    <row r="119" spans="1:13" ht="38.25" customHeight="1">
      <c r="A119" s="20">
        <v>116</v>
      </c>
      <c r="B119" s="45" t="s">
        <v>43</v>
      </c>
      <c r="C119" s="22" t="s">
        <v>46</v>
      </c>
      <c r="D119" s="23" t="s">
        <v>1385</v>
      </c>
      <c r="E119" s="23" t="s">
        <v>1386</v>
      </c>
      <c r="F119" s="23" t="s">
        <v>1387</v>
      </c>
      <c r="G119" s="23" t="s">
        <v>1388</v>
      </c>
      <c r="H119" s="23" t="s">
        <v>1389</v>
      </c>
      <c r="I119" s="24">
        <v>4</v>
      </c>
      <c r="J119" s="23" t="s">
        <v>1390</v>
      </c>
      <c r="M119" s="23" t="s">
        <v>1065</v>
      </c>
    </row>
    <row r="120" spans="1:13" ht="51" customHeight="1">
      <c r="A120" s="20">
        <v>117</v>
      </c>
      <c r="B120" s="45" t="s">
        <v>43</v>
      </c>
      <c r="C120" s="22" t="s">
        <v>44</v>
      </c>
      <c r="D120" s="23" t="s">
        <v>1391</v>
      </c>
      <c r="E120" s="23" t="s">
        <v>1392</v>
      </c>
      <c r="F120" s="23" t="s">
        <v>1393</v>
      </c>
      <c r="G120" s="23" t="s">
        <v>1394</v>
      </c>
      <c r="H120" s="23" t="s">
        <v>1395</v>
      </c>
      <c r="I120" s="24">
        <v>3</v>
      </c>
      <c r="J120" s="23" t="s">
        <v>1396</v>
      </c>
      <c r="M120" s="23" t="s">
        <v>1065</v>
      </c>
    </row>
    <row r="121" spans="1:13" ht="63.75" customHeight="1">
      <c r="A121" s="20">
        <v>118</v>
      </c>
      <c r="B121" s="45" t="s">
        <v>43</v>
      </c>
      <c r="C121" s="22" t="s">
        <v>44</v>
      </c>
      <c r="D121" s="23" t="s">
        <v>1397</v>
      </c>
      <c r="E121" s="23" t="s">
        <v>1398</v>
      </c>
      <c r="F121" s="23" t="s">
        <v>1399</v>
      </c>
      <c r="G121" s="23" t="s">
        <v>1400</v>
      </c>
      <c r="H121" s="23" t="s">
        <v>1401</v>
      </c>
      <c r="I121" s="24">
        <v>1</v>
      </c>
      <c r="J121" s="23" t="s">
        <v>1402</v>
      </c>
      <c r="M121" s="23" t="s">
        <v>1065</v>
      </c>
    </row>
    <row r="122" spans="1:13" ht="51" customHeight="1">
      <c r="A122" s="20">
        <v>119</v>
      </c>
      <c r="B122" s="45" t="s">
        <v>43</v>
      </c>
      <c r="C122" s="22" t="s">
        <v>46</v>
      </c>
      <c r="D122" s="23" t="s">
        <v>1403</v>
      </c>
      <c r="E122" s="23" t="s">
        <v>1404</v>
      </c>
      <c r="F122" s="23" t="s">
        <v>1405</v>
      </c>
      <c r="G122" s="23" t="s">
        <v>1406</v>
      </c>
      <c r="H122" s="23" t="s">
        <v>1407</v>
      </c>
      <c r="I122" s="24">
        <v>2</v>
      </c>
      <c r="J122" s="23" t="s">
        <v>1408</v>
      </c>
      <c r="M122" s="23" t="s">
        <v>1065</v>
      </c>
    </row>
  </sheetData>
  <mergeCells count="2">
    <mergeCell ref="A2:L2"/>
    <mergeCell ref="A1:L1"/>
  </mergeCells>
  <phoneticPr fontId="58" type="noConversion"/>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183"/>
  <sheetViews>
    <sheetView zoomScale="75" zoomScaleNormal="55" workbookViewId="0">
      <pane xSplit="3" ySplit="3" topLeftCell="E88" activePane="bottomRight" state="frozen"/>
      <selection activeCell="C120" sqref="C120"/>
      <selection pane="topRight" activeCell="C120" sqref="C120"/>
      <selection pane="bottomLeft" activeCell="C120" sqref="C120"/>
      <selection pane="bottomRight" activeCell="L3" sqref="L3:M3"/>
    </sheetView>
  </sheetViews>
  <sheetFormatPr baseColWidth="10" defaultColWidth="8.5" defaultRowHeight="17"/>
  <cols>
    <col min="1" max="1" width="6" style="12" customWidth="1"/>
    <col min="2" max="2" width="24" style="12" customWidth="1"/>
    <col min="3" max="3" width="28" style="12" customWidth="1"/>
    <col min="4" max="4" width="42" style="13" customWidth="1"/>
    <col min="5" max="8" width="20" style="13" customWidth="1"/>
    <col min="9" max="9" width="10" style="13" customWidth="1"/>
    <col min="10" max="10" width="44" style="13" customWidth="1"/>
    <col min="11" max="11" width="26" style="13" customWidth="1"/>
    <col min="12" max="12" width="11.83203125" style="13" customWidth="1"/>
    <col min="13" max="14" width="8.5" style="2" customWidth="1"/>
    <col min="15" max="16384" width="8.5" style="2"/>
  </cols>
  <sheetData>
    <row r="1" spans="1:13">
      <c r="A1" s="156"/>
      <c r="B1" s="154"/>
      <c r="C1" s="154"/>
      <c r="D1" s="155"/>
      <c r="E1" s="155"/>
      <c r="F1" s="155"/>
      <c r="G1" s="155"/>
      <c r="H1" s="155"/>
      <c r="I1" s="155"/>
      <c r="J1" s="155"/>
      <c r="K1" s="155"/>
      <c r="L1" s="155"/>
    </row>
    <row r="2" spans="1:13" ht="17.25" customHeight="1">
      <c r="A2" s="153" t="s">
        <v>1409</v>
      </c>
      <c r="B2" s="154"/>
      <c r="C2" s="154"/>
      <c r="D2" s="155"/>
      <c r="E2" s="155"/>
      <c r="F2" s="155"/>
      <c r="G2" s="155"/>
      <c r="H2" s="155"/>
      <c r="I2" s="155"/>
      <c r="J2" s="155"/>
      <c r="K2" s="155"/>
      <c r="L2" s="155"/>
    </row>
    <row r="3" spans="1:13" ht="19.5" customHeight="1">
      <c r="A3" s="14" t="s">
        <v>0</v>
      </c>
      <c r="B3" s="14" t="s">
        <v>1</v>
      </c>
      <c r="C3" s="14" t="s">
        <v>2</v>
      </c>
      <c r="D3" s="14" t="s">
        <v>3</v>
      </c>
      <c r="E3" s="14" t="s">
        <v>4</v>
      </c>
      <c r="F3" s="14" t="s">
        <v>5</v>
      </c>
      <c r="G3" s="14" t="s">
        <v>6</v>
      </c>
      <c r="H3" s="14" t="s">
        <v>7</v>
      </c>
      <c r="I3" s="14" t="s">
        <v>8</v>
      </c>
      <c r="J3" s="14" t="s">
        <v>9</v>
      </c>
      <c r="K3" s="14" t="s">
        <v>10</v>
      </c>
      <c r="L3" s="93" t="s">
        <v>737</v>
      </c>
      <c r="M3" s="94" t="s">
        <v>738</v>
      </c>
    </row>
    <row r="4" spans="1:13" ht="51" customHeight="1">
      <c r="A4" s="15">
        <v>1</v>
      </c>
      <c r="B4" s="16" t="s">
        <v>49</v>
      </c>
      <c r="C4" s="17" t="s">
        <v>50</v>
      </c>
      <c r="D4" s="19" t="s">
        <v>1410</v>
      </c>
      <c r="E4" s="18" t="s">
        <v>981</v>
      </c>
      <c r="F4" s="18" t="s">
        <v>957</v>
      </c>
      <c r="G4" s="18" t="s">
        <v>1411</v>
      </c>
      <c r="H4" s="18" t="s">
        <v>959</v>
      </c>
      <c r="I4" s="19">
        <v>4</v>
      </c>
      <c r="J4" s="19" t="s">
        <v>1412</v>
      </c>
      <c r="K4" s="18"/>
      <c r="L4" s="19"/>
    </row>
    <row r="5" spans="1:13" ht="51" customHeight="1">
      <c r="A5" s="15">
        <v>2</v>
      </c>
      <c r="B5" s="16" t="s">
        <v>49</v>
      </c>
      <c r="C5" s="17" t="s">
        <v>50</v>
      </c>
      <c r="D5" s="19" t="s">
        <v>1413</v>
      </c>
      <c r="E5" s="18" t="s">
        <v>1414</v>
      </c>
      <c r="F5" s="18" t="s">
        <v>1415</v>
      </c>
      <c r="G5" s="18" t="s">
        <v>1416</v>
      </c>
      <c r="H5" s="18" t="s">
        <v>1417</v>
      </c>
      <c r="I5" s="19">
        <v>2</v>
      </c>
      <c r="J5" s="19" t="s">
        <v>1418</v>
      </c>
      <c r="K5" s="18"/>
      <c r="L5" s="19"/>
    </row>
    <row r="6" spans="1:13" ht="63.75" customHeight="1">
      <c r="A6" s="15">
        <v>3</v>
      </c>
      <c r="B6" s="16" t="s">
        <v>49</v>
      </c>
      <c r="C6" s="17" t="s">
        <v>50</v>
      </c>
      <c r="D6" s="19" t="s">
        <v>1419</v>
      </c>
      <c r="E6" s="18" t="s">
        <v>1420</v>
      </c>
      <c r="F6" s="18" t="s">
        <v>1421</v>
      </c>
      <c r="G6" s="18" t="s">
        <v>1422</v>
      </c>
      <c r="H6" s="18" t="s">
        <v>1423</v>
      </c>
      <c r="I6" s="19">
        <v>3</v>
      </c>
      <c r="J6" s="19" t="s">
        <v>1424</v>
      </c>
      <c r="K6" s="18"/>
      <c r="L6" s="19"/>
    </row>
    <row r="7" spans="1:13" ht="38.25" customHeight="1">
      <c r="A7" s="15">
        <v>4</v>
      </c>
      <c r="B7" s="16" t="s">
        <v>49</v>
      </c>
      <c r="C7" s="17" t="s">
        <v>50</v>
      </c>
      <c r="D7" s="19" t="s">
        <v>1425</v>
      </c>
      <c r="E7" s="18" t="s">
        <v>1426</v>
      </c>
      <c r="F7" s="18" t="s">
        <v>1427</v>
      </c>
      <c r="G7" s="18" t="s">
        <v>1428</v>
      </c>
      <c r="H7" s="18" t="s">
        <v>1429</v>
      </c>
      <c r="I7" s="19">
        <v>4</v>
      </c>
      <c r="J7" s="19" t="s">
        <v>1430</v>
      </c>
      <c r="K7" s="18"/>
      <c r="L7" s="19"/>
    </row>
    <row r="8" spans="1:13" ht="63.75" customHeight="1">
      <c r="A8" s="15">
        <v>5</v>
      </c>
      <c r="B8" s="16" t="s">
        <v>49</v>
      </c>
      <c r="C8" s="17" t="s">
        <v>50</v>
      </c>
      <c r="D8" s="19" t="s">
        <v>1431</v>
      </c>
      <c r="E8" s="18" t="s">
        <v>1432</v>
      </c>
      <c r="F8" s="18" t="s">
        <v>1433</v>
      </c>
      <c r="G8" s="18" t="s">
        <v>1434</v>
      </c>
      <c r="H8" s="18" t="s">
        <v>1435</v>
      </c>
      <c r="I8" s="19">
        <v>1</v>
      </c>
      <c r="J8" s="19" t="s">
        <v>1436</v>
      </c>
      <c r="K8" s="18"/>
      <c r="L8" s="19"/>
    </row>
    <row r="9" spans="1:13" ht="43.5" customHeight="1">
      <c r="A9" s="15">
        <v>6</v>
      </c>
      <c r="B9" s="16" t="s">
        <v>49</v>
      </c>
      <c r="C9" s="17" t="s">
        <v>50</v>
      </c>
      <c r="D9" s="19" t="s">
        <v>1437</v>
      </c>
      <c r="E9" s="18" t="s">
        <v>1438</v>
      </c>
      <c r="F9" s="18" t="s">
        <v>1439</v>
      </c>
      <c r="G9" s="18" t="s">
        <v>1440</v>
      </c>
      <c r="H9" s="18" t="s">
        <v>1441</v>
      </c>
      <c r="I9" s="19">
        <v>2</v>
      </c>
      <c r="J9" s="19" t="s">
        <v>1442</v>
      </c>
      <c r="K9" s="18" t="s">
        <v>1443</v>
      </c>
      <c r="L9" s="19"/>
    </row>
    <row r="10" spans="1:13" ht="51" customHeight="1">
      <c r="A10" s="15">
        <v>7</v>
      </c>
      <c r="B10" s="16" t="s">
        <v>49</v>
      </c>
      <c r="C10" s="17" t="s">
        <v>50</v>
      </c>
      <c r="D10" s="19" t="s">
        <v>1444</v>
      </c>
      <c r="E10" s="18" t="s">
        <v>1445</v>
      </c>
      <c r="F10" s="18" t="s">
        <v>1446</v>
      </c>
      <c r="G10" s="18" t="s">
        <v>1447</v>
      </c>
      <c r="H10" s="18" t="s">
        <v>1448</v>
      </c>
      <c r="I10" s="19">
        <v>1</v>
      </c>
      <c r="J10" s="19" t="s">
        <v>1449</v>
      </c>
      <c r="K10" s="18"/>
      <c r="L10" s="19"/>
    </row>
    <row r="11" spans="1:13" ht="51" customHeight="1">
      <c r="A11" s="15">
        <v>8</v>
      </c>
      <c r="B11" s="21" t="s">
        <v>49</v>
      </c>
      <c r="C11" s="22" t="s">
        <v>50</v>
      </c>
      <c r="D11" s="23" t="s">
        <v>1450</v>
      </c>
      <c r="E11" s="23" t="s">
        <v>1451</v>
      </c>
      <c r="F11" s="23" t="s">
        <v>1452</v>
      </c>
      <c r="G11" s="23" t="s">
        <v>1453</v>
      </c>
      <c r="H11" s="23" t="s">
        <v>1454</v>
      </c>
      <c r="I11" s="24">
        <v>3</v>
      </c>
      <c r="J11" s="24" t="s">
        <v>1455</v>
      </c>
      <c r="K11" s="23"/>
      <c r="L11" s="24"/>
    </row>
    <row r="12" spans="1:13" ht="51" customHeight="1">
      <c r="A12" s="15">
        <v>9</v>
      </c>
      <c r="B12" s="21" t="s">
        <v>49</v>
      </c>
      <c r="C12" s="22" t="s">
        <v>50</v>
      </c>
      <c r="D12" s="23" t="s">
        <v>1456</v>
      </c>
      <c r="E12" s="23" t="s">
        <v>1457</v>
      </c>
      <c r="F12" s="23" t="s">
        <v>1458</v>
      </c>
      <c r="G12" s="23" t="s">
        <v>1459</v>
      </c>
      <c r="H12" s="23" t="s">
        <v>1460</v>
      </c>
      <c r="I12" s="24">
        <v>2</v>
      </c>
      <c r="J12" s="24" t="s">
        <v>1461</v>
      </c>
      <c r="K12" s="23"/>
      <c r="L12" s="24"/>
    </row>
    <row r="13" spans="1:13" ht="43.5" customHeight="1">
      <c r="A13" s="15">
        <v>10</v>
      </c>
      <c r="B13" s="21" t="s">
        <v>49</v>
      </c>
      <c r="C13" s="22" t="s">
        <v>50</v>
      </c>
      <c r="D13" s="23" t="s">
        <v>1462</v>
      </c>
      <c r="E13" s="23" t="s">
        <v>1463</v>
      </c>
      <c r="F13" s="23" t="s">
        <v>1464</v>
      </c>
      <c r="G13" s="23" t="s">
        <v>1465</v>
      </c>
      <c r="H13" s="23" t="s">
        <v>1466</v>
      </c>
      <c r="I13" s="24">
        <v>4</v>
      </c>
      <c r="J13" s="24" t="s">
        <v>1467</v>
      </c>
      <c r="K13" s="23"/>
      <c r="L13" s="24"/>
    </row>
    <row r="14" spans="1:13" ht="76.5" customHeight="1">
      <c r="A14" s="15">
        <v>11</v>
      </c>
      <c r="B14" s="21" t="s">
        <v>49</v>
      </c>
      <c r="C14" s="22" t="s">
        <v>50</v>
      </c>
      <c r="D14" s="23" t="s">
        <v>1468</v>
      </c>
      <c r="E14" s="23" t="s">
        <v>1469</v>
      </c>
      <c r="F14" s="23" t="s">
        <v>1470</v>
      </c>
      <c r="G14" s="23" t="s">
        <v>1471</v>
      </c>
      <c r="H14" s="23" t="s">
        <v>1472</v>
      </c>
      <c r="I14" s="24">
        <v>3</v>
      </c>
      <c r="J14" s="24" t="s">
        <v>1473</v>
      </c>
      <c r="K14" s="23"/>
      <c r="L14" s="24"/>
    </row>
    <row r="15" spans="1:13" ht="51" customHeight="1">
      <c r="A15" s="15">
        <v>12</v>
      </c>
      <c r="B15" s="16" t="s">
        <v>49</v>
      </c>
      <c r="C15" s="17" t="s">
        <v>52</v>
      </c>
      <c r="D15" s="19" t="s">
        <v>1474</v>
      </c>
      <c r="E15" s="18" t="s">
        <v>1475</v>
      </c>
      <c r="F15" s="18" t="s">
        <v>1476</v>
      </c>
      <c r="G15" s="18" t="s">
        <v>1477</v>
      </c>
      <c r="H15" s="18" t="s">
        <v>1478</v>
      </c>
      <c r="I15" s="19">
        <v>2</v>
      </c>
      <c r="J15" s="19" t="s">
        <v>1479</v>
      </c>
      <c r="K15" s="19"/>
      <c r="L15" s="19"/>
    </row>
    <row r="16" spans="1:13" ht="72" customHeight="1">
      <c r="A16" s="15">
        <v>13</v>
      </c>
      <c r="B16" s="16" t="s">
        <v>49</v>
      </c>
      <c r="C16" s="17" t="s">
        <v>52</v>
      </c>
      <c r="D16" s="19" t="s">
        <v>1480</v>
      </c>
      <c r="E16" s="18" t="s">
        <v>1475</v>
      </c>
      <c r="F16" s="18" t="s">
        <v>1476</v>
      </c>
      <c r="G16" s="18" t="s">
        <v>1478</v>
      </c>
      <c r="H16" s="18" t="s">
        <v>1481</v>
      </c>
      <c r="I16" s="19">
        <v>4</v>
      </c>
      <c r="J16" s="19" t="s">
        <v>1482</v>
      </c>
      <c r="K16" s="19"/>
      <c r="L16" s="19"/>
    </row>
    <row r="17" spans="1:12" ht="38.25" customHeight="1">
      <c r="A17" s="15">
        <v>14</v>
      </c>
      <c r="B17" s="16" t="s">
        <v>49</v>
      </c>
      <c r="C17" s="17" t="s">
        <v>52</v>
      </c>
      <c r="D17" s="19" t="s">
        <v>1483</v>
      </c>
      <c r="E17" s="18" t="s">
        <v>1478</v>
      </c>
      <c r="F17" s="18" t="s">
        <v>1484</v>
      </c>
      <c r="G17" s="18" t="s">
        <v>958</v>
      </c>
      <c r="H17" s="18" t="s">
        <v>1475</v>
      </c>
      <c r="I17" s="19">
        <v>2</v>
      </c>
      <c r="J17" s="19" t="s">
        <v>1485</v>
      </c>
      <c r="K17" s="19"/>
      <c r="L17" s="19"/>
    </row>
    <row r="18" spans="1:12" ht="63.75" customHeight="1">
      <c r="A18" s="15">
        <v>15</v>
      </c>
      <c r="B18" s="21" t="s">
        <v>49</v>
      </c>
      <c r="C18" s="22" t="s">
        <v>52</v>
      </c>
      <c r="D18" s="23" t="s">
        <v>1486</v>
      </c>
      <c r="E18" s="23" t="s">
        <v>1487</v>
      </c>
      <c r="F18" s="23" t="s">
        <v>1488</v>
      </c>
      <c r="G18" s="23" t="s">
        <v>1489</v>
      </c>
      <c r="H18" s="23" t="s">
        <v>1490</v>
      </c>
      <c r="I18" s="24">
        <v>3</v>
      </c>
      <c r="J18" s="24" t="s">
        <v>1491</v>
      </c>
      <c r="K18" s="23"/>
      <c r="L18" s="24"/>
    </row>
    <row r="19" spans="1:12" ht="51" customHeight="1">
      <c r="A19" s="15">
        <v>16</v>
      </c>
      <c r="B19" s="21" t="s">
        <v>49</v>
      </c>
      <c r="C19" s="22" t="s">
        <v>52</v>
      </c>
      <c r="D19" s="23" t="s">
        <v>1492</v>
      </c>
      <c r="E19" s="23" t="s">
        <v>1493</v>
      </c>
      <c r="F19" s="23" t="s">
        <v>1494</v>
      </c>
      <c r="G19" s="23" t="s">
        <v>1495</v>
      </c>
      <c r="H19" s="23" t="s">
        <v>1496</v>
      </c>
      <c r="I19" s="24">
        <v>1</v>
      </c>
      <c r="J19" s="24" t="s">
        <v>1497</v>
      </c>
      <c r="K19" s="23"/>
      <c r="L19" s="24"/>
    </row>
    <row r="20" spans="1:12" ht="63.75" customHeight="1">
      <c r="A20" s="15">
        <v>17</v>
      </c>
      <c r="B20" s="21" t="s">
        <v>49</v>
      </c>
      <c r="C20" s="22" t="s">
        <v>52</v>
      </c>
      <c r="D20" s="23" t="s">
        <v>1498</v>
      </c>
      <c r="E20" s="23" t="s">
        <v>1499</v>
      </c>
      <c r="F20" s="23" t="s">
        <v>1500</v>
      </c>
      <c r="G20" s="23" t="s">
        <v>1501</v>
      </c>
      <c r="H20" s="23" t="s">
        <v>1502</v>
      </c>
      <c r="I20" s="24">
        <v>4</v>
      </c>
      <c r="J20" s="24" t="s">
        <v>1503</v>
      </c>
      <c r="K20" s="23"/>
      <c r="L20" s="24"/>
    </row>
    <row r="21" spans="1:12" ht="43.5" customHeight="1">
      <c r="A21" s="15">
        <v>18</v>
      </c>
      <c r="B21" s="21" t="s">
        <v>54</v>
      </c>
      <c r="C21" s="22" t="s">
        <v>55</v>
      </c>
      <c r="D21" s="23" t="s">
        <v>1504</v>
      </c>
      <c r="E21" s="23" t="s">
        <v>1505</v>
      </c>
      <c r="F21" s="23" t="s">
        <v>1506</v>
      </c>
      <c r="G21" s="23" t="s">
        <v>1507</v>
      </c>
      <c r="H21" s="23" t="s">
        <v>1508</v>
      </c>
      <c r="I21" s="24">
        <v>3</v>
      </c>
      <c r="J21" s="24" t="s">
        <v>1509</v>
      </c>
      <c r="K21" s="23"/>
      <c r="L21" s="24"/>
    </row>
    <row r="22" spans="1:12" ht="38.25" customHeight="1">
      <c r="A22" s="15">
        <v>19</v>
      </c>
      <c r="B22" s="21" t="s">
        <v>54</v>
      </c>
      <c r="C22" s="22" t="s">
        <v>57</v>
      </c>
      <c r="D22" s="23" t="s">
        <v>1510</v>
      </c>
      <c r="E22" s="23" t="s">
        <v>1511</v>
      </c>
      <c r="F22" s="23" t="s">
        <v>1512</v>
      </c>
      <c r="G22" s="23" t="s">
        <v>1513</v>
      </c>
      <c r="H22" s="23" t="s">
        <v>1514</v>
      </c>
      <c r="I22" s="24">
        <v>2</v>
      </c>
      <c r="J22" s="24" t="s">
        <v>1515</v>
      </c>
      <c r="K22" s="23"/>
      <c r="L22" s="24"/>
    </row>
    <row r="23" spans="1:12" ht="51" customHeight="1">
      <c r="A23" s="15">
        <v>20</v>
      </c>
      <c r="B23" s="21" t="s">
        <v>54</v>
      </c>
      <c r="C23" s="22" t="s">
        <v>57</v>
      </c>
      <c r="D23" s="23" t="s">
        <v>1516</v>
      </c>
      <c r="E23" s="23" t="s">
        <v>1517</v>
      </c>
      <c r="F23" s="23" t="s">
        <v>1518</v>
      </c>
      <c r="G23" s="23" t="s">
        <v>1519</v>
      </c>
      <c r="H23" s="23" t="s">
        <v>1520</v>
      </c>
      <c r="I23" s="24">
        <v>2</v>
      </c>
      <c r="J23" s="24" t="s">
        <v>1521</v>
      </c>
      <c r="K23" s="23"/>
      <c r="L23" s="24"/>
    </row>
    <row r="24" spans="1:12" ht="38.25" customHeight="1">
      <c r="A24" s="15">
        <v>21</v>
      </c>
      <c r="B24" s="16" t="s">
        <v>59</v>
      </c>
      <c r="C24" s="17" t="s">
        <v>60</v>
      </c>
      <c r="D24" s="19" t="s">
        <v>1522</v>
      </c>
      <c r="E24" s="18" t="s">
        <v>1523</v>
      </c>
      <c r="F24" s="18" t="s">
        <v>1524</v>
      </c>
      <c r="G24" s="18" t="s">
        <v>1525</v>
      </c>
      <c r="H24" s="18" t="s">
        <v>1526</v>
      </c>
      <c r="I24" s="19">
        <v>3</v>
      </c>
      <c r="J24" s="19" t="s">
        <v>1527</v>
      </c>
      <c r="K24" s="18" t="s">
        <v>1443</v>
      </c>
      <c r="L24" s="19"/>
    </row>
    <row r="25" spans="1:12" ht="51" customHeight="1">
      <c r="A25" s="15">
        <v>22</v>
      </c>
      <c r="B25" s="16" t="s">
        <v>59</v>
      </c>
      <c r="C25" s="17" t="s">
        <v>60</v>
      </c>
      <c r="D25" s="19" t="s">
        <v>1528</v>
      </c>
      <c r="E25" s="18" t="s">
        <v>1529</v>
      </c>
      <c r="F25" s="18" t="s">
        <v>1530</v>
      </c>
      <c r="G25" s="18" t="s">
        <v>1531</v>
      </c>
      <c r="H25" s="19" t="s">
        <v>1532</v>
      </c>
      <c r="I25" s="19">
        <v>4</v>
      </c>
      <c r="J25" s="19" t="s">
        <v>1533</v>
      </c>
      <c r="K25" s="19"/>
      <c r="L25" s="19"/>
    </row>
    <row r="26" spans="1:12" ht="51" customHeight="1">
      <c r="A26" s="15">
        <v>23</v>
      </c>
      <c r="B26" s="16" t="s">
        <v>59</v>
      </c>
      <c r="C26" s="17" t="s">
        <v>60</v>
      </c>
      <c r="D26" s="19" t="s">
        <v>1534</v>
      </c>
      <c r="E26" s="18" t="s">
        <v>1535</v>
      </c>
      <c r="F26" s="18" t="s">
        <v>1536</v>
      </c>
      <c r="G26" s="18" t="s">
        <v>1537</v>
      </c>
      <c r="H26" s="18" t="s">
        <v>1538</v>
      </c>
      <c r="I26" s="19">
        <v>4</v>
      </c>
      <c r="J26" s="19" t="s">
        <v>1539</v>
      </c>
      <c r="K26" s="19"/>
      <c r="L26" s="19"/>
    </row>
    <row r="27" spans="1:12" ht="51" customHeight="1">
      <c r="A27" s="15">
        <v>24</v>
      </c>
      <c r="B27" s="16" t="s">
        <v>59</v>
      </c>
      <c r="C27" s="17" t="s">
        <v>60</v>
      </c>
      <c r="D27" s="19" t="s">
        <v>1540</v>
      </c>
      <c r="E27" s="18" t="s">
        <v>1541</v>
      </c>
      <c r="F27" s="18" t="s">
        <v>1542</v>
      </c>
      <c r="G27" s="19" t="s">
        <v>1543</v>
      </c>
      <c r="H27" s="18" t="s">
        <v>1544</v>
      </c>
      <c r="I27" s="19">
        <v>2</v>
      </c>
      <c r="J27" s="19" t="s">
        <v>1545</v>
      </c>
      <c r="K27" s="18"/>
      <c r="L27" s="19"/>
    </row>
    <row r="28" spans="1:12" ht="51" customHeight="1">
      <c r="A28" s="15">
        <v>25</v>
      </c>
      <c r="B28" s="16" t="s">
        <v>59</v>
      </c>
      <c r="C28" s="17" t="s">
        <v>60</v>
      </c>
      <c r="D28" s="19" t="s">
        <v>1546</v>
      </c>
      <c r="E28" s="18" t="s">
        <v>1547</v>
      </c>
      <c r="F28" s="18" t="s">
        <v>1548</v>
      </c>
      <c r="G28" s="18" t="s">
        <v>1549</v>
      </c>
      <c r="H28" s="18" t="s">
        <v>1550</v>
      </c>
      <c r="I28" s="19">
        <v>3</v>
      </c>
      <c r="J28" s="19" t="s">
        <v>1551</v>
      </c>
      <c r="K28" s="18"/>
      <c r="L28" s="19"/>
    </row>
    <row r="29" spans="1:12" ht="51" customHeight="1">
      <c r="A29" s="15">
        <v>26</v>
      </c>
      <c r="B29" s="21" t="s">
        <v>59</v>
      </c>
      <c r="C29" s="22" t="s">
        <v>60</v>
      </c>
      <c r="D29" s="23" t="s">
        <v>1552</v>
      </c>
      <c r="E29" s="23" t="s">
        <v>1553</v>
      </c>
      <c r="F29" s="23" t="s">
        <v>1554</v>
      </c>
      <c r="G29" s="23" t="s">
        <v>1555</v>
      </c>
      <c r="H29" s="23" t="s">
        <v>1556</v>
      </c>
      <c r="I29" s="24">
        <v>2</v>
      </c>
      <c r="J29" s="24" t="s">
        <v>1557</v>
      </c>
      <c r="K29" s="23"/>
      <c r="L29" s="24"/>
    </row>
    <row r="30" spans="1:12" ht="51" customHeight="1">
      <c r="A30" s="15">
        <v>27</v>
      </c>
      <c r="B30" s="21" t="s">
        <v>59</v>
      </c>
      <c r="C30" s="22" t="s">
        <v>60</v>
      </c>
      <c r="D30" s="23" t="s">
        <v>1558</v>
      </c>
      <c r="E30" s="23" t="s">
        <v>1559</v>
      </c>
      <c r="F30" s="23" t="s">
        <v>1560</v>
      </c>
      <c r="G30" s="23" t="s">
        <v>1561</v>
      </c>
      <c r="H30" s="23" t="s">
        <v>1562</v>
      </c>
      <c r="I30" s="24">
        <v>2</v>
      </c>
      <c r="J30" s="24" t="s">
        <v>1563</v>
      </c>
      <c r="K30" s="23"/>
      <c r="L30" s="24"/>
    </row>
    <row r="31" spans="1:12" ht="51" customHeight="1">
      <c r="A31" s="15">
        <v>28</v>
      </c>
      <c r="B31" s="21" t="s">
        <v>59</v>
      </c>
      <c r="C31" s="22" t="s">
        <v>60</v>
      </c>
      <c r="D31" s="23" t="s">
        <v>1564</v>
      </c>
      <c r="E31" s="23" t="s">
        <v>1565</v>
      </c>
      <c r="F31" s="23" t="s">
        <v>1566</v>
      </c>
      <c r="G31" s="23" t="s">
        <v>1567</v>
      </c>
      <c r="H31" s="23" t="s">
        <v>1568</v>
      </c>
      <c r="I31" s="24">
        <v>1</v>
      </c>
      <c r="J31" s="24" t="s">
        <v>1569</v>
      </c>
      <c r="K31" s="23"/>
      <c r="L31" s="24"/>
    </row>
    <row r="32" spans="1:12" ht="51" customHeight="1">
      <c r="A32" s="15">
        <v>29</v>
      </c>
      <c r="B32" s="21" t="s">
        <v>59</v>
      </c>
      <c r="C32" s="22" t="s">
        <v>60</v>
      </c>
      <c r="D32" s="23" t="s">
        <v>1570</v>
      </c>
      <c r="E32" s="23" t="s">
        <v>1571</v>
      </c>
      <c r="F32" s="23" t="s">
        <v>1572</v>
      </c>
      <c r="G32" s="23" t="s">
        <v>1573</v>
      </c>
      <c r="H32" s="23" t="s">
        <v>1574</v>
      </c>
      <c r="I32" s="24">
        <v>3</v>
      </c>
      <c r="J32" s="24" t="s">
        <v>1575</v>
      </c>
      <c r="K32" s="23"/>
      <c r="L32" s="24"/>
    </row>
    <row r="33" spans="1:12" ht="51" customHeight="1">
      <c r="A33" s="15">
        <v>30</v>
      </c>
      <c r="B33" s="21" t="s">
        <v>59</v>
      </c>
      <c r="C33" s="22" t="s">
        <v>60</v>
      </c>
      <c r="D33" s="23" t="s">
        <v>1576</v>
      </c>
      <c r="E33" s="23" t="s">
        <v>1577</v>
      </c>
      <c r="F33" s="23" t="s">
        <v>1578</v>
      </c>
      <c r="G33" s="23" t="s">
        <v>1579</v>
      </c>
      <c r="H33" s="23" t="s">
        <v>1580</v>
      </c>
      <c r="I33" s="24">
        <v>4</v>
      </c>
      <c r="J33" s="24" t="s">
        <v>1581</v>
      </c>
      <c r="K33" s="23"/>
      <c r="L33" s="24"/>
    </row>
    <row r="34" spans="1:12" ht="51" customHeight="1">
      <c r="A34" s="15">
        <v>31</v>
      </c>
      <c r="B34" s="21" t="s">
        <v>59</v>
      </c>
      <c r="C34" s="22" t="s">
        <v>60</v>
      </c>
      <c r="D34" s="23" t="s">
        <v>1582</v>
      </c>
      <c r="E34" s="23" t="s">
        <v>1583</v>
      </c>
      <c r="F34" s="23" t="s">
        <v>1584</v>
      </c>
      <c r="G34" s="23" t="s">
        <v>1585</v>
      </c>
      <c r="H34" s="23" t="s">
        <v>1586</v>
      </c>
      <c r="I34" s="24">
        <v>2</v>
      </c>
      <c r="J34" s="24" t="s">
        <v>1587</v>
      </c>
      <c r="K34" s="23"/>
      <c r="L34" s="24"/>
    </row>
    <row r="35" spans="1:12" ht="51" customHeight="1">
      <c r="A35" s="15">
        <v>32</v>
      </c>
      <c r="B35" s="21" t="s">
        <v>59</v>
      </c>
      <c r="C35" s="22" t="s">
        <v>60</v>
      </c>
      <c r="D35" s="23" t="s">
        <v>1588</v>
      </c>
      <c r="E35" s="23" t="s">
        <v>1589</v>
      </c>
      <c r="F35" s="23" t="s">
        <v>1590</v>
      </c>
      <c r="G35" s="23" t="s">
        <v>1591</v>
      </c>
      <c r="H35" s="23" t="s">
        <v>1592</v>
      </c>
      <c r="I35" s="24">
        <v>3</v>
      </c>
      <c r="J35" s="23" t="s">
        <v>1593</v>
      </c>
      <c r="K35" s="23" t="s">
        <v>1594</v>
      </c>
      <c r="L35" s="24"/>
    </row>
    <row r="36" spans="1:12" ht="51" customHeight="1">
      <c r="A36" s="15">
        <v>33</v>
      </c>
      <c r="B36" s="16" t="s">
        <v>59</v>
      </c>
      <c r="C36" s="17" t="s">
        <v>61</v>
      </c>
      <c r="D36" s="19" t="s">
        <v>1595</v>
      </c>
      <c r="E36" s="18" t="s">
        <v>1596</v>
      </c>
      <c r="F36" s="18" t="s">
        <v>1597</v>
      </c>
      <c r="G36" s="18" t="s">
        <v>1598</v>
      </c>
      <c r="H36" s="18" t="s">
        <v>1599</v>
      </c>
      <c r="I36" s="19">
        <v>3</v>
      </c>
      <c r="J36" s="19" t="s">
        <v>1600</v>
      </c>
      <c r="K36" s="18" t="s">
        <v>1601</v>
      </c>
      <c r="L36" s="19"/>
    </row>
    <row r="37" spans="1:12" ht="51" customHeight="1">
      <c r="A37" s="15">
        <v>34</v>
      </c>
      <c r="B37" s="21" t="s">
        <v>59</v>
      </c>
      <c r="C37" s="22" t="s">
        <v>61</v>
      </c>
      <c r="D37" s="23" t="s">
        <v>1602</v>
      </c>
      <c r="E37" s="23" t="s">
        <v>1603</v>
      </c>
      <c r="F37" s="23" t="s">
        <v>1604</v>
      </c>
      <c r="G37" s="23" t="s">
        <v>1605</v>
      </c>
      <c r="H37" s="23" t="s">
        <v>1606</v>
      </c>
      <c r="I37" s="24">
        <v>3</v>
      </c>
      <c r="J37" s="24" t="s">
        <v>1607</v>
      </c>
      <c r="K37" s="23"/>
      <c r="L37" s="24"/>
    </row>
    <row r="38" spans="1:12" ht="51" customHeight="1">
      <c r="A38" s="15">
        <v>35</v>
      </c>
      <c r="B38" s="21" t="s">
        <v>59</v>
      </c>
      <c r="C38" s="22" t="s">
        <v>61</v>
      </c>
      <c r="D38" s="23" t="s">
        <v>1608</v>
      </c>
      <c r="E38" s="23" t="s">
        <v>1609</v>
      </c>
      <c r="F38" s="23" t="s">
        <v>1610</v>
      </c>
      <c r="G38" s="23" t="s">
        <v>1611</v>
      </c>
      <c r="H38" s="23" t="s">
        <v>1612</v>
      </c>
      <c r="I38" s="24">
        <v>4</v>
      </c>
      <c r="J38" s="24" t="s">
        <v>1613</v>
      </c>
      <c r="K38" s="23"/>
      <c r="L38" s="24"/>
    </row>
    <row r="39" spans="1:12" ht="51" customHeight="1">
      <c r="A39" s="15">
        <v>36</v>
      </c>
      <c r="B39" s="21" t="s">
        <v>59</v>
      </c>
      <c r="C39" s="22" t="s">
        <v>61</v>
      </c>
      <c r="D39" s="23" t="s">
        <v>1614</v>
      </c>
      <c r="E39" s="23" t="s">
        <v>1615</v>
      </c>
      <c r="F39" s="23" t="s">
        <v>1616</v>
      </c>
      <c r="G39" s="23" t="s">
        <v>1617</v>
      </c>
      <c r="H39" s="23" t="s">
        <v>1618</v>
      </c>
      <c r="I39" s="24">
        <v>4</v>
      </c>
      <c r="J39" s="23" t="s">
        <v>1619</v>
      </c>
      <c r="K39" s="23" t="s">
        <v>1620</v>
      </c>
      <c r="L39" s="24"/>
    </row>
    <row r="40" spans="1:12" ht="51" customHeight="1">
      <c r="A40" s="15">
        <v>37</v>
      </c>
      <c r="B40" s="21" t="s">
        <v>59</v>
      </c>
      <c r="C40" s="22" t="s">
        <v>61</v>
      </c>
      <c r="D40" s="23" t="s">
        <v>1621</v>
      </c>
      <c r="E40" s="23" t="s">
        <v>1622</v>
      </c>
      <c r="F40" s="23" t="s">
        <v>1623</v>
      </c>
      <c r="G40" s="23" t="s">
        <v>1624</v>
      </c>
      <c r="H40" s="23" t="s">
        <v>1625</v>
      </c>
      <c r="I40" s="24">
        <v>1</v>
      </c>
      <c r="J40" s="23" t="s">
        <v>1626</v>
      </c>
      <c r="K40" s="23" t="s">
        <v>1620</v>
      </c>
      <c r="L40" s="24"/>
    </row>
    <row r="41" spans="1:12" ht="51" customHeight="1">
      <c r="A41" s="15">
        <v>38</v>
      </c>
      <c r="B41" s="16" t="s">
        <v>59</v>
      </c>
      <c r="C41" s="17" t="s">
        <v>62</v>
      </c>
      <c r="D41" s="19" t="s">
        <v>1627</v>
      </c>
      <c r="E41" s="18" t="s">
        <v>1628</v>
      </c>
      <c r="F41" s="18" t="s">
        <v>1629</v>
      </c>
      <c r="G41" s="18" t="s">
        <v>1630</v>
      </c>
      <c r="H41" s="18" t="s">
        <v>1631</v>
      </c>
      <c r="I41" s="19">
        <v>1</v>
      </c>
      <c r="J41" s="19" t="s">
        <v>1632</v>
      </c>
      <c r="K41" s="18"/>
      <c r="L41" s="19"/>
    </row>
    <row r="42" spans="1:12" ht="51" customHeight="1">
      <c r="A42" s="15">
        <v>39</v>
      </c>
      <c r="B42" s="21" t="s">
        <v>59</v>
      </c>
      <c r="C42" s="22" t="s">
        <v>62</v>
      </c>
      <c r="D42" s="23" t="s">
        <v>1633</v>
      </c>
      <c r="E42" s="23" t="s">
        <v>1634</v>
      </c>
      <c r="F42" s="23" t="s">
        <v>1635</v>
      </c>
      <c r="G42" s="23" t="s">
        <v>1636</v>
      </c>
      <c r="H42" s="23" t="s">
        <v>1637</v>
      </c>
      <c r="I42" s="24">
        <v>3</v>
      </c>
      <c r="J42" s="24" t="s">
        <v>1638</v>
      </c>
      <c r="K42" s="23" t="s">
        <v>1639</v>
      </c>
      <c r="L42" s="24"/>
    </row>
    <row r="43" spans="1:12" ht="51" customHeight="1">
      <c r="A43" s="15">
        <v>40</v>
      </c>
      <c r="B43" s="21" t="s">
        <v>59</v>
      </c>
      <c r="C43" s="22" t="s">
        <v>62</v>
      </c>
      <c r="D43" s="23" t="s">
        <v>1640</v>
      </c>
      <c r="E43" s="23" t="s">
        <v>1641</v>
      </c>
      <c r="F43" s="23" t="s">
        <v>1642</v>
      </c>
      <c r="G43" s="23" t="s">
        <v>1643</v>
      </c>
      <c r="H43" s="23" t="s">
        <v>1644</v>
      </c>
      <c r="I43" s="24">
        <v>3</v>
      </c>
      <c r="J43" s="23" t="s">
        <v>1645</v>
      </c>
      <c r="K43" s="23" t="s">
        <v>1646</v>
      </c>
      <c r="L43" s="24"/>
    </row>
    <row r="44" spans="1:12" ht="51" customHeight="1">
      <c r="A44" s="15">
        <v>41</v>
      </c>
      <c r="B44" s="16" t="s">
        <v>63</v>
      </c>
      <c r="C44" s="17" t="s">
        <v>64</v>
      </c>
      <c r="D44" s="19" t="s">
        <v>1647</v>
      </c>
      <c r="E44" s="18" t="s">
        <v>1648</v>
      </c>
      <c r="F44" s="18" t="s">
        <v>1649</v>
      </c>
      <c r="G44" s="18" t="s">
        <v>1530</v>
      </c>
      <c r="H44" s="19" t="s">
        <v>1532</v>
      </c>
      <c r="I44" s="19">
        <v>1</v>
      </c>
      <c r="J44" s="19" t="s">
        <v>1650</v>
      </c>
      <c r="K44" s="18" t="s">
        <v>1651</v>
      </c>
      <c r="L44" s="19"/>
    </row>
    <row r="45" spans="1:12" ht="51" customHeight="1">
      <c r="A45" s="15">
        <v>42</v>
      </c>
      <c r="B45" s="16" t="s">
        <v>63</v>
      </c>
      <c r="C45" s="17" t="s">
        <v>64</v>
      </c>
      <c r="D45" s="18" t="s">
        <v>1652</v>
      </c>
      <c r="E45" s="18" t="s">
        <v>1653</v>
      </c>
      <c r="F45" s="18" t="s">
        <v>1654</v>
      </c>
      <c r="G45" s="18" t="s">
        <v>1655</v>
      </c>
      <c r="H45" s="18" t="s">
        <v>1656</v>
      </c>
      <c r="I45" s="19">
        <v>1</v>
      </c>
      <c r="J45" s="19" t="s">
        <v>1657</v>
      </c>
      <c r="K45" s="18"/>
      <c r="L45" s="19"/>
    </row>
    <row r="46" spans="1:12" ht="51" customHeight="1">
      <c r="A46" s="15">
        <v>43</v>
      </c>
      <c r="B46" s="16" t="s">
        <v>63</v>
      </c>
      <c r="C46" s="17" t="s">
        <v>64</v>
      </c>
      <c r="D46" s="19" t="s">
        <v>1658</v>
      </c>
      <c r="E46" s="18" t="s">
        <v>1656</v>
      </c>
      <c r="F46" s="18" t="s">
        <v>1530</v>
      </c>
      <c r="G46" s="18" t="s">
        <v>1653</v>
      </c>
      <c r="H46" s="18" t="s">
        <v>1649</v>
      </c>
      <c r="I46" s="19">
        <v>1</v>
      </c>
      <c r="J46" s="19" t="s">
        <v>1659</v>
      </c>
      <c r="K46" s="18"/>
      <c r="L46" s="19"/>
    </row>
    <row r="47" spans="1:12" ht="51" customHeight="1">
      <c r="A47" s="15">
        <v>44</v>
      </c>
      <c r="B47" s="16" t="s">
        <v>63</v>
      </c>
      <c r="C47" s="17" t="s">
        <v>64</v>
      </c>
      <c r="D47" s="19" t="s">
        <v>1660</v>
      </c>
      <c r="E47" s="18" t="s">
        <v>1661</v>
      </c>
      <c r="F47" s="18" t="s">
        <v>1662</v>
      </c>
      <c r="G47" s="18" t="s">
        <v>1663</v>
      </c>
      <c r="H47" s="18" t="s">
        <v>1664</v>
      </c>
      <c r="I47" s="19">
        <v>3</v>
      </c>
      <c r="J47" s="19" t="s">
        <v>1665</v>
      </c>
      <c r="K47" s="18"/>
      <c r="L47" s="19"/>
    </row>
    <row r="48" spans="1:12" ht="51" customHeight="1">
      <c r="A48" s="15">
        <v>45</v>
      </c>
      <c r="B48" s="16" t="s">
        <v>63</v>
      </c>
      <c r="C48" s="17" t="s">
        <v>64</v>
      </c>
      <c r="D48" s="19" t="s">
        <v>1666</v>
      </c>
      <c r="E48" s="18" t="s">
        <v>1667</v>
      </c>
      <c r="F48" s="18" t="s">
        <v>1668</v>
      </c>
      <c r="G48" s="18" t="s">
        <v>1669</v>
      </c>
      <c r="H48" s="18" t="s">
        <v>1670</v>
      </c>
      <c r="I48" s="19">
        <v>3</v>
      </c>
      <c r="J48" s="19" t="s">
        <v>1671</v>
      </c>
      <c r="K48" s="18"/>
      <c r="L48" s="19"/>
    </row>
    <row r="49" spans="1:13" ht="51" customHeight="1">
      <c r="A49" s="15">
        <v>46</v>
      </c>
      <c r="B49" s="21" t="s">
        <v>63</v>
      </c>
      <c r="C49" s="22" t="s">
        <v>64</v>
      </c>
      <c r="D49" s="23" t="s">
        <v>1672</v>
      </c>
      <c r="E49" s="23" t="s">
        <v>1673</v>
      </c>
      <c r="F49" s="23" t="s">
        <v>1674</v>
      </c>
      <c r="G49" s="23" t="s">
        <v>1675</v>
      </c>
      <c r="H49" s="23" t="s">
        <v>1676</v>
      </c>
      <c r="I49" s="24">
        <v>2</v>
      </c>
      <c r="J49" s="24" t="s">
        <v>1677</v>
      </c>
      <c r="K49" s="23"/>
      <c r="L49" s="24"/>
    </row>
    <row r="50" spans="1:13" ht="51" customHeight="1">
      <c r="A50" s="15">
        <v>47</v>
      </c>
      <c r="B50" s="21" t="s">
        <v>63</v>
      </c>
      <c r="C50" s="22" t="s">
        <v>64</v>
      </c>
      <c r="D50" s="23" t="s">
        <v>1678</v>
      </c>
      <c r="E50" s="23" t="s">
        <v>1679</v>
      </c>
      <c r="F50" s="23" t="s">
        <v>1680</v>
      </c>
      <c r="G50" s="23" t="s">
        <v>1681</v>
      </c>
      <c r="H50" s="23" t="s">
        <v>1682</v>
      </c>
      <c r="I50" s="24">
        <v>3</v>
      </c>
      <c r="J50" s="24" t="s">
        <v>1683</v>
      </c>
      <c r="K50" s="23"/>
      <c r="L50" s="24"/>
    </row>
    <row r="51" spans="1:13" ht="51" customHeight="1">
      <c r="A51" s="15">
        <v>48</v>
      </c>
      <c r="B51" s="21" t="s">
        <v>63</v>
      </c>
      <c r="C51" s="22" t="s">
        <v>64</v>
      </c>
      <c r="D51" s="23" t="s">
        <v>1684</v>
      </c>
      <c r="E51" s="23" t="s">
        <v>1685</v>
      </c>
      <c r="F51" s="23" t="s">
        <v>1686</v>
      </c>
      <c r="G51" s="23" t="s">
        <v>1687</v>
      </c>
      <c r="H51" s="23" t="s">
        <v>1688</v>
      </c>
      <c r="I51" s="24">
        <v>4</v>
      </c>
      <c r="J51" s="24" t="s">
        <v>1689</v>
      </c>
      <c r="K51" s="23"/>
      <c r="L51" s="24"/>
    </row>
    <row r="52" spans="1:13" ht="51" customHeight="1">
      <c r="A52" s="15">
        <v>49</v>
      </c>
      <c r="B52" s="21" t="s">
        <v>63</v>
      </c>
      <c r="C52" s="22" t="s">
        <v>64</v>
      </c>
      <c r="D52" s="23" t="s">
        <v>1690</v>
      </c>
      <c r="E52" s="23" t="s">
        <v>1691</v>
      </c>
      <c r="F52" s="23" t="s">
        <v>1692</v>
      </c>
      <c r="G52" s="23" t="s">
        <v>1693</v>
      </c>
      <c r="H52" s="23" t="s">
        <v>1694</v>
      </c>
      <c r="I52" s="24">
        <v>1</v>
      </c>
      <c r="J52" s="24" t="s">
        <v>1695</v>
      </c>
      <c r="K52" s="23"/>
      <c r="L52" s="24"/>
    </row>
    <row r="53" spans="1:13" ht="51" customHeight="1">
      <c r="A53" s="15">
        <v>50</v>
      </c>
      <c r="B53" s="21" t="s">
        <v>63</v>
      </c>
      <c r="C53" s="22" t="s">
        <v>64</v>
      </c>
      <c r="D53" s="23" t="s">
        <v>1696</v>
      </c>
      <c r="E53" s="23" t="s">
        <v>1697</v>
      </c>
      <c r="F53" s="23" t="s">
        <v>1698</v>
      </c>
      <c r="G53" s="23" t="s">
        <v>1699</v>
      </c>
      <c r="H53" s="23" t="s">
        <v>1700</v>
      </c>
      <c r="I53" s="24">
        <v>3</v>
      </c>
      <c r="J53" s="24" t="s">
        <v>1701</v>
      </c>
      <c r="K53" s="23"/>
      <c r="L53" s="24"/>
    </row>
    <row r="54" spans="1:13" ht="51" customHeight="1">
      <c r="A54" s="15">
        <v>51</v>
      </c>
      <c r="B54" s="21" t="s">
        <v>63</v>
      </c>
      <c r="C54" s="22" t="s">
        <v>64</v>
      </c>
      <c r="D54" s="23" t="s">
        <v>1702</v>
      </c>
      <c r="E54" s="23" t="s">
        <v>1703</v>
      </c>
      <c r="F54" s="23" t="s">
        <v>1704</v>
      </c>
      <c r="G54" s="23" t="s">
        <v>1705</v>
      </c>
      <c r="H54" s="23" t="s">
        <v>1706</v>
      </c>
      <c r="I54" s="24">
        <v>3</v>
      </c>
      <c r="J54" s="24" t="s">
        <v>1707</v>
      </c>
      <c r="K54" s="23"/>
      <c r="L54" s="24"/>
    </row>
    <row r="55" spans="1:13" ht="55.5" customHeight="1">
      <c r="A55" s="15">
        <v>52</v>
      </c>
      <c r="B55" s="21" t="s">
        <v>63</v>
      </c>
      <c r="C55" s="22" t="s">
        <v>64</v>
      </c>
      <c r="D55" s="23" t="s">
        <v>1708</v>
      </c>
      <c r="E55" s="23" t="s">
        <v>1709</v>
      </c>
      <c r="F55" s="23" t="s">
        <v>1710</v>
      </c>
      <c r="G55" s="23" t="s">
        <v>1711</v>
      </c>
      <c r="H55" s="23" t="s">
        <v>1712</v>
      </c>
      <c r="I55" s="24">
        <v>1</v>
      </c>
      <c r="J55" s="24" t="s">
        <v>1713</v>
      </c>
      <c r="K55" s="23"/>
      <c r="L55" s="24"/>
    </row>
    <row r="56" spans="1:13" ht="55.5" customHeight="1">
      <c r="A56" s="15">
        <v>53</v>
      </c>
      <c r="B56" s="21" t="s">
        <v>63</v>
      </c>
      <c r="C56" s="22" t="s">
        <v>64</v>
      </c>
      <c r="D56" s="23" t="s">
        <v>1714</v>
      </c>
      <c r="E56" s="23" t="s">
        <v>1715</v>
      </c>
      <c r="F56" s="23" t="s">
        <v>1716</v>
      </c>
      <c r="G56" s="23" t="s">
        <v>1717</v>
      </c>
      <c r="H56" s="23" t="s">
        <v>1718</v>
      </c>
      <c r="I56" s="24">
        <v>2</v>
      </c>
      <c r="J56" s="23" t="s">
        <v>1719</v>
      </c>
      <c r="K56" s="23" t="s">
        <v>1651</v>
      </c>
      <c r="L56" s="24"/>
    </row>
    <row r="57" spans="1:13" ht="55.5" customHeight="1">
      <c r="A57" s="15">
        <v>54</v>
      </c>
      <c r="B57" s="21" t="s">
        <v>63</v>
      </c>
      <c r="C57" s="22" t="s">
        <v>64</v>
      </c>
      <c r="D57" s="23" t="s">
        <v>1720</v>
      </c>
      <c r="E57" s="23" t="s">
        <v>1721</v>
      </c>
      <c r="F57" s="23" t="s">
        <v>1722</v>
      </c>
      <c r="G57" s="23" t="s">
        <v>1723</v>
      </c>
      <c r="H57" s="23" t="s">
        <v>1724</v>
      </c>
      <c r="I57" s="24">
        <v>1</v>
      </c>
      <c r="J57" s="23" t="s">
        <v>1725</v>
      </c>
      <c r="K57" s="23" t="s">
        <v>1651</v>
      </c>
      <c r="L57" s="24"/>
    </row>
    <row r="58" spans="1:13" ht="55.5" customHeight="1">
      <c r="A58" s="15">
        <v>55</v>
      </c>
      <c r="B58" s="21" t="s">
        <v>63</v>
      </c>
      <c r="C58" s="22" t="s">
        <v>64</v>
      </c>
      <c r="D58" s="23" t="s">
        <v>1726</v>
      </c>
      <c r="E58" s="23" t="s">
        <v>1727</v>
      </c>
      <c r="F58" s="23" t="s">
        <v>1728</v>
      </c>
      <c r="G58" s="23" t="s">
        <v>1729</v>
      </c>
      <c r="H58" s="23" t="s">
        <v>1730</v>
      </c>
      <c r="I58" s="24">
        <v>2</v>
      </c>
      <c r="J58" s="23" t="s">
        <v>1731</v>
      </c>
      <c r="K58" s="23" t="s">
        <v>1732</v>
      </c>
      <c r="L58" s="24"/>
    </row>
    <row r="59" spans="1:13" ht="27.75" customHeight="1">
      <c r="A59" s="15">
        <v>56</v>
      </c>
      <c r="B59" s="21" t="s">
        <v>63</v>
      </c>
      <c r="C59" s="22" t="s">
        <v>64</v>
      </c>
      <c r="D59" s="23" t="s">
        <v>1733</v>
      </c>
      <c r="E59" s="23" t="s">
        <v>1734</v>
      </c>
      <c r="F59" s="23" t="s">
        <v>1735</v>
      </c>
      <c r="G59" s="23" t="s">
        <v>1736</v>
      </c>
      <c r="H59" s="23" t="s">
        <v>1737</v>
      </c>
      <c r="I59" s="24">
        <v>2</v>
      </c>
      <c r="J59" s="23" t="s">
        <v>1738</v>
      </c>
      <c r="K59" s="23" t="s">
        <v>1732</v>
      </c>
      <c r="L59" s="24"/>
    </row>
    <row r="60" spans="1:13" ht="55.5" customHeight="1">
      <c r="A60" s="15">
        <v>57</v>
      </c>
      <c r="B60" s="16" t="s">
        <v>63</v>
      </c>
      <c r="C60" s="17" t="s">
        <v>65</v>
      </c>
      <c r="D60" s="19" t="s">
        <v>1739</v>
      </c>
      <c r="E60" s="18" t="s">
        <v>1740</v>
      </c>
      <c r="F60" s="18" t="s">
        <v>1741</v>
      </c>
      <c r="G60" s="18" t="s">
        <v>1742</v>
      </c>
      <c r="H60" s="18" t="s">
        <v>1743</v>
      </c>
      <c r="I60" s="19">
        <v>2</v>
      </c>
      <c r="J60" s="19" t="s">
        <v>1744</v>
      </c>
      <c r="K60" s="18"/>
      <c r="L60" s="19"/>
    </row>
    <row r="61" spans="1:13" ht="126" customHeight="1">
      <c r="A61" s="15">
        <v>58</v>
      </c>
      <c r="B61" s="21" t="s">
        <v>63</v>
      </c>
      <c r="C61" s="22" t="s">
        <v>65</v>
      </c>
      <c r="D61" s="23" t="s">
        <v>1745</v>
      </c>
      <c r="E61" s="23" t="s">
        <v>1746</v>
      </c>
      <c r="F61" s="23" t="s">
        <v>1747</v>
      </c>
      <c r="G61" s="23" t="s">
        <v>1748</v>
      </c>
      <c r="H61" s="23" t="s">
        <v>1749</v>
      </c>
      <c r="I61" s="24">
        <v>4</v>
      </c>
      <c r="J61" s="24" t="s">
        <v>1750</v>
      </c>
      <c r="K61" s="23"/>
      <c r="L61" s="24"/>
    </row>
    <row r="62" spans="1:13" ht="55.5" customHeight="1">
      <c r="A62" s="15">
        <v>59</v>
      </c>
      <c r="B62" s="21" t="s">
        <v>63</v>
      </c>
      <c r="C62" s="22" t="s">
        <v>65</v>
      </c>
      <c r="D62" s="23" t="s">
        <v>1751</v>
      </c>
      <c r="E62" s="23" t="s">
        <v>1752</v>
      </c>
      <c r="F62" s="23" t="s">
        <v>1753</v>
      </c>
      <c r="G62" s="23" t="s">
        <v>1754</v>
      </c>
      <c r="H62" s="23" t="s">
        <v>1755</v>
      </c>
      <c r="I62" s="24">
        <v>4</v>
      </c>
      <c r="J62" s="24" t="s">
        <v>1756</v>
      </c>
      <c r="K62" s="23"/>
      <c r="L62" s="24"/>
    </row>
    <row r="63" spans="1:13" ht="55.5" customHeight="1">
      <c r="A63" s="15">
        <v>60</v>
      </c>
      <c r="B63" s="21" t="s">
        <v>63</v>
      </c>
      <c r="C63" s="22" t="s">
        <v>65</v>
      </c>
      <c r="D63" s="23" t="s">
        <v>1757</v>
      </c>
      <c r="E63" s="23" t="s">
        <v>1758</v>
      </c>
      <c r="F63" s="23" t="s">
        <v>1759</v>
      </c>
      <c r="G63" s="23" t="s">
        <v>1760</v>
      </c>
      <c r="H63" s="23" t="s">
        <v>1761</v>
      </c>
      <c r="I63" s="24">
        <v>4</v>
      </c>
      <c r="J63" s="23" t="s">
        <v>1762</v>
      </c>
      <c r="K63" s="23" t="s">
        <v>1763</v>
      </c>
      <c r="L63" s="24"/>
    </row>
    <row r="64" spans="1:13" ht="67.5" customHeight="1">
      <c r="A64" s="15">
        <v>61</v>
      </c>
      <c r="B64" s="87" t="s">
        <v>49</v>
      </c>
      <c r="C64" s="87" t="s">
        <v>50</v>
      </c>
      <c r="D64" s="88" t="s">
        <v>1764</v>
      </c>
      <c r="E64" s="87" t="s">
        <v>470</v>
      </c>
      <c r="F64" s="87" t="s">
        <v>472</v>
      </c>
      <c r="G64" s="87" t="s">
        <v>469</v>
      </c>
      <c r="H64" s="87" t="s">
        <v>471</v>
      </c>
      <c r="I64" s="87">
        <v>3</v>
      </c>
      <c r="J64" s="88" t="s">
        <v>1765</v>
      </c>
      <c r="K64" s="87"/>
      <c r="M64" s="89" t="s">
        <v>1065</v>
      </c>
    </row>
    <row r="65" spans="1:13" ht="67.5" customHeight="1">
      <c r="A65" s="15">
        <v>62</v>
      </c>
      <c r="B65" s="87" t="s">
        <v>49</v>
      </c>
      <c r="C65" s="87" t="s">
        <v>50</v>
      </c>
      <c r="D65" s="88" t="s">
        <v>1766</v>
      </c>
      <c r="E65" s="87" t="s">
        <v>478</v>
      </c>
      <c r="F65" s="87" t="s">
        <v>477</v>
      </c>
      <c r="G65" s="87" t="s">
        <v>475</v>
      </c>
      <c r="H65" s="87" t="s">
        <v>476</v>
      </c>
      <c r="I65" s="87">
        <v>3</v>
      </c>
      <c r="J65" s="88" t="s">
        <v>1767</v>
      </c>
      <c r="K65" s="87"/>
      <c r="M65" s="89" t="s">
        <v>1065</v>
      </c>
    </row>
    <row r="66" spans="1:13" ht="67.5" customHeight="1">
      <c r="A66" s="15">
        <v>63</v>
      </c>
      <c r="B66" s="87" t="s">
        <v>49</v>
      </c>
      <c r="C66" s="87" t="s">
        <v>50</v>
      </c>
      <c r="D66" s="88" t="s">
        <v>1768</v>
      </c>
      <c r="E66" s="87" t="s">
        <v>1071</v>
      </c>
      <c r="F66" s="87" t="s">
        <v>1069</v>
      </c>
      <c r="G66" s="87" t="s">
        <v>1072</v>
      </c>
      <c r="H66" s="87" t="s">
        <v>1070</v>
      </c>
      <c r="I66" s="87">
        <v>4</v>
      </c>
      <c r="J66" s="88" t="s">
        <v>485</v>
      </c>
      <c r="K66" s="87"/>
      <c r="M66" s="89" t="s">
        <v>1065</v>
      </c>
    </row>
    <row r="67" spans="1:13" ht="101.25" customHeight="1">
      <c r="A67" s="15">
        <v>64</v>
      </c>
      <c r="B67" s="87" t="s">
        <v>49</v>
      </c>
      <c r="C67" s="87" t="s">
        <v>50</v>
      </c>
      <c r="D67" s="88" t="s">
        <v>1769</v>
      </c>
      <c r="E67" s="87" t="s">
        <v>981</v>
      </c>
      <c r="F67" s="87" t="s">
        <v>929</v>
      </c>
      <c r="G67" s="87" t="s">
        <v>1770</v>
      </c>
      <c r="H67" s="87" t="s">
        <v>1484</v>
      </c>
      <c r="I67" s="87">
        <v>4</v>
      </c>
      <c r="J67" s="88" t="s">
        <v>1771</v>
      </c>
      <c r="K67" s="87"/>
      <c r="M67" s="89" t="s">
        <v>1065</v>
      </c>
    </row>
    <row r="68" spans="1:13" ht="84.5" customHeight="1">
      <c r="A68" s="15">
        <v>65</v>
      </c>
      <c r="B68" s="87" t="s">
        <v>49</v>
      </c>
      <c r="C68" s="87" t="s">
        <v>50</v>
      </c>
      <c r="D68" s="88" t="s">
        <v>1772</v>
      </c>
      <c r="E68" s="87" t="s">
        <v>1773</v>
      </c>
      <c r="F68" s="87" t="s">
        <v>1774</v>
      </c>
      <c r="G68" s="87" t="s">
        <v>1775</v>
      </c>
      <c r="H68" s="87" t="s">
        <v>1776</v>
      </c>
      <c r="I68" s="87">
        <v>3</v>
      </c>
      <c r="J68" s="88" t="s">
        <v>1777</v>
      </c>
      <c r="K68" s="87"/>
      <c r="M68" s="89" t="s">
        <v>1065</v>
      </c>
    </row>
    <row r="69" spans="1:13" ht="84.5" customHeight="1">
      <c r="A69" s="15">
        <v>66</v>
      </c>
      <c r="B69" s="87" t="s">
        <v>49</v>
      </c>
      <c r="C69" s="87" t="s">
        <v>50</v>
      </c>
      <c r="D69" s="88" t="s">
        <v>1778</v>
      </c>
      <c r="E69" s="87" t="s">
        <v>1779</v>
      </c>
      <c r="F69" s="87" t="s">
        <v>1780</v>
      </c>
      <c r="G69" s="87" t="s">
        <v>1781</v>
      </c>
      <c r="H69" s="87" t="s">
        <v>1782</v>
      </c>
      <c r="I69" s="87">
        <v>4</v>
      </c>
      <c r="J69" s="88" t="s">
        <v>1783</v>
      </c>
      <c r="K69" s="87"/>
      <c r="M69" s="89" t="s">
        <v>1065</v>
      </c>
    </row>
    <row r="70" spans="1:13" ht="84.5" customHeight="1">
      <c r="A70" s="15">
        <v>67</v>
      </c>
      <c r="B70" s="87" t="s">
        <v>49</v>
      </c>
      <c r="C70" s="87" t="s">
        <v>50</v>
      </c>
      <c r="D70" s="88" t="s">
        <v>1784</v>
      </c>
      <c r="E70" s="87" t="s">
        <v>1785</v>
      </c>
      <c r="F70" s="87" t="s">
        <v>1786</v>
      </c>
      <c r="G70" s="87" t="s">
        <v>1787</v>
      </c>
      <c r="H70" s="87" t="s">
        <v>1788</v>
      </c>
      <c r="I70" s="87">
        <v>2</v>
      </c>
      <c r="J70" s="88" t="s">
        <v>1789</v>
      </c>
      <c r="K70" s="87"/>
      <c r="M70" s="89" t="s">
        <v>1065</v>
      </c>
    </row>
    <row r="71" spans="1:13" ht="101.25" customHeight="1">
      <c r="A71" s="15">
        <v>68</v>
      </c>
      <c r="B71" s="87" t="s">
        <v>49</v>
      </c>
      <c r="C71" s="87" t="s">
        <v>50</v>
      </c>
      <c r="D71" s="88" t="s">
        <v>1790</v>
      </c>
      <c r="E71" s="87" t="s">
        <v>1791</v>
      </c>
      <c r="F71" s="87" t="s">
        <v>1792</v>
      </c>
      <c r="G71" s="87" t="s">
        <v>1793</v>
      </c>
      <c r="H71" s="87" t="s">
        <v>1794</v>
      </c>
      <c r="I71" s="87">
        <v>4</v>
      </c>
      <c r="J71" s="88" t="s">
        <v>1795</v>
      </c>
      <c r="K71" s="87"/>
      <c r="M71" s="89" t="s">
        <v>1065</v>
      </c>
    </row>
    <row r="72" spans="1:13" ht="101.25" customHeight="1">
      <c r="A72" s="15">
        <v>69</v>
      </c>
      <c r="B72" s="87" t="s">
        <v>49</v>
      </c>
      <c r="C72" s="87" t="s">
        <v>50</v>
      </c>
      <c r="D72" s="88" t="s">
        <v>1796</v>
      </c>
      <c r="E72" s="87" t="s">
        <v>1797</v>
      </c>
      <c r="F72" s="87" t="s">
        <v>1798</v>
      </c>
      <c r="G72" s="87" t="s">
        <v>1799</v>
      </c>
      <c r="H72" s="87" t="s">
        <v>1800</v>
      </c>
      <c r="I72" s="87">
        <v>4</v>
      </c>
      <c r="J72" s="88" t="s">
        <v>1801</v>
      </c>
      <c r="K72" s="87"/>
      <c r="M72" s="89" t="s">
        <v>1065</v>
      </c>
    </row>
    <row r="73" spans="1:13" ht="101.25" customHeight="1">
      <c r="A73" s="15">
        <v>70</v>
      </c>
      <c r="B73" s="87" t="s">
        <v>49</v>
      </c>
      <c r="C73" s="87" t="s">
        <v>50</v>
      </c>
      <c r="D73" s="88" t="s">
        <v>1802</v>
      </c>
      <c r="E73" s="87" t="s">
        <v>1803</v>
      </c>
      <c r="F73" s="87" t="s">
        <v>1804</v>
      </c>
      <c r="G73" s="87" t="s">
        <v>1805</v>
      </c>
      <c r="H73" s="87" t="s">
        <v>1806</v>
      </c>
      <c r="I73" s="87">
        <v>3</v>
      </c>
      <c r="J73" s="88" t="s">
        <v>1807</v>
      </c>
      <c r="K73" s="87"/>
      <c r="M73" s="89" t="s">
        <v>1065</v>
      </c>
    </row>
    <row r="74" spans="1:13" ht="67.5" customHeight="1">
      <c r="A74" s="15">
        <v>71</v>
      </c>
      <c r="B74" s="87" t="s">
        <v>49</v>
      </c>
      <c r="C74" s="87" t="s">
        <v>50</v>
      </c>
      <c r="D74" s="88" t="s">
        <v>1808</v>
      </c>
      <c r="E74" s="87" t="s">
        <v>1809</v>
      </c>
      <c r="F74" s="87" t="s">
        <v>1810</v>
      </c>
      <c r="G74" s="87" t="s">
        <v>1811</v>
      </c>
      <c r="H74" s="87" t="s">
        <v>1812</v>
      </c>
      <c r="I74" s="87">
        <v>4</v>
      </c>
      <c r="J74" s="88" t="s">
        <v>1813</v>
      </c>
      <c r="K74" s="87"/>
      <c r="M74" s="89" t="s">
        <v>1065</v>
      </c>
    </row>
    <row r="75" spans="1:13" ht="67.5" customHeight="1">
      <c r="A75" s="15">
        <v>72</v>
      </c>
      <c r="B75" s="87" t="s">
        <v>49</v>
      </c>
      <c r="C75" s="87" t="s">
        <v>50</v>
      </c>
      <c r="D75" s="88" t="s">
        <v>1814</v>
      </c>
      <c r="E75" s="87" t="s">
        <v>1815</v>
      </c>
      <c r="F75" s="87" t="s">
        <v>1816</v>
      </c>
      <c r="G75" s="87" t="s">
        <v>1817</v>
      </c>
      <c r="H75" s="87" t="s">
        <v>1818</v>
      </c>
      <c r="I75" s="87">
        <v>4</v>
      </c>
      <c r="J75" s="88" t="s">
        <v>1819</v>
      </c>
      <c r="K75" s="87"/>
      <c r="M75" s="89" t="s">
        <v>1065</v>
      </c>
    </row>
    <row r="76" spans="1:13" ht="67.5" customHeight="1">
      <c r="A76" s="15">
        <v>73</v>
      </c>
      <c r="B76" s="87" t="s">
        <v>49</v>
      </c>
      <c r="C76" s="87" t="s">
        <v>50</v>
      </c>
      <c r="D76" s="88" t="s">
        <v>1820</v>
      </c>
      <c r="E76" s="87" t="s">
        <v>1821</v>
      </c>
      <c r="F76" s="87" t="s">
        <v>1822</v>
      </c>
      <c r="G76" s="87" t="s">
        <v>1823</v>
      </c>
      <c r="H76" s="87" t="s">
        <v>1824</v>
      </c>
      <c r="I76" s="87">
        <v>1</v>
      </c>
      <c r="J76" s="88" t="s">
        <v>1825</v>
      </c>
      <c r="K76" s="87"/>
      <c r="M76" s="89" t="s">
        <v>1065</v>
      </c>
    </row>
    <row r="77" spans="1:13" ht="50.75" customHeight="1">
      <c r="A77" s="15">
        <v>74</v>
      </c>
      <c r="B77" s="87" t="s">
        <v>49</v>
      </c>
      <c r="C77" s="87" t="s">
        <v>50</v>
      </c>
      <c r="D77" s="88" t="s">
        <v>1826</v>
      </c>
      <c r="E77" s="87" t="s">
        <v>1827</v>
      </c>
      <c r="F77" s="87" t="s">
        <v>1828</v>
      </c>
      <c r="G77" s="87" t="s">
        <v>1829</v>
      </c>
      <c r="H77" s="87" t="s">
        <v>1830</v>
      </c>
      <c r="I77" s="87">
        <v>4</v>
      </c>
      <c r="J77" s="88" t="s">
        <v>1831</v>
      </c>
      <c r="K77" s="87"/>
      <c r="M77" s="89" t="s">
        <v>1065</v>
      </c>
    </row>
    <row r="78" spans="1:13" ht="67.5" customHeight="1">
      <c r="A78" s="15">
        <v>75</v>
      </c>
      <c r="B78" s="87" t="s">
        <v>49</v>
      </c>
      <c r="C78" s="87" t="s">
        <v>50</v>
      </c>
      <c r="D78" s="88" t="s">
        <v>1832</v>
      </c>
      <c r="E78" s="87" t="s">
        <v>1833</v>
      </c>
      <c r="F78" s="87" t="s">
        <v>1834</v>
      </c>
      <c r="G78" s="87" t="s">
        <v>1835</v>
      </c>
      <c r="H78" s="87" t="s">
        <v>1836</v>
      </c>
      <c r="I78" s="87">
        <v>2</v>
      </c>
      <c r="J78" s="88" t="s">
        <v>1837</v>
      </c>
      <c r="K78" s="87"/>
      <c r="M78" s="89" t="s">
        <v>1065</v>
      </c>
    </row>
    <row r="79" spans="1:13" ht="67.5" customHeight="1">
      <c r="A79" s="15">
        <v>76</v>
      </c>
      <c r="B79" s="87" t="s">
        <v>54</v>
      </c>
      <c r="C79" s="87" t="s">
        <v>55</v>
      </c>
      <c r="D79" s="88" t="s">
        <v>1838</v>
      </c>
      <c r="E79" s="87" t="s">
        <v>1839</v>
      </c>
      <c r="F79" s="87" t="s">
        <v>1840</v>
      </c>
      <c r="G79" s="87" t="s">
        <v>1841</v>
      </c>
      <c r="H79" s="87" t="s">
        <v>1842</v>
      </c>
      <c r="I79" s="87">
        <v>2</v>
      </c>
      <c r="J79" s="88" t="s">
        <v>1843</v>
      </c>
      <c r="K79" s="87"/>
      <c r="M79" s="89" t="s">
        <v>1065</v>
      </c>
    </row>
    <row r="80" spans="1:13" ht="67.5" customHeight="1">
      <c r="A80" s="15">
        <v>77</v>
      </c>
      <c r="B80" s="87" t="s">
        <v>54</v>
      </c>
      <c r="C80" s="87" t="s">
        <v>57</v>
      </c>
      <c r="D80" s="88" t="s">
        <v>1844</v>
      </c>
      <c r="E80" s="87" t="s">
        <v>1845</v>
      </c>
      <c r="F80" s="87" t="s">
        <v>1846</v>
      </c>
      <c r="G80" s="87" t="s">
        <v>1847</v>
      </c>
      <c r="H80" s="87" t="s">
        <v>1848</v>
      </c>
      <c r="I80" s="87">
        <v>3</v>
      </c>
      <c r="J80" s="88" t="s">
        <v>1849</v>
      </c>
      <c r="K80" s="87"/>
      <c r="M80" s="89" t="s">
        <v>1065</v>
      </c>
    </row>
    <row r="81" spans="1:13" ht="101.25" customHeight="1">
      <c r="A81" s="15">
        <v>78</v>
      </c>
      <c r="B81" s="87" t="s">
        <v>54</v>
      </c>
      <c r="C81" s="87" t="s">
        <v>55</v>
      </c>
      <c r="D81" s="88" t="s">
        <v>1850</v>
      </c>
      <c r="E81" s="87" t="s">
        <v>1851</v>
      </c>
      <c r="F81" s="87" t="s">
        <v>1852</v>
      </c>
      <c r="G81" s="87" t="s">
        <v>1853</v>
      </c>
      <c r="H81" s="87" t="s">
        <v>1854</v>
      </c>
      <c r="I81" s="87">
        <v>3</v>
      </c>
      <c r="J81" s="88" t="s">
        <v>1855</v>
      </c>
      <c r="K81" s="87"/>
      <c r="M81" s="89" t="s">
        <v>1065</v>
      </c>
    </row>
    <row r="82" spans="1:13" ht="84.5" customHeight="1">
      <c r="A82" s="15">
        <v>79</v>
      </c>
      <c r="B82" s="87" t="s">
        <v>54</v>
      </c>
      <c r="C82" s="87" t="s">
        <v>55</v>
      </c>
      <c r="D82" s="88" t="s">
        <v>1856</v>
      </c>
      <c r="E82" s="87" t="s">
        <v>1857</v>
      </c>
      <c r="F82" s="87" t="s">
        <v>1858</v>
      </c>
      <c r="G82" s="87" t="s">
        <v>1859</v>
      </c>
      <c r="H82" s="87" t="s">
        <v>1860</v>
      </c>
      <c r="I82" s="87">
        <v>3</v>
      </c>
      <c r="J82" s="88" t="s">
        <v>1861</v>
      </c>
      <c r="K82" s="87"/>
      <c r="M82" s="89" t="s">
        <v>1065</v>
      </c>
    </row>
    <row r="83" spans="1:13" ht="84.5" customHeight="1">
      <c r="A83" s="15">
        <v>80</v>
      </c>
      <c r="B83" s="87" t="s">
        <v>54</v>
      </c>
      <c r="C83" s="87" t="s">
        <v>57</v>
      </c>
      <c r="D83" s="88" t="s">
        <v>1862</v>
      </c>
      <c r="E83" s="87" t="s">
        <v>1863</v>
      </c>
      <c r="F83" s="87" t="s">
        <v>1864</v>
      </c>
      <c r="G83" s="87" t="s">
        <v>1865</v>
      </c>
      <c r="H83" s="87" t="s">
        <v>1866</v>
      </c>
      <c r="I83" s="87">
        <v>3</v>
      </c>
      <c r="J83" s="88" t="s">
        <v>1867</v>
      </c>
      <c r="K83" s="87"/>
      <c r="M83" s="89" t="s">
        <v>1065</v>
      </c>
    </row>
    <row r="84" spans="1:13" ht="84.5" customHeight="1">
      <c r="A84" s="15">
        <v>81</v>
      </c>
      <c r="B84" s="87" t="s">
        <v>54</v>
      </c>
      <c r="C84" s="87" t="s">
        <v>55</v>
      </c>
      <c r="D84" s="88" t="s">
        <v>1868</v>
      </c>
      <c r="E84" s="87" t="s">
        <v>1869</v>
      </c>
      <c r="F84" s="87" t="s">
        <v>1870</v>
      </c>
      <c r="G84" s="87" t="s">
        <v>1871</v>
      </c>
      <c r="H84" s="87" t="s">
        <v>1872</v>
      </c>
      <c r="I84" s="87">
        <v>3</v>
      </c>
      <c r="J84" s="88" t="s">
        <v>1873</v>
      </c>
      <c r="K84" s="87"/>
      <c r="M84" s="89" t="s">
        <v>1065</v>
      </c>
    </row>
    <row r="85" spans="1:13" ht="101.25" customHeight="1">
      <c r="A85" s="15">
        <v>82</v>
      </c>
      <c r="B85" s="87" t="s">
        <v>54</v>
      </c>
      <c r="C85" s="87" t="s">
        <v>55</v>
      </c>
      <c r="D85" s="88" t="s">
        <v>1874</v>
      </c>
      <c r="E85" s="87" t="s">
        <v>1875</v>
      </c>
      <c r="F85" s="87" t="s">
        <v>1876</v>
      </c>
      <c r="G85" s="87" t="s">
        <v>1877</v>
      </c>
      <c r="H85" s="87" t="s">
        <v>1878</v>
      </c>
      <c r="I85" s="87">
        <v>3</v>
      </c>
      <c r="J85" s="88" t="s">
        <v>1879</v>
      </c>
      <c r="K85" s="87"/>
      <c r="M85" s="89" t="s">
        <v>1065</v>
      </c>
    </row>
    <row r="86" spans="1:13" ht="101.25" customHeight="1">
      <c r="A86" s="15">
        <v>83</v>
      </c>
      <c r="B86" s="87" t="s">
        <v>54</v>
      </c>
      <c r="C86" s="87" t="s">
        <v>55</v>
      </c>
      <c r="D86" s="88" t="s">
        <v>1880</v>
      </c>
      <c r="E86" s="87" t="s">
        <v>1881</v>
      </c>
      <c r="F86" s="87" t="s">
        <v>1882</v>
      </c>
      <c r="G86" s="87" t="s">
        <v>1883</v>
      </c>
      <c r="H86" s="87" t="s">
        <v>1884</v>
      </c>
      <c r="I86" s="87">
        <v>3</v>
      </c>
      <c r="J86" s="88" t="s">
        <v>1885</v>
      </c>
      <c r="K86" s="87"/>
      <c r="M86" s="89" t="s">
        <v>1065</v>
      </c>
    </row>
    <row r="87" spans="1:13" ht="101.25" customHeight="1">
      <c r="A87" s="15">
        <v>84</v>
      </c>
      <c r="B87" s="87" t="s">
        <v>54</v>
      </c>
      <c r="C87" s="87" t="s">
        <v>55</v>
      </c>
      <c r="D87" s="88" t="s">
        <v>1886</v>
      </c>
      <c r="E87" s="87" t="s">
        <v>1887</v>
      </c>
      <c r="F87" s="87" t="s">
        <v>1888</v>
      </c>
      <c r="G87" s="87" t="s">
        <v>1889</v>
      </c>
      <c r="H87" s="87" t="s">
        <v>1890</v>
      </c>
      <c r="I87" s="87">
        <v>3</v>
      </c>
      <c r="J87" s="88" t="s">
        <v>1891</v>
      </c>
      <c r="K87" s="87"/>
      <c r="M87" s="89" t="s">
        <v>1065</v>
      </c>
    </row>
    <row r="88" spans="1:13" ht="101.25" customHeight="1">
      <c r="A88" s="15">
        <v>85</v>
      </c>
      <c r="B88" s="87" t="s">
        <v>54</v>
      </c>
      <c r="C88" s="87" t="s">
        <v>57</v>
      </c>
      <c r="D88" s="88" t="s">
        <v>1892</v>
      </c>
      <c r="E88" s="87" t="s">
        <v>1893</v>
      </c>
      <c r="F88" s="87" t="s">
        <v>1894</v>
      </c>
      <c r="G88" s="87" t="s">
        <v>1895</v>
      </c>
      <c r="H88" s="87" t="s">
        <v>1896</v>
      </c>
      <c r="I88" s="87">
        <v>2</v>
      </c>
      <c r="J88" s="88" t="s">
        <v>1897</v>
      </c>
      <c r="K88" s="87"/>
      <c r="M88" s="89" t="s">
        <v>1065</v>
      </c>
    </row>
    <row r="89" spans="1:13" ht="84.5" customHeight="1">
      <c r="A89" s="15">
        <v>86</v>
      </c>
      <c r="B89" s="87" t="s">
        <v>54</v>
      </c>
      <c r="C89" s="87" t="s">
        <v>55</v>
      </c>
      <c r="D89" s="88" t="s">
        <v>1898</v>
      </c>
      <c r="E89" s="87" t="s">
        <v>1899</v>
      </c>
      <c r="F89" s="87" t="s">
        <v>1900</v>
      </c>
      <c r="G89" s="87" t="s">
        <v>1901</v>
      </c>
      <c r="H89" s="87" t="s">
        <v>1902</v>
      </c>
      <c r="I89" s="87">
        <v>1</v>
      </c>
      <c r="J89" s="88" t="s">
        <v>1903</v>
      </c>
      <c r="K89" s="87"/>
      <c r="M89" s="89" t="s">
        <v>1065</v>
      </c>
    </row>
    <row r="90" spans="1:13" ht="67.5" customHeight="1">
      <c r="A90" s="15">
        <v>87</v>
      </c>
      <c r="B90" s="87" t="s">
        <v>54</v>
      </c>
      <c r="C90" s="87" t="s">
        <v>57</v>
      </c>
      <c r="D90" s="88" t="s">
        <v>1904</v>
      </c>
      <c r="E90" s="87" t="s">
        <v>1905</v>
      </c>
      <c r="F90" s="87" t="s">
        <v>1906</v>
      </c>
      <c r="G90" s="87" t="s">
        <v>1907</v>
      </c>
      <c r="H90" s="87" t="s">
        <v>1908</v>
      </c>
      <c r="I90" s="87">
        <v>4</v>
      </c>
      <c r="J90" s="88" t="s">
        <v>1909</v>
      </c>
      <c r="K90" s="87"/>
      <c r="M90" s="89" t="s">
        <v>1065</v>
      </c>
    </row>
    <row r="91" spans="1:13" ht="101.25" customHeight="1">
      <c r="A91" s="15">
        <v>88</v>
      </c>
      <c r="B91" s="87" t="s">
        <v>54</v>
      </c>
      <c r="C91" s="87" t="s">
        <v>55</v>
      </c>
      <c r="D91" s="88" t="s">
        <v>1910</v>
      </c>
      <c r="E91" s="87" t="s">
        <v>1911</v>
      </c>
      <c r="F91" s="87" t="s">
        <v>1912</v>
      </c>
      <c r="G91" s="87" t="s">
        <v>1913</v>
      </c>
      <c r="H91" s="87" t="s">
        <v>1914</v>
      </c>
      <c r="I91" s="87">
        <v>3</v>
      </c>
      <c r="J91" s="88" t="s">
        <v>1915</v>
      </c>
      <c r="K91" s="87"/>
      <c r="M91" s="89" t="s">
        <v>1065</v>
      </c>
    </row>
    <row r="92" spans="1:13" ht="101.25" customHeight="1">
      <c r="A92" s="15">
        <v>89</v>
      </c>
      <c r="B92" s="87" t="s">
        <v>54</v>
      </c>
      <c r="C92" s="87" t="s">
        <v>55</v>
      </c>
      <c r="D92" s="88" t="s">
        <v>1916</v>
      </c>
      <c r="E92" s="87" t="s">
        <v>1917</v>
      </c>
      <c r="F92" s="87" t="s">
        <v>1918</v>
      </c>
      <c r="G92" s="87" t="s">
        <v>1919</v>
      </c>
      <c r="H92" s="87" t="s">
        <v>1920</v>
      </c>
      <c r="I92" s="87">
        <v>4</v>
      </c>
      <c r="J92" s="88" t="s">
        <v>1921</v>
      </c>
      <c r="K92" s="87"/>
      <c r="M92" s="89" t="s">
        <v>1065</v>
      </c>
    </row>
    <row r="93" spans="1:13" ht="67.5" customHeight="1">
      <c r="A93" s="15">
        <v>90</v>
      </c>
      <c r="B93" s="87" t="s">
        <v>54</v>
      </c>
      <c r="C93" s="87" t="s">
        <v>55</v>
      </c>
      <c r="D93" s="88" t="s">
        <v>1922</v>
      </c>
      <c r="E93" s="87" t="s">
        <v>1923</v>
      </c>
      <c r="F93" s="87" t="s">
        <v>1924</v>
      </c>
      <c r="G93" s="87" t="s">
        <v>1925</v>
      </c>
      <c r="H93" s="87" t="s">
        <v>1926</v>
      </c>
      <c r="I93" s="87">
        <v>4</v>
      </c>
      <c r="J93" s="88" t="s">
        <v>1927</v>
      </c>
      <c r="K93" s="87"/>
      <c r="M93" s="89" t="s">
        <v>1065</v>
      </c>
    </row>
    <row r="94" spans="1:13" ht="67.5" customHeight="1">
      <c r="A94" s="15">
        <v>91</v>
      </c>
      <c r="B94" s="87" t="s">
        <v>59</v>
      </c>
      <c r="C94" s="87" t="s">
        <v>60</v>
      </c>
      <c r="D94" s="88" t="s">
        <v>1928</v>
      </c>
      <c r="E94" s="87" t="s">
        <v>1929</v>
      </c>
      <c r="F94" s="87" t="s">
        <v>1930</v>
      </c>
      <c r="G94" s="87" t="s">
        <v>1931</v>
      </c>
      <c r="H94" s="87" t="s">
        <v>1932</v>
      </c>
      <c r="I94" s="87">
        <v>2</v>
      </c>
      <c r="J94" s="88" t="s">
        <v>1933</v>
      </c>
      <c r="K94" s="87"/>
      <c r="M94" s="89" t="s">
        <v>1065</v>
      </c>
    </row>
    <row r="95" spans="1:13" ht="50.75" customHeight="1">
      <c r="A95" s="15">
        <v>92</v>
      </c>
      <c r="B95" s="87" t="s">
        <v>59</v>
      </c>
      <c r="C95" s="87" t="s">
        <v>61</v>
      </c>
      <c r="D95" s="88" t="s">
        <v>1934</v>
      </c>
      <c r="E95" s="87" t="s">
        <v>1935</v>
      </c>
      <c r="F95" s="87" t="s">
        <v>1936</v>
      </c>
      <c r="G95" s="87" t="s">
        <v>1937</v>
      </c>
      <c r="H95" s="87" t="s">
        <v>1938</v>
      </c>
      <c r="I95" s="87">
        <v>3</v>
      </c>
      <c r="J95" s="88" t="s">
        <v>1939</v>
      </c>
      <c r="K95" s="87"/>
      <c r="M95" s="89" t="s">
        <v>1065</v>
      </c>
    </row>
    <row r="96" spans="1:13" ht="84.5" customHeight="1">
      <c r="A96" s="15">
        <v>93</v>
      </c>
      <c r="B96" s="87" t="s">
        <v>59</v>
      </c>
      <c r="C96" s="87" t="s">
        <v>62</v>
      </c>
      <c r="D96" s="88" t="s">
        <v>1940</v>
      </c>
      <c r="E96" s="87" t="s">
        <v>1941</v>
      </c>
      <c r="F96" s="87" t="s">
        <v>1942</v>
      </c>
      <c r="G96" s="87" t="s">
        <v>1943</v>
      </c>
      <c r="H96" s="87" t="s">
        <v>1944</v>
      </c>
      <c r="I96" s="87">
        <v>3</v>
      </c>
      <c r="J96" s="88" t="s">
        <v>1945</v>
      </c>
      <c r="K96" s="87"/>
      <c r="M96" s="89" t="s">
        <v>1065</v>
      </c>
    </row>
    <row r="97" spans="1:13" ht="101.25" customHeight="1">
      <c r="A97" s="15">
        <v>94</v>
      </c>
      <c r="B97" s="87" t="s">
        <v>59</v>
      </c>
      <c r="C97" s="87" t="s">
        <v>60</v>
      </c>
      <c r="D97" s="88" t="s">
        <v>1946</v>
      </c>
      <c r="E97" s="87" t="s">
        <v>1947</v>
      </c>
      <c r="F97" s="87" t="s">
        <v>1948</v>
      </c>
      <c r="G97" s="87" t="s">
        <v>1949</v>
      </c>
      <c r="H97" s="87" t="s">
        <v>1950</v>
      </c>
      <c r="I97" s="87">
        <v>4</v>
      </c>
      <c r="J97" s="88" t="s">
        <v>1951</v>
      </c>
      <c r="K97" s="87"/>
      <c r="M97" s="89" t="s">
        <v>1065</v>
      </c>
    </row>
    <row r="98" spans="1:13" ht="84.5" customHeight="1">
      <c r="A98" s="15">
        <v>95</v>
      </c>
      <c r="B98" s="87" t="s">
        <v>59</v>
      </c>
      <c r="C98" s="87" t="s">
        <v>60</v>
      </c>
      <c r="D98" s="88" t="s">
        <v>1952</v>
      </c>
      <c r="E98" s="87" t="s">
        <v>1953</v>
      </c>
      <c r="F98" s="87" t="s">
        <v>1954</v>
      </c>
      <c r="G98" s="87" t="s">
        <v>1955</v>
      </c>
      <c r="H98" s="87" t="s">
        <v>1956</v>
      </c>
      <c r="I98" s="87">
        <v>2</v>
      </c>
      <c r="J98" s="88" t="s">
        <v>1957</v>
      </c>
      <c r="K98" s="87"/>
      <c r="M98" s="89" t="s">
        <v>1065</v>
      </c>
    </row>
    <row r="99" spans="1:13" ht="101.25" customHeight="1">
      <c r="A99" s="15">
        <v>96</v>
      </c>
      <c r="B99" s="87" t="s">
        <v>59</v>
      </c>
      <c r="C99" s="87" t="s">
        <v>61</v>
      </c>
      <c r="D99" s="88" t="s">
        <v>1958</v>
      </c>
      <c r="E99" s="87" t="s">
        <v>1959</v>
      </c>
      <c r="F99" s="87" t="s">
        <v>1960</v>
      </c>
      <c r="G99" s="87" t="s">
        <v>1961</v>
      </c>
      <c r="H99" s="87" t="s">
        <v>1962</v>
      </c>
      <c r="I99" s="87">
        <v>4</v>
      </c>
      <c r="J99" s="88" t="s">
        <v>1963</v>
      </c>
      <c r="K99" s="87"/>
      <c r="M99" s="89" t="s">
        <v>1065</v>
      </c>
    </row>
    <row r="100" spans="1:13" ht="84.5" customHeight="1">
      <c r="A100" s="15">
        <v>97</v>
      </c>
      <c r="B100" s="87" t="s">
        <v>59</v>
      </c>
      <c r="C100" s="87" t="s">
        <v>60</v>
      </c>
      <c r="D100" s="88" t="s">
        <v>1964</v>
      </c>
      <c r="E100" s="87" t="s">
        <v>1965</v>
      </c>
      <c r="F100" s="87" t="s">
        <v>1966</v>
      </c>
      <c r="G100" s="87" t="s">
        <v>1967</v>
      </c>
      <c r="H100" s="87" t="s">
        <v>1968</v>
      </c>
      <c r="I100" s="87">
        <v>2</v>
      </c>
      <c r="J100" s="88" t="s">
        <v>1969</v>
      </c>
      <c r="K100" s="87"/>
      <c r="M100" s="89" t="s">
        <v>1065</v>
      </c>
    </row>
    <row r="101" spans="1:13" ht="84.5" customHeight="1">
      <c r="A101" s="15">
        <v>98</v>
      </c>
      <c r="B101" s="87" t="s">
        <v>59</v>
      </c>
      <c r="C101" s="87" t="s">
        <v>62</v>
      </c>
      <c r="D101" s="88" t="s">
        <v>1970</v>
      </c>
      <c r="E101" s="87" t="s">
        <v>1971</v>
      </c>
      <c r="F101" s="87" t="s">
        <v>1972</v>
      </c>
      <c r="G101" s="87" t="s">
        <v>1973</v>
      </c>
      <c r="H101" s="87" t="s">
        <v>1974</v>
      </c>
      <c r="I101" s="87">
        <v>3</v>
      </c>
      <c r="J101" s="88" t="s">
        <v>1975</v>
      </c>
      <c r="K101" s="87"/>
      <c r="M101" s="89" t="s">
        <v>1065</v>
      </c>
    </row>
    <row r="102" spans="1:13" ht="84.5" customHeight="1">
      <c r="A102" s="15">
        <v>99</v>
      </c>
      <c r="B102" s="87" t="s">
        <v>59</v>
      </c>
      <c r="C102" s="87" t="s">
        <v>60</v>
      </c>
      <c r="D102" s="88" t="s">
        <v>1976</v>
      </c>
      <c r="E102" s="87" t="s">
        <v>1977</v>
      </c>
      <c r="F102" s="87" t="s">
        <v>1978</v>
      </c>
      <c r="G102" s="87" t="s">
        <v>1979</v>
      </c>
      <c r="H102" s="87" t="s">
        <v>1980</v>
      </c>
      <c r="I102" s="87">
        <v>3</v>
      </c>
      <c r="J102" s="88" t="s">
        <v>1981</v>
      </c>
      <c r="K102" s="87"/>
      <c r="M102" s="89" t="s">
        <v>1065</v>
      </c>
    </row>
    <row r="103" spans="1:13" ht="101.25" customHeight="1">
      <c r="A103" s="15">
        <v>100</v>
      </c>
      <c r="B103" s="87" t="s">
        <v>59</v>
      </c>
      <c r="C103" s="87" t="s">
        <v>61</v>
      </c>
      <c r="D103" s="88" t="s">
        <v>1982</v>
      </c>
      <c r="E103" s="87" t="s">
        <v>1983</v>
      </c>
      <c r="F103" s="87" t="s">
        <v>1984</v>
      </c>
      <c r="G103" s="87" t="s">
        <v>1985</v>
      </c>
      <c r="H103" s="87" t="s">
        <v>1986</v>
      </c>
      <c r="I103" s="87">
        <v>2</v>
      </c>
      <c r="J103" s="88" t="s">
        <v>1987</v>
      </c>
      <c r="K103" s="87"/>
      <c r="M103" s="89" t="s">
        <v>1065</v>
      </c>
    </row>
    <row r="104" spans="1:13" ht="84.5" customHeight="1">
      <c r="A104" s="15">
        <v>101</v>
      </c>
      <c r="B104" s="87" t="s">
        <v>59</v>
      </c>
      <c r="C104" s="87" t="s">
        <v>60</v>
      </c>
      <c r="D104" s="88" t="s">
        <v>1988</v>
      </c>
      <c r="E104" s="87" t="s">
        <v>1989</v>
      </c>
      <c r="F104" s="87" t="s">
        <v>1990</v>
      </c>
      <c r="G104" s="87" t="s">
        <v>1991</v>
      </c>
      <c r="H104" s="87" t="s">
        <v>1992</v>
      </c>
      <c r="I104" s="87">
        <v>3</v>
      </c>
      <c r="J104" s="88" t="s">
        <v>1993</v>
      </c>
      <c r="K104" s="87"/>
      <c r="M104" s="89" t="s">
        <v>1065</v>
      </c>
    </row>
    <row r="105" spans="1:13" ht="101.25" customHeight="1">
      <c r="A105" s="15">
        <v>102</v>
      </c>
      <c r="B105" s="87" t="s">
        <v>59</v>
      </c>
      <c r="C105" s="87" t="s">
        <v>61</v>
      </c>
      <c r="D105" s="88" t="s">
        <v>1994</v>
      </c>
      <c r="E105" s="87" t="s">
        <v>1995</v>
      </c>
      <c r="F105" s="87" t="s">
        <v>1996</v>
      </c>
      <c r="G105" s="87" t="s">
        <v>1997</v>
      </c>
      <c r="H105" s="87" t="s">
        <v>1998</v>
      </c>
      <c r="I105" s="87">
        <v>2</v>
      </c>
      <c r="J105" s="88" t="s">
        <v>1999</v>
      </c>
      <c r="K105" s="87"/>
      <c r="M105" s="89" t="s">
        <v>1065</v>
      </c>
    </row>
    <row r="106" spans="1:13" ht="118.25" customHeight="1">
      <c r="A106" s="15">
        <v>103</v>
      </c>
      <c r="B106" s="87" t="s">
        <v>59</v>
      </c>
      <c r="C106" s="87" t="s">
        <v>62</v>
      </c>
      <c r="D106" s="88" t="s">
        <v>2000</v>
      </c>
      <c r="E106" s="87" t="s">
        <v>2001</v>
      </c>
      <c r="F106" s="87" t="s">
        <v>2002</v>
      </c>
      <c r="G106" s="87" t="s">
        <v>2003</v>
      </c>
      <c r="H106" s="87" t="s">
        <v>2004</v>
      </c>
      <c r="I106" s="87">
        <v>3</v>
      </c>
      <c r="J106" s="88" t="s">
        <v>2005</v>
      </c>
      <c r="K106" s="87"/>
      <c r="M106" s="89" t="s">
        <v>1065</v>
      </c>
    </row>
    <row r="107" spans="1:13" ht="84.5" customHeight="1">
      <c r="A107" s="15">
        <v>104</v>
      </c>
      <c r="B107" s="87" t="s">
        <v>63</v>
      </c>
      <c r="C107" s="87" t="s">
        <v>64</v>
      </c>
      <c r="D107" s="88" t="s">
        <v>2006</v>
      </c>
      <c r="E107" s="87" t="s">
        <v>2007</v>
      </c>
      <c r="F107" s="87" t="s">
        <v>2008</v>
      </c>
      <c r="G107" s="87" t="s">
        <v>2009</v>
      </c>
      <c r="H107" s="87" t="s">
        <v>2010</v>
      </c>
      <c r="I107" s="87">
        <v>4</v>
      </c>
      <c r="J107" s="88" t="s">
        <v>2011</v>
      </c>
      <c r="K107" s="87"/>
      <c r="M107" s="89" t="s">
        <v>1065</v>
      </c>
    </row>
    <row r="108" spans="1:13" ht="67.5" customHeight="1">
      <c r="A108" s="15">
        <v>105</v>
      </c>
      <c r="B108" s="87" t="s">
        <v>59</v>
      </c>
      <c r="C108" s="87" t="s">
        <v>60</v>
      </c>
      <c r="D108" s="88" t="s">
        <v>2012</v>
      </c>
      <c r="E108" s="87" t="s">
        <v>2013</v>
      </c>
      <c r="F108" s="87" t="s">
        <v>2014</v>
      </c>
      <c r="G108" s="87" t="s">
        <v>2015</v>
      </c>
      <c r="H108" s="87" t="s">
        <v>2016</v>
      </c>
      <c r="I108" s="87">
        <v>4</v>
      </c>
      <c r="J108" s="88" t="s">
        <v>2017</v>
      </c>
      <c r="K108" s="87"/>
      <c r="M108" s="89" t="s">
        <v>1065</v>
      </c>
    </row>
    <row r="109" spans="1:13" ht="84.5" customHeight="1">
      <c r="A109" s="15">
        <v>106</v>
      </c>
      <c r="B109" s="87" t="s">
        <v>63</v>
      </c>
      <c r="C109" s="87" t="s">
        <v>64</v>
      </c>
      <c r="D109" s="88" t="s">
        <v>2018</v>
      </c>
      <c r="E109" s="87" t="s">
        <v>2019</v>
      </c>
      <c r="F109" s="87" t="s">
        <v>2020</v>
      </c>
      <c r="G109" s="87" t="s">
        <v>2021</v>
      </c>
      <c r="H109" s="87" t="s">
        <v>2022</v>
      </c>
      <c r="I109" s="87">
        <v>2</v>
      </c>
      <c r="J109" s="88" t="s">
        <v>2023</v>
      </c>
      <c r="K109" s="87"/>
      <c r="M109" s="89" t="s">
        <v>1065</v>
      </c>
    </row>
    <row r="110" spans="1:13" ht="101.25" customHeight="1">
      <c r="A110" s="15">
        <v>107</v>
      </c>
      <c r="B110" s="87" t="s">
        <v>63</v>
      </c>
      <c r="C110" s="87" t="s">
        <v>64</v>
      </c>
      <c r="D110" s="88" t="s">
        <v>2024</v>
      </c>
      <c r="E110" s="87" t="s">
        <v>2025</v>
      </c>
      <c r="F110" s="87" t="s">
        <v>2026</v>
      </c>
      <c r="G110" s="87" t="s">
        <v>2027</v>
      </c>
      <c r="H110" s="87" t="s">
        <v>2028</v>
      </c>
      <c r="I110" s="87">
        <v>2</v>
      </c>
      <c r="J110" s="88" t="s">
        <v>2029</v>
      </c>
      <c r="K110" s="87"/>
      <c r="M110" s="89" t="s">
        <v>1065</v>
      </c>
    </row>
    <row r="111" spans="1:13" ht="84.5" customHeight="1">
      <c r="A111" s="15">
        <v>108</v>
      </c>
      <c r="B111" s="87" t="s">
        <v>63</v>
      </c>
      <c r="C111" s="87" t="s">
        <v>65</v>
      </c>
      <c r="D111" s="88" t="s">
        <v>2030</v>
      </c>
      <c r="E111" s="87" t="s">
        <v>2031</v>
      </c>
      <c r="F111" s="87" t="s">
        <v>2032</v>
      </c>
      <c r="G111" s="87" t="s">
        <v>2033</v>
      </c>
      <c r="H111" s="87" t="s">
        <v>2034</v>
      </c>
      <c r="I111" s="87">
        <v>3</v>
      </c>
      <c r="J111" s="88" t="s">
        <v>2035</v>
      </c>
      <c r="K111" s="87"/>
      <c r="M111" s="89" t="s">
        <v>1065</v>
      </c>
    </row>
    <row r="112" spans="1:13" ht="101.25" customHeight="1">
      <c r="A112" s="15">
        <v>109</v>
      </c>
      <c r="B112" s="87" t="s">
        <v>63</v>
      </c>
      <c r="C112" s="87" t="s">
        <v>64</v>
      </c>
      <c r="D112" s="88" t="s">
        <v>2036</v>
      </c>
      <c r="E112" s="87" t="s">
        <v>2037</v>
      </c>
      <c r="F112" s="87" t="s">
        <v>2038</v>
      </c>
      <c r="G112" s="87" t="s">
        <v>2039</v>
      </c>
      <c r="H112" s="87" t="s">
        <v>2040</v>
      </c>
      <c r="I112" s="87">
        <v>4</v>
      </c>
      <c r="J112" s="88" t="s">
        <v>2041</v>
      </c>
      <c r="K112" s="87"/>
      <c r="M112" s="89" t="s">
        <v>1065</v>
      </c>
    </row>
    <row r="113" spans="1:13" ht="101.25" customHeight="1">
      <c r="A113" s="15">
        <v>110</v>
      </c>
      <c r="B113" s="87" t="s">
        <v>63</v>
      </c>
      <c r="C113" s="87" t="s">
        <v>64</v>
      </c>
      <c r="D113" s="88" t="s">
        <v>2042</v>
      </c>
      <c r="E113" s="87" t="s">
        <v>2043</v>
      </c>
      <c r="F113" s="87" t="s">
        <v>2044</v>
      </c>
      <c r="G113" s="87" t="s">
        <v>2045</v>
      </c>
      <c r="H113" s="87" t="s">
        <v>2046</v>
      </c>
      <c r="I113" s="87">
        <v>4</v>
      </c>
      <c r="J113" s="88" t="s">
        <v>2047</v>
      </c>
      <c r="K113" s="87"/>
      <c r="M113" s="89" t="s">
        <v>1065</v>
      </c>
    </row>
    <row r="114" spans="1:13" ht="84.5" customHeight="1">
      <c r="A114" s="15">
        <v>111</v>
      </c>
      <c r="B114" s="87" t="s">
        <v>63</v>
      </c>
      <c r="C114" s="87" t="s">
        <v>64</v>
      </c>
      <c r="D114" s="88" t="s">
        <v>2048</v>
      </c>
      <c r="E114" s="87" t="s">
        <v>2049</v>
      </c>
      <c r="F114" s="87" t="s">
        <v>2050</v>
      </c>
      <c r="G114" s="87" t="s">
        <v>2051</v>
      </c>
      <c r="H114" s="87" t="s">
        <v>2052</v>
      </c>
      <c r="I114" s="87">
        <v>2</v>
      </c>
      <c r="J114" s="88" t="s">
        <v>2053</v>
      </c>
      <c r="K114" s="87"/>
      <c r="M114" s="89" t="s">
        <v>1065</v>
      </c>
    </row>
    <row r="115" spans="1:13" ht="101.25" customHeight="1">
      <c r="A115" s="15">
        <v>112</v>
      </c>
      <c r="B115" s="87" t="s">
        <v>63</v>
      </c>
      <c r="C115" s="87" t="s">
        <v>64</v>
      </c>
      <c r="D115" s="88" t="s">
        <v>2054</v>
      </c>
      <c r="E115" s="87" t="s">
        <v>2055</v>
      </c>
      <c r="F115" s="87" t="s">
        <v>2056</v>
      </c>
      <c r="G115" s="87" t="s">
        <v>2057</v>
      </c>
      <c r="H115" s="87" t="s">
        <v>2058</v>
      </c>
      <c r="I115" s="87">
        <v>3</v>
      </c>
      <c r="J115" s="88" t="s">
        <v>2059</v>
      </c>
      <c r="K115" s="87"/>
      <c r="M115" s="89" t="s">
        <v>1065</v>
      </c>
    </row>
    <row r="116" spans="1:13" ht="101.25" customHeight="1">
      <c r="A116" s="15">
        <v>113</v>
      </c>
      <c r="B116" s="87" t="s">
        <v>63</v>
      </c>
      <c r="C116" s="87" t="s">
        <v>65</v>
      </c>
      <c r="D116" s="88" t="s">
        <v>2060</v>
      </c>
      <c r="E116" s="87" t="s">
        <v>2061</v>
      </c>
      <c r="F116" s="87" t="s">
        <v>2062</v>
      </c>
      <c r="G116" s="87" t="s">
        <v>2063</v>
      </c>
      <c r="H116" s="87" t="s">
        <v>2064</v>
      </c>
      <c r="I116" s="87">
        <v>3</v>
      </c>
      <c r="J116" s="88" t="s">
        <v>2065</v>
      </c>
      <c r="K116" s="87"/>
      <c r="M116" s="89" t="s">
        <v>1065</v>
      </c>
    </row>
    <row r="117" spans="1:13" ht="84.5" customHeight="1">
      <c r="A117" s="15">
        <v>114</v>
      </c>
      <c r="B117" s="87" t="s">
        <v>63</v>
      </c>
      <c r="C117" s="87" t="s">
        <v>65</v>
      </c>
      <c r="D117" s="88" t="s">
        <v>2066</v>
      </c>
      <c r="E117" s="87" t="s">
        <v>2067</v>
      </c>
      <c r="F117" s="87" t="s">
        <v>2068</v>
      </c>
      <c r="G117" s="87" t="s">
        <v>2069</v>
      </c>
      <c r="H117" s="87" t="s">
        <v>2070</v>
      </c>
      <c r="I117" s="87">
        <v>4</v>
      </c>
      <c r="J117" s="88" t="s">
        <v>2071</v>
      </c>
      <c r="K117" s="87"/>
      <c r="M117" s="89" t="s">
        <v>1065</v>
      </c>
    </row>
    <row r="118" spans="1:13" ht="101.25" customHeight="1">
      <c r="A118" s="15">
        <v>115</v>
      </c>
      <c r="B118" s="87" t="s">
        <v>63</v>
      </c>
      <c r="C118" s="87" t="s">
        <v>65</v>
      </c>
      <c r="D118" s="88" t="s">
        <v>2072</v>
      </c>
      <c r="E118" s="87" t="s">
        <v>2073</v>
      </c>
      <c r="F118" s="87" t="s">
        <v>2074</v>
      </c>
      <c r="G118" s="87" t="s">
        <v>2075</v>
      </c>
      <c r="H118" s="87" t="s">
        <v>2076</v>
      </c>
      <c r="I118" s="87">
        <v>3</v>
      </c>
      <c r="J118" s="88" t="s">
        <v>2077</v>
      </c>
      <c r="K118" s="87"/>
      <c r="M118" s="89" t="s">
        <v>1065</v>
      </c>
    </row>
    <row r="119" spans="1:13" ht="101.25" customHeight="1">
      <c r="A119" s="15">
        <v>116</v>
      </c>
      <c r="B119" s="87" t="s">
        <v>63</v>
      </c>
      <c r="C119" s="87" t="s">
        <v>64</v>
      </c>
      <c r="D119" s="88" t="s">
        <v>2078</v>
      </c>
      <c r="E119" s="87" t="s">
        <v>2079</v>
      </c>
      <c r="F119" s="87" t="s">
        <v>2080</v>
      </c>
      <c r="G119" s="87" t="s">
        <v>2081</v>
      </c>
      <c r="H119" s="87" t="s">
        <v>2082</v>
      </c>
      <c r="I119" s="87">
        <v>3</v>
      </c>
      <c r="J119" s="88" t="s">
        <v>2083</v>
      </c>
      <c r="K119" s="87"/>
      <c r="M119" s="89" t="s">
        <v>1065</v>
      </c>
    </row>
    <row r="120" spans="1:13" ht="84.5" customHeight="1">
      <c r="A120" s="15">
        <v>117</v>
      </c>
      <c r="B120" s="87" t="s">
        <v>63</v>
      </c>
      <c r="C120" s="87" t="s">
        <v>64</v>
      </c>
      <c r="D120" s="88" t="s">
        <v>2084</v>
      </c>
      <c r="E120" s="87" t="s">
        <v>2085</v>
      </c>
      <c r="F120" s="87" t="s">
        <v>2086</v>
      </c>
      <c r="G120" s="87" t="s">
        <v>2087</v>
      </c>
      <c r="H120" s="87" t="s">
        <v>2088</v>
      </c>
      <c r="I120" s="87">
        <v>4</v>
      </c>
      <c r="J120" s="88" t="s">
        <v>2089</v>
      </c>
      <c r="K120" s="87"/>
      <c r="M120" s="89" t="s">
        <v>1065</v>
      </c>
    </row>
    <row r="121" spans="1:13" ht="84.5" customHeight="1">
      <c r="A121" s="15">
        <v>118</v>
      </c>
      <c r="B121" s="87" t="s">
        <v>59</v>
      </c>
      <c r="C121" s="87" t="s">
        <v>60</v>
      </c>
      <c r="D121" s="88" t="s">
        <v>2090</v>
      </c>
      <c r="E121" s="87" t="s">
        <v>2091</v>
      </c>
      <c r="F121" s="87" t="s">
        <v>2092</v>
      </c>
      <c r="G121" s="87" t="s">
        <v>2093</v>
      </c>
      <c r="H121" s="87" t="s">
        <v>2094</v>
      </c>
      <c r="I121" s="87">
        <v>2</v>
      </c>
      <c r="J121" s="88" t="s">
        <v>2095</v>
      </c>
      <c r="K121" s="87"/>
      <c r="M121" s="89" t="s">
        <v>1065</v>
      </c>
    </row>
    <row r="122" spans="1:13" ht="67.5" customHeight="1">
      <c r="A122" s="15">
        <v>119</v>
      </c>
      <c r="B122" s="87" t="s">
        <v>63</v>
      </c>
      <c r="C122" s="87" t="s">
        <v>65</v>
      </c>
      <c r="D122" s="88" t="s">
        <v>2096</v>
      </c>
      <c r="E122" s="87" t="s">
        <v>2097</v>
      </c>
      <c r="F122" s="87" t="s">
        <v>2098</v>
      </c>
      <c r="G122" s="87" t="s">
        <v>2099</v>
      </c>
      <c r="H122" s="87" t="s">
        <v>2100</v>
      </c>
      <c r="I122" s="87">
        <v>4</v>
      </c>
      <c r="J122" s="88" t="s">
        <v>2101</v>
      </c>
      <c r="K122" s="87"/>
      <c r="M122" s="89" t="s">
        <v>1065</v>
      </c>
    </row>
    <row r="123" spans="1:13" ht="101.25" customHeight="1">
      <c r="A123" s="15">
        <v>120</v>
      </c>
      <c r="B123" s="87" t="s">
        <v>63</v>
      </c>
      <c r="C123" s="87" t="s">
        <v>64</v>
      </c>
      <c r="D123" s="88" t="s">
        <v>2102</v>
      </c>
      <c r="E123" s="87" t="s">
        <v>2103</v>
      </c>
      <c r="F123" s="87" t="s">
        <v>2104</v>
      </c>
      <c r="G123" s="87" t="s">
        <v>2105</v>
      </c>
      <c r="H123" s="87" t="s">
        <v>2106</v>
      </c>
      <c r="I123" s="87">
        <v>1</v>
      </c>
      <c r="J123" s="88" t="s">
        <v>2107</v>
      </c>
      <c r="K123" s="87"/>
      <c r="M123" s="89" t="s">
        <v>1065</v>
      </c>
    </row>
    <row r="124" spans="1:13" ht="67.5" customHeight="1">
      <c r="A124" s="15">
        <v>121</v>
      </c>
      <c r="B124" s="87" t="s">
        <v>63</v>
      </c>
      <c r="C124" s="87" t="s">
        <v>64</v>
      </c>
      <c r="D124" s="88" t="s">
        <v>2108</v>
      </c>
      <c r="E124" s="87" t="s">
        <v>2109</v>
      </c>
      <c r="F124" s="87" t="s">
        <v>2110</v>
      </c>
      <c r="G124" s="87" t="s">
        <v>2111</v>
      </c>
      <c r="H124" s="87" t="s">
        <v>2112</v>
      </c>
      <c r="I124" s="87">
        <v>3</v>
      </c>
      <c r="J124" s="88" t="s">
        <v>2113</v>
      </c>
      <c r="K124" s="87" t="s">
        <v>2114</v>
      </c>
      <c r="M124" s="89"/>
    </row>
    <row r="125" spans="1:13">
      <c r="A125" s="15"/>
      <c r="B125" s="87"/>
      <c r="C125" s="87"/>
      <c r="D125" s="88"/>
      <c r="E125" s="87"/>
      <c r="F125" s="87"/>
      <c r="G125" s="87"/>
      <c r="H125" s="87"/>
      <c r="I125" s="87"/>
      <c r="J125" s="88"/>
      <c r="K125" s="87"/>
      <c r="M125" s="89"/>
    </row>
    <row r="126" spans="1:13">
      <c r="A126" s="15"/>
      <c r="B126" s="87"/>
      <c r="C126" s="87"/>
      <c r="D126" s="88"/>
      <c r="E126" s="87"/>
      <c r="F126" s="87"/>
      <c r="G126" s="87"/>
      <c r="H126" s="87"/>
      <c r="I126" s="87"/>
      <c r="J126" s="88"/>
      <c r="K126" s="87"/>
      <c r="M126" s="89"/>
    </row>
    <row r="127" spans="1:13">
      <c r="A127" s="15"/>
      <c r="B127" s="87"/>
      <c r="C127" s="87"/>
      <c r="D127" s="88"/>
      <c r="E127" s="87"/>
      <c r="F127" s="87"/>
      <c r="G127" s="87"/>
      <c r="H127" s="87"/>
      <c r="I127" s="87"/>
      <c r="J127" s="88"/>
      <c r="K127" s="87"/>
      <c r="M127" s="89"/>
    </row>
    <row r="128" spans="1:13">
      <c r="A128" s="15"/>
      <c r="B128" s="87"/>
      <c r="C128" s="87"/>
      <c r="D128" s="88"/>
      <c r="E128" s="87"/>
      <c r="F128" s="87"/>
      <c r="G128" s="87"/>
      <c r="H128" s="87"/>
      <c r="I128" s="87"/>
      <c r="J128" s="88"/>
      <c r="K128" s="87"/>
      <c r="M128" s="89"/>
    </row>
    <row r="129" spans="1:13">
      <c r="A129" s="15"/>
      <c r="B129" s="87"/>
      <c r="C129" s="87"/>
      <c r="D129" s="88"/>
      <c r="E129" s="87"/>
      <c r="F129" s="87"/>
      <c r="G129" s="87"/>
      <c r="H129" s="87"/>
      <c r="I129" s="87"/>
      <c r="J129" s="88"/>
      <c r="K129" s="87"/>
      <c r="M129" s="89"/>
    </row>
    <row r="130" spans="1:13">
      <c r="A130" s="15"/>
      <c r="B130" s="87"/>
      <c r="C130" s="87"/>
      <c r="D130" s="88"/>
      <c r="E130" s="87"/>
      <c r="F130" s="87"/>
      <c r="G130" s="87"/>
      <c r="H130" s="87"/>
      <c r="I130" s="87"/>
      <c r="J130" s="88"/>
      <c r="K130" s="87"/>
      <c r="M130" s="89"/>
    </row>
    <row r="131" spans="1:13">
      <c r="A131" s="15"/>
      <c r="B131" s="87"/>
      <c r="C131" s="87"/>
      <c r="D131" s="88"/>
      <c r="E131" s="87"/>
      <c r="F131" s="87"/>
      <c r="G131" s="87"/>
      <c r="H131" s="87"/>
      <c r="I131" s="87"/>
      <c r="J131" s="88"/>
      <c r="K131" s="87"/>
      <c r="M131" s="89"/>
    </row>
    <row r="132" spans="1:13">
      <c r="A132" s="15"/>
      <c r="B132" s="87"/>
      <c r="C132" s="87"/>
      <c r="D132" s="88"/>
      <c r="E132" s="87"/>
      <c r="F132" s="87"/>
      <c r="G132" s="87"/>
      <c r="H132" s="87"/>
      <c r="I132" s="87"/>
      <c r="J132" s="88"/>
      <c r="K132" s="87"/>
      <c r="M132" s="89"/>
    </row>
    <row r="133" spans="1:13">
      <c r="A133" s="15"/>
      <c r="B133" s="87"/>
      <c r="C133" s="87"/>
      <c r="D133" s="88"/>
      <c r="E133" s="87"/>
      <c r="F133" s="87"/>
      <c r="G133" s="87"/>
      <c r="H133" s="87"/>
      <c r="I133" s="87"/>
      <c r="J133" s="88"/>
      <c r="K133" s="87"/>
      <c r="M133" s="89"/>
    </row>
    <row r="134" spans="1:13">
      <c r="A134" s="15"/>
      <c r="B134" s="87"/>
      <c r="C134" s="87"/>
      <c r="D134" s="88"/>
      <c r="E134" s="87"/>
      <c r="F134" s="87"/>
      <c r="G134" s="87"/>
      <c r="H134" s="87"/>
      <c r="I134" s="87"/>
      <c r="J134" s="88"/>
      <c r="K134" s="87"/>
      <c r="M134" s="89"/>
    </row>
    <row r="135" spans="1:13">
      <c r="A135" s="15"/>
      <c r="B135" s="87"/>
      <c r="C135" s="87"/>
      <c r="D135" s="88"/>
      <c r="E135" s="87"/>
      <c r="F135" s="87"/>
      <c r="G135" s="87"/>
      <c r="H135" s="87"/>
      <c r="I135" s="87"/>
      <c r="J135" s="88"/>
      <c r="K135" s="87"/>
      <c r="M135" s="89"/>
    </row>
    <row r="136" spans="1:13">
      <c r="A136" s="15"/>
      <c r="B136" s="87"/>
      <c r="C136" s="87"/>
      <c r="D136" s="88"/>
      <c r="E136" s="87"/>
      <c r="F136" s="87"/>
      <c r="G136" s="87"/>
      <c r="H136" s="87"/>
      <c r="I136" s="87"/>
      <c r="J136" s="88"/>
      <c r="K136" s="87"/>
      <c r="M136" s="89"/>
    </row>
    <row r="137" spans="1:13">
      <c r="A137" s="15"/>
      <c r="B137" s="87"/>
      <c r="C137" s="87"/>
      <c r="D137" s="88"/>
      <c r="E137" s="87"/>
      <c r="F137" s="87"/>
      <c r="G137" s="87"/>
      <c r="H137" s="87"/>
      <c r="I137" s="87"/>
      <c r="J137" s="88"/>
      <c r="K137" s="87"/>
      <c r="M137" s="89"/>
    </row>
    <row r="138" spans="1:13">
      <c r="A138" s="15"/>
      <c r="B138" s="87"/>
      <c r="C138" s="87"/>
      <c r="D138" s="88"/>
      <c r="E138" s="87"/>
      <c r="F138" s="87"/>
      <c r="G138" s="87"/>
      <c r="H138" s="87"/>
      <c r="I138" s="87"/>
      <c r="J138" s="88"/>
      <c r="K138" s="87"/>
      <c r="M138" s="89"/>
    </row>
    <row r="139" spans="1:13">
      <c r="A139" s="15"/>
      <c r="B139" s="87"/>
      <c r="C139" s="87"/>
      <c r="D139" s="88"/>
      <c r="E139" s="87"/>
      <c r="F139" s="87"/>
      <c r="G139" s="87"/>
      <c r="H139" s="87"/>
      <c r="I139" s="87"/>
      <c r="J139" s="88"/>
      <c r="K139" s="87"/>
      <c r="M139" s="89"/>
    </row>
    <row r="140" spans="1:13">
      <c r="A140" s="15"/>
      <c r="B140" s="87"/>
      <c r="C140" s="87"/>
      <c r="D140" s="88"/>
      <c r="E140" s="87"/>
      <c r="F140" s="87"/>
      <c r="G140" s="87"/>
      <c r="H140" s="87"/>
      <c r="I140" s="87"/>
      <c r="J140" s="88"/>
      <c r="K140" s="87"/>
      <c r="M140" s="89"/>
    </row>
    <row r="141" spans="1:13">
      <c r="A141" s="15"/>
      <c r="B141" s="87"/>
      <c r="C141" s="87"/>
      <c r="D141" s="88"/>
      <c r="E141" s="87"/>
      <c r="F141" s="87"/>
      <c r="G141" s="87"/>
      <c r="H141" s="87"/>
      <c r="I141" s="87"/>
      <c r="J141" s="88"/>
      <c r="K141" s="87"/>
      <c r="M141" s="89"/>
    </row>
    <row r="142" spans="1:13">
      <c r="A142" s="15"/>
      <c r="B142" s="87"/>
      <c r="C142" s="87"/>
      <c r="D142" s="88"/>
      <c r="E142" s="87"/>
      <c r="F142" s="87"/>
      <c r="G142" s="87"/>
      <c r="H142" s="87"/>
      <c r="I142" s="87"/>
      <c r="J142" s="88"/>
      <c r="K142" s="87"/>
      <c r="M142" s="89"/>
    </row>
    <row r="143" spans="1:13">
      <c r="A143" s="15"/>
      <c r="B143" s="87"/>
      <c r="C143" s="87"/>
      <c r="D143" s="88"/>
      <c r="E143" s="87"/>
      <c r="F143" s="87"/>
      <c r="G143" s="87"/>
      <c r="H143" s="87"/>
      <c r="I143" s="87"/>
      <c r="J143" s="88"/>
      <c r="K143" s="87"/>
      <c r="M143" s="89"/>
    </row>
    <row r="144" spans="1:13">
      <c r="A144" s="15"/>
      <c r="B144" s="87"/>
      <c r="C144" s="87"/>
      <c r="D144" s="88"/>
      <c r="E144" s="87"/>
      <c r="F144" s="87"/>
      <c r="G144" s="87"/>
      <c r="H144" s="87"/>
      <c r="I144" s="87"/>
      <c r="J144" s="88"/>
      <c r="K144" s="87"/>
      <c r="M144" s="89"/>
    </row>
    <row r="145" spans="1:13">
      <c r="A145" s="15"/>
      <c r="B145" s="87"/>
      <c r="C145" s="87"/>
      <c r="D145" s="88"/>
      <c r="E145" s="87"/>
      <c r="F145" s="87"/>
      <c r="G145" s="87"/>
      <c r="H145" s="87"/>
      <c r="I145" s="87"/>
      <c r="J145" s="88"/>
      <c r="K145" s="87"/>
      <c r="M145" s="89"/>
    </row>
    <row r="146" spans="1:13">
      <c r="A146" s="15"/>
      <c r="B146" s="87"/>
      <c r="C146" s="87"/>
      <c r="D146" s="88"/>
      <c r="E146" s="87"/>
      <c r="F146" s="87"/>
      <c r="G146" s="87"/>
      <c r="H146" s="87"/>
      <c r="I146" s="87"/>
      <c r="J146" s="88"/>
      <c r="K146" s="87"/>
      <c r="M146" s="89"/>
    </row>
    <row r="147" spans="1:13">
      <c r="A147" s="15"/>
      <c r="B147" s="87"/>
      <c r="C147" s="87"/>
      <c r="D147" s="88"/>
      <c r="E147" s="87"/>
      <c r="F147" s="87"/>
      <c r="G147" s="87"/>
      <c r="H147" s="87"/>
      <c r="I147" s="87"/>
      <c r="J147" s="88"/>
      <c r="K147" s="87"/>
      <c r="M147" s="89"/>
    </row>
    <row r="148" spans="1:13">
      <c r="A148" s="15"/>
      <c r="B148" s="87"/>
      <c r="C148" s="87"/>
      <c r="D148" s="88"/>
      <c r="E148" s="87"/>
      <c r="F148" s="87"/>
      <c r="G148" s="87"/>
      <c r="H148" s="87"/>
      <c r="I148" s="87"/>
      <c r="J148" s="88"/>
      <c r="K148" s="87"/>
      <c r="M148" s="89"/>
    </row>
    <row r="149" spans="1:13">
      <c r="A149" s="15"/>
      <c r="B149" s="87"/>
      <c r="C149" s="87"/>
      <c r="D149" s="88"/>
      <c r="E149" s="87"/>
      <c r="F149" s="87"/>
      <c r="G149" s="87"/>
      <c r="H149" s="87"/>
      <c r="I149" s="87"/>
      <c r="J149" s="88"/>
      <c r="K149" s="87"/>
      <c r="M149" s="89"/>
    </row>
    <row r="150" spans="1:13">
      <c r="A150" s="15"/>
      <c r="B150" s="87"/>
      <c r="C150" s="87"/>
      <c r="D150" s="88"/>
      <c r="E150" s="87"/>
      <c r="F150" s="87"/>
      <c r="G150" s="87"/>
      <c r="H150" s="87"/>
      <c r="I150" s="87"/>
      <c r="J150" s="88"/>
      <c r="K150" s="87"/>
      <c r="M150" s="89"/>
    </row>
    <row r="151" spans="1:13">
      <c r="A151" s="15"/>
      <c r="B151" s="87"/>
      <c r="C151" s="87"/>
      <c r="D151" s="88"/>
      <c r="E151" s="87"/>
      <c r="F151" s="87"/>
      <c r="G151" s="87"/>
      <c r="H151" s="87"/>
      <c r="I151" s="87"/>
      <c r="J151" s="88"/>
      <c r="K151" s="87"/>
      <c r="M151" s="89"/>
    </row>
    <row r="152" spans="1:13">
      <c r="A152" s="15"/>
      <c r="B152" s="87"/>
      <c r="C152" s="87"/>
      <c r="D152" s="88"/>
      <c r="E152" s="87"/>
      <c r="F152" s="87"/>
      <c r="G152" s="87"/>
      <c r="H152" s="87"/>
      <c r="I152" s="87"/>
      <c r="J152" s="88"/>
      <c r="K152" s="87"/>
      <c r="M152" s="89"/>
    </row>
    <row r="153" spans="1:13">
      <c r="A153" s="15"/>
      <c r="B153" s="87"/>
      <c r="C153" s="87"/>
      <c r="D153" s="88"/>
      <c r="E153" s="87"/>
      <c r="F153" s="87"/>
      <c r="G153" s="87"/>
      <c r="H153" s="87"/>
      <c r="I153" s="87"/>
      <c r="J153" s="88"/>
      <c r="K153" s="87"/>
      <c r="M153" s="89"/>
    </row>
    <row r="154" spans="1:13">
      <c r="A154" s="15"/>
      <c r="B154" s="87"/>
      <c r="C154" s="87"/>
      <c r="D154" s="88"/>
      <c r="E154" s="87"/>
      <c r="F154" s="87"/>
      <c r="G154" s="87"/>
      <c r="H154" s="87"/>
      <c r="I154" s="87"/>
      <c r="J154" s="88"/>
      <c r="K154" s="87"/>
      <c r="M154" s="89"/>
    </row>
    <row r="155" spans="1:13">
      <c r="A155" s="15"/>
      <c r="B155" s="87"/>
      <c r="C155" s="87"/>
      <c r="D155" s="88"/>
      <c r="E155" s="87"/>
      <c r="F155" s="87"/>
      <c r="G155" s="87"/>
      <c r="H155" s="87"/>
      <c r="I155" s="87"/>
      <c r="J155" s="88"/>
      <c r="K155" s="87"/>
      <c r="M155" s="89"/>
    </row>
    <row r="156" spans="1:13">
      <c r="A156" s="15"/>
      <c r="B156" s="87"/>
      <c r="C156" s="87"/>
      <c r="D156" s="88"/>
      <c r="E156" s="87"/>
      <c r="F156" s="87"/>
      <c r="G156" s="87"/>
      <c r="H156" s="87"/>
      <c r="I156" s="87"/>
      <c r="J156" s="88"/>
      <c r="K156" s="87"/>
      <c r="M156" s="89"/>
    </row>
    <row r="157" spans="1:13">
      <c r="A157" s="15"/>
      <c r="B157" s="87"/>
      <c r="C157" s="87"/>
      <c r="D157" s="88"/>
      <c r="E157" s="87"/>
      <c r="F157" s="87"/>
      <c r="G157" s="87"/>
      <c r="H157" s="87"/>
      <c r="I157" s="87"/>
      <c r="J157" s="88"/>
      <c r="K157" s="87"/>
      <c r="M157" s="89"/>
    </row>
    <row r="158" spans="1:13">
      <c r="A158" s="15"/>
      <c r="B158" s="87"/>
      <c r="C158" s="87"/>
      <c r="D158" s="88"/>
      <c r="E158" s="87"/>
      <c r="F158" s="87"/>
      <c r="G158" s="87"/>
      <c r="H158" s="87"/>
      <c r="I158" s="87"/>
      <c r="J158" s="88"/>
      <c r="K158" s="87"/>
      <c r="M158" s="89"/>
    </row>
    <row r="159" spans="1:13">
      <c r="A159" s="15"/>
      <c r="B159" s="87"/>
      <c r="C159" s="87"/>
      <c r="D159" s="88"/>
      <c r="E159" s="87"/>
      <c r="F159" s="87"/>
      <c r="G159" s="87"/>
      <c r="H159" s="87"/>
      <c r="I159" s="87"/>
      <c r="J159" s="88"/>
      <c r="K159" s="87"/>
      <c r="M159" s="89"/>
    </row>
    <row r="160" spans="1:13">
      <c r="A160" s="15"/>
      <c r="B160" s="87"/>
      <c r="C160" s="87"/>
      <c r="D160" s="88"/>
      <c r="E160" s="87"/>
      <c r="F160" s="87"/>
      <c r="G160" s="87"/>
      <c r="H160" s="87"/>
      <c r="I160" s="87"/>
      <c r="J160" s="88"/>
      <c r="K160" s="87"/>
      <c r="M160" s="89"/>
    </row>
    <row r="161" spans="1:13">
      <c r="A161" s="15"/>
      <c r="B161" s="87"/>
      <c r="C161" s="87"/>
      <c r="D161" s="88"/>
      <c r="E161" s="87"/>
      <c r="F161" s="87"/>
      <c r="G161" s="87"/>
      <c r="H161" s="87"/>
      <c r="I161" s="87"/>
      <c r="J161" s="88"/>
      <c r="K161" s="87"/>
      <c r="M161" s="89"/>
    </row>
    <row r="162" spans="1:13">
      <c r="A162" s="15"/>
      <c r="B162" s="87"/>
      <c r="C162" s="87"/>
      <c r="D162" s="88"/>
      <c r="E162" s="87"/>
      <c r="F162" s="87"/>
      <c r="G162" s="87"/>
      <c r="H162" s="87"/>
      <c r="I162" s="87"/>
      <c r="J162" s="88"/>
      <c r="K162" s="87"/>
      <c r="M162" s="89"/>
    </row>
    <row r="163" spans="1:13">
      <c r="A163" s="15"/>
      <c r="B163" s="87"/>
      <c r="C163" s="87"/>
      <c r="D163" s="88"/>
      <c r="E163" s="87"/>
      <c r="F163" s="87"/>
      <c r="G163" s="87"/>
      <c r="H163" s="87"/>
      <c r="I163" s="87"/>
      <c r="J163" s="88"/>
      <c r="K163" s="87"/>
      <c r="M163" s="89"/>
    </row>
    <row r="164" spans="1:13">
      <c r="A164" s="15"/>
      <c r="B164" s="87"/>
      <c r="C164" s="87"/>
      <c r="D164" s="88"/>
      <c r="E164" s="87"/>
      <c r="F164" s="87"/>
      <c r="G164" s="87"/>
      <c r="H164" s="87"/>
      <c r="I164" s="87"/>
      <c r="J164" s="88"/>
      <c r="K164" s="87"/>
      <c r="M164" s="89"/>
    </row>
    <row r="165" spans="1:13">
      <c r="A165" s="15"/>
      <c r="B165" s="87"/>
      <c r="C165" s="87"/>
      <c r="D165" s="88"/>
      <c r="E165" s="87"/>
      <c r="F165" s="87"/>
      <c r="G165" s="87"/>
      <c r="H165" s="87"/>
      <c r="I165" s="87"/>
      <c r="J165" s="88"/>
      <c r="K165" s="87"/>
      <c r="M165" s="89"/>
    </row>
    <row r="166" spans="1:13">
      <c r="A166" s="15"/>
      <c r="B166" s="87"/>
      <c r="C166" s="87"/>
      <c r="D166" s="88"/>
      <c r="E166" s="87"/>
      <c r="F166" s="87"/>
      <c r="G166" s="87"/>
      <c r="H166" s="87"/>
      <c r="I166" s="87"/>
      <c r="J166" s="88"/>
      <c r="K166" s="87"/>
      <c r="M166" s="89"/>
    </row>
    <row r="167" spans="1:13">
      <c r="A167" s="15"/>
      <c r="B167" s="87"/>
      <c r="C167" s="87"/>
      <c r="D167" s="88"/>
      <c r="E167" s="87"/>
      <c r="F167" s="87"/>
      <c r="G167" s="87"/>
      <c r="H167" s="87"/>
      <c r="I167" s="87"/>
      <c r="J167" s="88"/>
      <c r="K167" s="87"/>
      <c r="M167" s="89"/>
    </row>
    <row r="168" spans="1:13">
      <c r="A168" s="15"/>
      <c r="B168" s="87"/>
      <c r="C168" s="87"/>
      <c r="D168" s="88"/>
      <c r="E168" s="87"/>
      <c r="F168" s="87"/>
      <c r="G168" s="87"/>
      <c r="H168" s="87"/>
      <c r="I168" s="87"/>
      <c r="J168" s="88"/>
      <c r="K168" s="87"/>
      <c r="M168" s="89"/>
    </row>
    <row r="169" spans="1:13">
      <c r="A169" s="15"/>
      <c r="B169" s="87"/>
      <c r="C169" s="87"/>
      <c r="D169" s="88"/>
      <c r="E169" s="87"/>
      <c r="F169" s="87"/>
      <c r="G169" s="87"/>
      <c r="H169" s="87"/>
      <c r="I169" s="87"/>
      <c r="J169" s="88"/>
      <c r="K169" s="87"/>
      <c r="M169" s="89"/>
    </row>
    <row r="170" spans="1:13">
      <c r="A170" s="15"/>
      <c r="B170" s="87"/>
      <c r="C170" s="87"/>
      <c r="D170" s="88"/>
      <c r="E170" s="87"/>
      <c r="F170" s="87"/>
      <c r="G170" s="87"/>
      <c r="H170" s="87"/>
      <c r="I170" s="87"/>
      <c r="J170" s="88"/>
      <c r="K170" s="87"/>
      <c r="M170" s="89"/>
    </row>
    <row r="171" spans="1:13">
      <c r="A171" s="15"/>
      <c r="B171" s="87"/>
      <c r="C171" s="87"/>
      <c r="D171" s="88"/>
      <c r="E171" s="87"/>
      <c r="F171" s="87"/>
      <c r="G171" s="87"/>
      <c r="H171" s="87"/>
      <c r="I171" s="87"/>
      <c r="J171" s="88"/>
      <c r="K171" s="87"/>
      <c r="M171" s="89"/>
    </row>
    <row r="172" spans="1:13">
      <c r="A172" s="15"/>
      <c r="B172" s="87"/>
      <c r="C172" s="87"/>
      <c r="D172" s="88"/>
      <c r="E172" s="87"/>
      <c r="F172" s="87"/>
      <c r="G172" s="87"/>
      <c r="H172" s="87"/>
      <c r="I172" s="87"/>
      <c r="J172" s="88"/>
      <c r="K172" s="87"/>
      <c r="M172" s="89"/>
    </row>
    <row r="173" spans="1:13">
      <c r="A173" s="15"/>
      <c r="B173" s="87"/>
      <c r="C173" s="87"/>
      <c r="D173" s="88"/>
      <c r="E173" s="87"/>
      <c r="F173" s="87"/>
      <c r="G173" s="87"/>
      <c r="H173" s="87"/>
      <c r="I173" s="87"/>
      <c r="J173" s="88"/>
      <c r="K173" s="87"/>
      <c r="M173" s="89"/>
    </row>
    <row r="174" spans="1:13">
      <c r="A174" s="15"/>
      <c r="B174" s="87"/>
      <c r="C174" s="87"/>
      <c r="D174" s="88"/>
      <c r="E174" s="87"/>
      <c r="F174" s="87"/>
      <c r="G174" s="87"/>
      <c r="H174" s="87"/>
      <c r="I174" s="87"/>
      <c r="J174" s="88"/>
      <c r="K174" s="87"/>
      <c r="M174" s="89"/>
    </row>
    <row r="175" spans="1:13">
      <c r="A175" s="15"/>
      <c r="B175" s="87"/>
      <c r="C175" s="87"/>
      <c r="D175" s="88"/>
      <c r="E175" s="87"/>
      <c r="F175" s="87"/>
      <c r="G175" s="87"/>
      <c r="H175" s="87"/>
      <c r="I175" s="87"/>
      <c r="J175" s="88"/>
      <c r="K175" s="87"/>
      <c r="M175" s="89"/>
    </row>
    <row r="176" spans="1:13">
      <c r="A176" s="15"/>
      <c r="B176" s="87"/>
      <c r="C176" s="87"/>
      <c r="D176" s="88"/>
      <c r="E176" s="87"/>
      <c r="F176" s="87"/>
      <c r="G176" s="87"/>
      <c r="H176" s="87"/>
      <c r="I176" s="87"/>
      <c r="J176" s="88"/>
      <c r="K176" s="87"/>
      <c r="M176" s="89"/>
    </row>
    <row r="177" spans="1:13">
      <c r="A177" s="15"/>
      <c r="B177" s="87"/>
      <c r="C177" s="87"/>
      <c r="D177" s="88"/>
      <c r="E177" s="87"/>
      <c r="F177" s="87"/>
      <c r="G177" s="87"/>
      <c r="H177" s="87"/>
      <c r="I177" s="87"/>
      <c r="J177" s="88"/>
      <c r="K177" s="87"/>
      <c r="M177" s="89"/>
    </row>
    <row r="178" spans="1:13">
      <c r="A178" s="15"/>
      <c r="B178" s="87"/>
      <c r="C178" s="87"/>
      <c r="D178" s="88"/>
      <c r="E178" s="87"/>
      <c r="F178" s="87"/>
      <c r="G178" s="87"/>
      <c r="H178" s="87"/>
      <c r="I178" s="87"/>
      <c r="J178" s="88"/>
      <c r="K178" s="87"/>
      <c r="M178" s="89"/>
    </row>
    <row r="179" spans="1:13">
      <c r="A179" s="15"/>
      <c r="B179" s="87"/>
      <c r="C179" s="87"/>
      <c r="D179" s="88"/>
      <c r="E179" s="87"/>
      <c r="F179" s="87"/>
      <c r="G179" s="87"/>
      <c r="H179" s="87"/>
      <c r="I179" s="87"/>
      <c r="J179" s="88"/>
      <c r="K179" s="87"/>
      <c r="M179" s="89"/>
    </row>
    <row r="180" spans="1:13">
      <c r="A180" s="15"/>
      <c r="B180" s="87"/>
      <c r="C180" s="87"/>
      <c r="D180" s="88"/>
      <c r="E180" s="87"/>
      <c r="F180" s="87"/>
      <c r="G180" s="87"/>
      <c r="H180" s="87"/>
      <c r="I180" s="87"/>
      <c r="J180" s="88"/>
      <c r="K180" s="87"/>
      <c r="M180" s="89"/>
    </row>
    <row r="181" spans="1:13">
      <c r="A181" s="15"/>
      <c r="B181" s="87"/>
      <c r="C181" s="87"/>
      <c r="D181" s="88"/>
      <c r="E181" s="87"/>
      <c r="F181" s="87"/>
      <c r="G181" s="87"/>
      <c r="H181" s="87"/>
      <c r="I181" s="87"/>
      <c r="J181" s="88"/>
      <c r="K181" s="87"/>
      <c r="M181" s="89"/>
    </row>
    <row r="182" spans="1:13">
      <c r="A182" s="15"/>
      <c r="B182" s="87"/>
      <c r="C182" s="87"/>
      <c r="D182" s="88"/>
      <c r="E182" s="87"/>
      <c r="F182" s="87"/>
      <c r="G182" s="87"/>
      <c r="H182" s="87"/>
      <c r="I182" s="87"/>
      <c r="J182" s="88"/>
      <c r="K182" s="87"/>
      <c r="M182" s="89"/>
    </row>
    <row r="183" spans="1:13">
      <c r="A183" s="15"/>
      <c r="B183" s="87"/>
      <c r="C183" s="87"/>
      <c r="D183" s="88"/>
      <c r="E183" s="87"/>
      <c r="F183" s="87"/>
      <c r="G183" s="87"/>
      <c r="H183" s="87"/>
      <c r="I183" s="87"/>
      <c r="J183" s="88"/>
      <c r="K183" s="87"/>
      <c r="M183" s="89"/>
    </row>
  </sheetData>
  <mergeCells count="2">
    <mergeCell ref="A2:L2"/>
    <mergeCell ref="A1:L1"/>
  </mergeCells>
  <phoneticPr fontId="58" type="noConversion"/>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94"/>
  <sheetViews>
    <sheetView zoomScale="85" zoomScaleNormal="85" workbookViewId="0">
      <pane xSplit="3" ySplit="3" topLeftCell="G8" activePane="bottomRight" state="frozen"/>
      <selection activeCell="C120" sqref="C120"/>
      <selection pane="topRight" activeCell="C120" sqref="C120"/>
      <selection pane="bottomLeft" activeCell="C120" sqref="C120"/>
      <selection pane="bottomRight" activeCell="G10" sqref="G10"/>
    </sheetView>
  </sheetViews>
  <sheetFormatPr baseColWidth="10" defaultColWidth="8.5" defaultRowHeight="17"/>
  <cols>
    <col min="1" max="1" width="6" style="12" customWidth="1"/>
    <col min="2" max="2" width="24" style="12" customWidth="1"/>
    <col min="3" max="3" width="28" style="12" customWidth="1"/>
    <col min="4" max="4" width="42" style="13" customWidth="1"/>
    <col min="5" max="8" width="20" style="13" customWidth="1"/>
    <col min="9" max="9" width="10" style="13" customWidth="1"/>
    <col min="10" max="10" width="44" style="13" customWidth="1"/>
    <col min="11" max="11" width="26" style="13" customWidth="1"/>
    <col min="12" max="12" width="11.1640625" style="13" customWidth="1"/>
    <col min="13" max="14" width="8.5" style="2" customWidth="1"/>
    <col min="15" max="16384" width="8.5" style="2"/>
  </cols>
  <sheetData>
    <row r="1" spans="1:13">
      <c r="A1" s="156"/>
      <c r="B1" s="154"/>
      <c r="C1" s="154"/>
      <c r="D1" s="155"/>
      <c r="E1" s="155"/>
      <c r="F1" s="155"/>
      <c r="G1" s="155"/>
      <c r="H1" s="155"/>
      <c r="I1" s="155"/>
      <c r="J1" s="155"/>
      <c r="K1" s="155"/>
      <c r="L1" s="155"/>
    </row>
    <row r="2" spans="1:13" ht="17.25" customHeight="1">
      <c r="A2" s="153" t="s">
        <v>2115</v>
      </c>
      <c r="B2" s="154"/>
      <c r="C2" s="154"/>
      <c r="D2" s="155"/>
      <c r="E2" s="155"/>
      <c r="F2" s="155"/>
      <c r="G2" s="155"/>
      <c r="H2" s="155"/>
      <c r="I2" s="155"/>
      <c r="J2" s="155"/>
      <c r="K2" s="155"/>
      <c r="L2" s="155"/>
    </row>
    <row r="3" spans="1:13" ht="19.5" customHeight="1">
      <c r="A3" s="14" t="s">
        <v>0</v>
      </c>
      <c r="B3" s="14" t="s">
        <v>1</v>
      </c>
      <c r="C3" s="14" t="s">
        <v>2</v>
      </c>
      <c r="D3" s="14" t="s">
        <v>3</v>
      </c>
      <c r="E3" s="14" t="s">
        <v>4</v>
      </c>
      <c r="F3" s="14" t="s">
        <v>5</v>
      </c>
      <c r="G3" s="14" t="s">
        <v>6</v>
      </c>
      <c r="H3" s="14" t="s">
        <v>7</v>
      </c>
      <c r="I3" s="14" t="s">
        <v>8</v>
      </c>
      <c r="J3" s="14" t="s">
        <v>9</v>
      </c>
      <c r="K3" s="14" t="s">
        <v>10</v>
      </c>
      <c r="L3" s="93" t="s">
        <v>737</v>
      </c>
      <c r="M3" s="94" t="s">
        <v>738</v>
      </c>
    </row>
    <row r="4" spans="1:13" ht="72" customHeight="1">
      <c r="A4" s="15">
        <v>1</v>
      </c>
      <c r="B4" s="16" t="s">
        <v>67</v>
      </c>
      <c r="C4" s="17" t="s">
        <v>68</v>
      </c>
      <c r="D4" s="19" t="s">
        <v>2116</v>
      </c>
      <c r="E4" s="18" t="s">
        <v>2117</v>
      </c>
      <c r="F4" s="18" t="s">
        <v>2118</v>
      </c>
      <c r="G4" s="18" t="s">
        <v>2119</v>
      </c>
      <c r="H4" s="18" t="s">
        <v>2120</v>
      </c>
      <c r="I4" s="19">
        <v>1</v>
      </c>
      <c r="J4" s="19" t="s">
        <v>2121</v>
      </c>
      <c r="K4" s="18"/>
      <c r="L4" s="19"/>
    </row>
    <row r="5" spans="1:13" ht="51" customHeight="1">
      <c r="A5" s="15">
        <v>2</v>
      </c>
      <c r="B5" s="16" t="s">
        <v>67</v>
      </c>
      <c r="C5" s="17" t="s">
        <v>68</v>
      </c>
      <c r="D5" s="19" t="s">
        <v>2122</v>
      </c>
      <c r="E5" s="18" t="s">
        <v>2123</v>
      </c>
      <c r="F5" s="18" t="s">
        <v>2124</v>
      </c>
      <c r="G5" s="18" t="s">
        <v>2125</v>
      </c>
      <c r="H5" s="18" t="s">
        <v>2126</v>
      </c>
      <c r="I5" s="19">
        <v>4</v>
      </c>
      <c r="J5" s="19" t="s">
        <v>2127</v>
      </c>
      <c r="K5" s="18" t="s">
        <v>2128</v>
      </c>
      <c r="L5" s="19"/>
    </row>
    <row r="6" spans="1:13" ht="63.75" customHeight="1">
      <c r="A6" s="20">
        <v>3</v>
      </c>
      <c r="B6" s="21" t="s">
        <v>67</v>
      </c>
      <c r="C6" s="22" t="s">
        <v>68</v>
      </c>
      <c r="D6" s="23" t="s">
        <v>2129</v>
      </c>
      <c r="E6" s="23" t="s">
        <v>2130</v>
      </c>
      <c r="F6" s="23" t="s">
        <v>2131</v>
      </c>
      <c r="G6" s="23" t="s">
        <v>2132</v>
      </c>
      <c r="H6" s="23" t="s">
        <v>2133</v>
      </c>
      <c r="I6" s="23">
        <v>2</v>
      </c>
      <c r="J6" s="24" t="s">
        <v>2134</v>
      </c>
      <c r="K6" s="23"/>
      <c r="L6" s="24"/>
    </row>
    <row r="7" spans="1:13" ht="63.75" customHeight="1">
      <c r="A7" s="15">
        <v>4</v>
      </c>
      <c r="B7" s="21" t="s">
        <v>67</v>
      </c>
      <c r="C7" s="22" t="s">
        <v>68</v>
      </c>
      <c r="D7" s="23" t="s">
        <v>2135</v>
      </c>
      <c r="E7" s="24" t="s">
        <v>2136</v>
      </c>
      <c r="F7" s="24" t="s">
        <v>2137</v>
      </c>
      <c r="G7" s="24" t="s">
        <v>2138</v>
      </c>
      <c r="H7" s="24" t="s">
        <v>2139</v>
      </c>
      <c r="I7" s="24">
        <v>3</v>
      </c>
      <c r="J7" s="24" t="s">
        <v>2140</v>
      </c>
      <c r="K7" s="23"/>
      <c r="L7" s="24"/>
    </row>
    <row r="8" spans="1:13" ht="51" customHeight="1">
      <c r="A8" s="15">
        <v>5</v>
      </c>
      <c r="B8" s="16" t="s">
        <v>67</v>
      </c>
      <c r="C8" s="17" t="s">
        <v>69</v>
      </c>
      <c r="D8" s="19" t="s">
        <v>2141</v>
      </c>
      <c r="E8" s="18" t="s">
        <v>2142</v>
      </c>
      <c r="F8" s="18" t="s">
        <v>2143</v>
      </c>
      <c r="G8" s="18" t="s">
        <v>2144</v>
      </c>
      <c r="H8" s="18" t="s">
        <v>2145</v>
      </c>
      <c r="I8" s="19">
        <v>3</v>
      </c>
      <c r="J8" s="19" t="s">
        <v>2146</v>
      </c>
      <c r="K8" s="18"/>
      <c r="L8" s="19"/>
    </row>
    <row r="9" spans="1:13" ht="43.5" customHeight="1">
      <c r="A9" s="20">
        <v>6</v>
      </c>
      <c r="B9" s="21" t="s">
        <v>67</v>
      </c>
      <c r="C9" s="22" t="s">
        <v>70</v>
      </c>
      <c r="D9" s="23" t="s">
        <v>2147</v>
      </c>
      <c r="E9" s="23" t="s">
        <v>2148</v>
      </c>
      <c r="F9" s="23" t="s">
        <v>2149</v>
      </c>
      <c r="G9" s="23" t="s">
        <v>2150</v>
      </c>
      <c r="H9" s="23" t="s">
        <v>2151</v>
      </c>
      <c r="I9" s="24">
        <v>4</v>
      </c>
      <c r="J9" s="24" t="s">
        <v>2152</v>
      </c>
      <c r="K9" s="23"/>
      <c r="L9" s="24"/>
    </row>
    <row r="10" spans="1:13" ht="63.75" customHeight="1">
      <c r="A10" s="15">
        <v>7</v>
      </c>
      <c r="B10" s="21" t="s">
        <v>67</v>
      </c>
      <c r="C10" s="22" t="s">
        <v>70</v>
      </c>
      <c r="D10" s="23" t="s">
        <v>2153</v>
      </c>
      <c r="E10" s="23" t="s">
        <v>2154</v>
      </c>
      <c r="F10" s="23" t="s">
        <v>2155</v>
      </c>
      <c r="G10" s="23" t="s">
        <v>2156</v>
      </c>
      <c r="H10" s="23" t="s">
        <v>2157</v>
      </c>
      <c r="I10" s="24">
        <v>1</v>
      </c>
      <c r="J10" s="24" t="s">
        <v>2158</v>
      </c>
      <c r="K10" s="23"/>
      <c r="L10" s="24"/>
    </row>
    <row r="11" spans="1:13" ht="51" customHeight="1">
      <c r="A11" s="15">
        <v>8</v>
      </c>
      <c r="B11" s="16" t="s">
        <v>67</v>
      </c>
      <c r="C11" s="17" t="s">
        <v>71</v>
      </c>
      <c r="D11" s="19" t="s">
        <v>2159</v>
      </c>
      <c r="E11" s="18" t="s">
        <v>2160</v>
      </c>
      <c r="F11" s="18" t="s">
        <v>2161</v>
      </c>
      <c r="G11" s="18" t="s">
        <v>2162</v>
      </c>
      <c r="H11" s="18" t="s">
        <v>2163</v>
      </c>
      <c r="I11" s="19">
        <v>3</v>
      </c>
      <c r="J11" s="19" t="s">
        <v>2164</v>
      </c>
      <c r="K11" s="18"/>
      <c r="L11" s="19"/>
    </row>
    <row r="12" spans="1:13" s="104" customFormat="1" ht="84.5" customHeight="1">
      <c r="A12" s="99">
        <v>9</v>
      </c>
      <c r="B12" s="100" t="s">
        <v>67</v>
      </c>
      <c r="C12" s="101" t="s">
        <v>71</v>
      </c>
      <c r="D12" s="105" t="s">
        <v>2165</v>
      </c>
      <c r="E12" s="105" t="s">
        <v>2166</v>
      </c>
      <c r="F12" s="105" t="s">
        <v>2167</v>
      </c>
      <c r="G12" s="105" t="s">
        <v>2168</v>
      </c>
      <c r="H12" s="105" t="s">
        <v>2169</v>
      </c>
      <c r="I12" s="105">
        <v>3</v>
      </c>
      <c r="J12" s="105" t="s">
        <v>2170</v>
      </c>
      <c r="K12" s="102"/>
      <c r="L12" s="103">
        <v>260830</v>
      </c>
    </row>
    <row r="13" spans="1:13" ht="51" customHeight="1">
      <c r="A13" s="15">
        <v>10</v>
      </c>
      <c r="B13" s="16" t="s">
        <v>67</v>
      </c>
      <c r="C13" s="17" t="s">
        <v>72</v>
      </c>
      <c r="D13" s="19" t="s">
        <v>2171</v>
      </c>
      <c r="E13" s="18" t="s">
        <v>2172</v>
      </c>
      <c r="F13" s="18" t="s">
        <v>2173</v>
      </c>
      <c r="G13" s="18" t="s">
        <v>2174</v>
      </c>
      <c r="H13" s="18" t="s">
        <v>2175</v>
      </c>
      <c r="I13" s="19">
        <v>2</v>
      </c>
      <c r="J13" s="19" t="s">
        <v>2176</v>
      </c>
      <c r="K13" s="18"/>
      <c r="L13" s="19"/>
    </row>
    <row r="14" spans="1:13" ht="51" customHeight="1">
      <c r="A14" s="15">
        <v>11</v>
      </c>
      <c r="B14" s="21" t="s">
        <v>67</v>
      </c>
      <c r="C14" s="22" t="s">
        <v>72</v>
      </c>
      <c r="D14" s="23" t="s">
        <v>2177</v>
      </c>
      <c r="E14" s="23" t="s">
        <v>2178</v>
      </c>
      <c r="F14" s="23" t="s">
        <v>2179</v>
      </c>
      <c r="G14" s="23" t="s">
        <v>2180</v>
      </c>
      <c r="H14" s="23" t="s">
        <v>2181</v>
      </c>
      <c r="I14" s="24">
        <v>4</v>
      </c>
      <c r="J14" s="24" t="s">
        <v>2182</v>
      </c>
      <c r="K14" s="23"/>
      <c r="L14" s="24"/>
    </row>
    <row r="15" spans="1:13" ht="51" customHeight="1">
      <c r="A15" s="20">
        <v>12</v>
      </c>
      <c r="B15" s="21" t="s">
        <v>67</v>
      </c>
      <c r="C15" s="22" t="s">
        <v>72</v>
      </c>
      <c r="D15" s="23" t="s">
        <v>2183</v>
      </c>
      <c r="E15" s="23" t="s">
        <v>2184</v>
      </c>
      <c r="F15" s="23" t="s">
        <v>2185</v>
      </c>
      <c r="G15" s="23" t="s">
        <v>2186</v>
      </c>
      <c r="H15" s="23" t="s">
        <v>2187</v>
      </c>
      <c r="I15" s="24">
        <v>2</v>
      </c>
      <c r="J15" s="24" t="s">
        <v>2188</v>
      </c>
      <c r="K15" s="23"/>
      <c r="L15" s="24"/>
    </row>
    <row r="16" spans="1:13" ht="43.5" customHeight="1">
      <c r="A16" s="15">
        <v>13</v>
      </c>
      <c r="B16" s="16" t="s">
        <v>67</v>
      </c>
      <c r="C16" s="17" t="s">
        <v>72</v>
      </c>
      <c r="D16" s="18" t="s">
        <v>2189</v>
      </c>
      <c r="E16" s="18" t="s">
        <v>2190</v>
      </c>
      <c r="F16" s="18" t="s">
        <v>2191</v>
      </c>
      <c r="G16" s="18" t="s">
        <v>2192</v>
      </c>
      <c r="H16" s="18" t="s">
        <v>2193</v>
      </c>
      <c r="I16" s="19">
        <v>2</v>
      </c>
      <c r="J16" s="18" t="s">
        <v>2194</v>
      </c>
      <c r="K16" s="18" t="s">
        <v>2195</v>
      </c>
      <c r="L16" s="19"/>
    </row>
    <row r="17" spans="1:12" ht="63.75" customHeight="1">
      <c r="A17" s="15">
        <v>14</v>
      </c>
      <c r="B17" s="16" t="s">
        <v>67</v>
      </c>
      <c r="C17" s="17" t="s">
        <v>73</v>
      </c>
      <c r="D17" s="19" t="s">
        <v>2196</v>
      </c>
      <c r="E17" s="18" t="s">
        <v>2197</v>
      </c>
      <c r="F17" s="18" t="s">
        <v>2198</v>
      </c>
      <c r="G17" s="18" t="s">
        <v>2199</v>
      </c>
      <c r="H17" s="18" t="s">
        <v>2200</v>
      </c>
      <c r="I17" s="19">
        <v>3</v>
      </c>
      <c r="J17" s="19" t="s">
        <v>2201</v>
      </c>
      <c r="K17" s="18"/>
      <c r="L17" s="19"/>
    </row>
    <row r="18" spans="1:12" ht="43.5" customHeight="1">
      <c r="A18" s="20">
        <v>15</v>
      </c>
      <c r="B18" s="16" t="s">
        <v>67</v>
      </c>
      <c r="C18" s="17" t="s">
        <v>73</v>
      </c>
      <c r="D18" s="19" t="s">
        <v>2202</v>
      </c>
      <c r="E18" s="18" t="s">
        <v>2203</v>
      </c>
      <c r="F18" s="18" t="s">
        <v>2204</v>
      </c>
      <c r="G18" s="18" t="s">
        <v>2205</v>
      </c>
      <c r="H18" s="18" t="s">
        <v>2206</v>
      </c>
      <c r="I18" s="19">
        <v>4</v>
      </c>
      <c r="J18" s="19" t="s">
        <v>2207</v>
      </c>
      <c r="K18" s="18"/>
      <c r="L18" s="19"/>
    </row>
    <row r="19" spans="1:12" ht="63.75" customHeight="1">
      <c r="A19" s="15">
        <v>16</v>
      </c>
      <c r="B19" s="16" t="s">
        <v>67</v>
      </c>
      <c r="C19" s="17" t="s">
        <v>73</v>
      </c>
      <c r="D19" s="19" t="s">
        <v>2208</v>
      </c>
      <c r="E19" s="18" t="s">
        <v>2209</v>
      </c>
      <c r="F19" s="18" t="s">
        <v>2210</v>
      </c>
      <c r="G19" s="18" t="s">
        <v>2211</v>
      </c>
      <c r="H19" s="18" t="s">
        <v>2212</v>
      </c>
      <c r="I19" s="19">
        <v>1</v>
      </c>
      <c r="J19" s="19" t="s">
        <v>2213</v>
      </c>
      <c r="K19" s="18"/>
      <c r="L19" s="19"/>
    </row>
    <row r="20" spans="1:12" ht="38.25" customHeight="1">
      <c r="A20" s="15">
        <v>17</v>
      </c>
      <c r="B20" s="16" t="s">
        <v>74</v>
      </c>
      <c r="C20" s="17" t="s">
        <v>75</v>
      </c>
      <c r="D20" s="19" t="s">
        <v>2214</v>
      </c>
      <c r="E20" s="18" t="s">
        <v>2215</v>
      </c>
      <c r="F20" s="18" t="s">
        <v>2216</v>
      </c>
      <c r="G20" s="18" t="s">
        <v>2217</v>
      </c>
      <c r="H20" s="18" t="s">
        <v>2218</v>
      </c>
      <c r="I20" s="19">
        <v>2</v>
      </c>
      <c r="J20" s="19" t="s">
        <v>2219</v>
      </c>
      <c r="K20" s="18"/>
      <c r="L20" s="19"/>
    </row>
    <row r="21" spans="1:12" s="104" customFormat="1" ht="38.25" customHeight="1">
      <c r="A21" s="99">
        <v>18</v>
      </c>
      <c r="B21" s="107" t="s">
        <v>74</v>
      </c>
      <c r="C21" s="108" t="s">
        <v>75</v>
      </c>
      <c r="D21" s="111" t="s">
        <v>2220</v>
      </c>
      <c r="E21" s="110" t="s">
        <v>1648</v>
      </c>
      <c r="F21" s="110" t="s">
        <v>2221</v>
      </c>
      <c r="G21" s="111" t="s">
        <v>2222</v>
      </c>
      <c r="H21" s="111" t="s">
        <v>2223</v>
      </c>
      <c r="I21" s="111">
        <v>4</v>
      </c>
      <c r="J21" s="111" t="s">
        <v>2224</v>
      </c>
      <c r="K21" s="110"/>
      <c r="L21" s="111"/>
    </row>
    <row r="22" spans="1:12" ht="57.75" customHeight="1">
      <c r="A22" s="15">
        <v>19</v>
      </c>
      <c r="B22" s="16" t="s">
        <v>74</v>
      </c>
      <c r="C22" s="17" t="s">
        <v>75</v>
      </c>
      <c r="D22" s="19" t="s">
        <v>2225</v>
      </c>
      <c r="E22" s="18" t="s">
        <v>2226</v>
      </c>
      <c r="F22" s="18" t="s">
        <v>2227</v>
      </c>
      <c r="G22" s="18" t="s">
        <v>2228</v>
      </c>
      <c r="H22" s="18" t="s">
        <v>2229</v>
      </c>
      <c r="I22" s="19">
        <v>4</v>
      </c>
      <c r="J22" s="19" t="s">
        <v>2230</v>
      </c>
      <c r="K22" s="18"/>
      <c r="L22" s="19"/>
    </row>
    <row r="23" spans="1:12" ht="51" customHeight="1">
      <c r="A23" s="15">
        <v>20</v>
      </c>
      <c r="B23" s="16" t="s">
        <v>74</v>
      </c>
      <c r="C23" s="17" t="s">
        <v>75</v>
      </c>
      <c r="D23" s="19" t="s">
        <v>2231</v>
      </c>
      <c r="E23" s="18" t="s">
        <v>2232</v>
      </c>
      <c r="F23" s="18" t="s">
        <v>2233</v>
      </c>
      <c r="G23" s="18" t="s">
        <v>2234</v>
      </c>
      <c r="H23" s="18" t="s">
        <v>2235</v>
      </c>
      <c r="I23" s="19">
        <v>1</v>
      </c>
      <c r="J23" s="19" t="s">
        <v>2236</v>
      </c>
      <c r="K23" s="18"/>
      <c r="L23" s="19"/>
    </row>
    <row r="24" spans="1:12" ht="38.25" customHeight="1">
      <c r="A24" s="20">
        <v>21</v>
      </c>
      <c r="B24" s="16" t="s">
        <v>74</v>
      </c>
      <c r="C24" s="17" t="s">
        <v>76</v>
      </c>
      <c r="D24" s="19" t="s">
        <v>2237</v>
      </c>
      <c r="E24" s="18" t="s">
        <v>2238</v>
      </c>
      <c r="F24" s="18" t="s">
        <v>2239</v>
      </c>
      <c r="G24" s="18" t="s">
        <v>2240</v>
      </c>
      <c r="H24" s="18" t="s">
        <v>2241</v>
      </c>
      <c r="I24" s="19">
        <v>3</v>
      </c>
      <c r="J24" s="19" t="s">
        <v>2242</v>
      </c>
      <c r="K24" s="18"/>
      <c r="L24" s="19"/>
    </row>
    <row r="25" spans="1:12" ht="76.5" customHeight="1">
      <c r="A25" s="15">
        <v>22</v>
      </c>
      <c r="B25" s="16" t="s">
        <v>74</v>
      </c>
      <c r="C25" s="17" t="s">
        <v>76</v>
      </c>
      <c r="D25" s="19" t="s">
        <v>2243</v>
      </c>
      <c r="E25" s="18" t="s">
        <v>2244</v>
      </c>
      <c r="F25" s="18" t="s">
        <v>2245</v>
      </c>
      <c r="G25" s="18" t="s">
        <v>2246</v>
      </c>
      <c r="H25" s="18" t="s">
        <v>2247</v>
      </c>
      <c r="I25" s="19">
        <v>2</v>
      </c>
      <c r="J25" s="19" t="s">
        <v>2248</v>
      </c>
      <c r="K25" s="18"/>
      <c r="L25" s="19"/>
    </row>
    <row r="26" spans="1:12" ht="38.25" customHeight="1">
      <c r="A26" s="15">
        <v>23</v>
      </c>
      <c r="B26" s="16" t="s">
        <v>74</v>
      </c>
      <c r="C26" s="17" t="s">
        <v>77</v>
      </c>
      <c r="D26" s="19" t="s">
        <v>2249</v>
      </c>
      <c r="E26" s="18" t="s">
        <v>2240</v>
      </c>
      <c r="F26" s="18" t="s">
        <v>2239</v>
      </c>
      <c r="G26" s="18" t="s">
        <v>2250</v>
      </c>
      <c r="H26" s="18" t="s">
        <v>2238</v>
      </c>
      <c r="I26" s="19">
        <v>3</v>
      </c>
      <c r="J26" s="19" t="s">
        <v>2251</v>
      </c>
      <c r="K26" s="18"/>
      <c r="L26" s="19"/>
    </row>
    <row r="27" spans="1:12" ht="76.5" customHeight="1">
      <c r="A27" s="20">
        <v>24</v>
      </c>
      <c r="B27" s="16" t="s">
        <v>74</v>
      </c>
      <c r="C27" s="17" t="s">
        <v>77</v>
      </c>
      <c r="D27" s="19" t="s">
        <v>2252</v>
      </c>
      <c r="E27" s="18" t="s">
        <v>2253</v>
      </c>
      <c r="F27" s="18" t="s">
        <v>2254</v>
      </c>
      <c r="G27" s="18" t="s">
        <v>2255</v>
      </c>
      <c r="H27" s="18" t="s">
        <v>2256</v>
      </c>
      <c r="I27" s="19">
        <v>1</v>
      </c>
      <c r="J27" s="19" t="s">
        <v>2257</v>
      </c>
      <c r="K27" s="18"/>
      <c r="L27" s="19"/>
    </row>
    <row r="28" spans="1:12" ht="38.25" customHeight="1">
      <c r="A28" s="15">
        <v>25</v>
      </c>
      <c r="B28" s="21" t="s">
        <v>74</v>
      </c>
      <c r="C28" s="22" t="s">
        <v>77</v>
      </c>
      <c r="D28" s="23" t="s">
        <v>2258</v>
      </c>
      <c r="E28" s="23" t="s">
        <v>2259</v>
      </c>
      <c r="F28" s="23" t="s">
        <v>2260</v>
      </c>
      <c r="G28" s="23" t="s">
        <v>2261</v>
      </c>
      <c r="H28" s="23" t="s">
        <v>2262</v>
      </c>
      <c r="I28" s="24">
        <v>3</v>
      </c>
      <c r="J28" s="24" t="s">
        <v>2263</v>
      </c>
      <c r="K28" s="23" t="s">
        <v>2264</v>
      </c>
      <c r="L28" s="24"/>
    </row>
    <row r="29" spans="1:12" ht="38.25" customHeight="1">
      <c r="A29" s="15">
        <v>26</v>
      </c>
      <c r="B29" s="21" t="s">
        <v>74</v>
      </c>
      <c r="C29" s="22" t="s">
        <v>77</v>
      </c>
      <c r="D29" s="23" t="s">
        <v>2265</v>
      </c>
      <c r="E29" s="23" t="s">
        <v>2266</v>
      </c>
      <c r="F29" s="23" t="s">
        <v>2267</v>
      </c>
      <c r="G29" s="23" t="s">
        <v>2268</v>
      </c>
      <c r="H29" s="23" t="s">
        <v>2269</v>
      </c>
      <c r="I29" s="24">
        <v>3</v>
      </c>
      <c r="J29" s="24" t="s">
        <v>2270</v>
      </c>
      <c r="K29" s="23"/>
      <c r="L29" s="24"/>
    </row>
    <row r="30" spans="1:12" ht="38.25" customHeight="1">
      <c r="A30" s="20">
        <v>27</v>
      </c>
      <c r="B30" s="21" t="s">
        <v>74</v>
      </c>
      <c r="C30" s="22" t="s">
        <v>77</v>
      </c>
      <c r="D30" s="23" t="s">
        <v>2271</v>
      </c>
      <c r="E30" s="23" t="s">
        <v>2272</v>
      </c>
      <c r="F30" s="23" t="s">
        <v>2273</v>
      </c>
      <c r="G30" s="23" t="s">
        <v>2274</v>
      </c>
      <c r="H30" s="23" t="s">
        <v>2275</v>
      </c>
      <c r="I30" s="24">
        <v>2</v>
      </c>
      <c r="J30" s="24" t="s">
        <v>2276</v>
      </c>
      <c r="K30" s="23"/>
      <c r="L30" s="24"/>
    </row>
    <row r="31" spans="1:12" ht="38.25" customHeight="1">
      <c r="A31" s="15">
        <v>28</v>
      </c>
      <c r="B31" s="21" t="s">
        <v>74</v>
      </c>
      <c r="C31" s="22" t="s">
        <v>77</v>
      </c>
      <c r="D31" s="23" t="s">
        <v>2277</v>
      </c>
      <c r="E31" s="23" t="s">
        <v>2278</v>
      </c>
      <c r="F31" s="23" t="s">
        <v>2279</v>
      </c>
      <c r="G31" s="23" t="s">
        <v>2280</v>
      </c>
      <c r="H31" s="23" t="s">
        <v>2281</v>
      </c>
      <c r="I31" s="24">
        <v>1</v>
      </c>
      <c r="J31" s="24" t="s">
        <v>2282</v>
      </c>
      <c r="K31" s="23"/>
      <c r="L31" s="24"/>
    </row>
    <row r="32" spans="1:12" ht="38.25" customHeight="1">
      <c r="A32" s="15">
        <v>29</v>
      </c>
      <c r="B32" s="21" t="s">
        <v>74</v>
      </c>
      <c r="C32" s="22" t="s">
        <v>77</v>
      </c>
      <c r="D32" s="23" t="s">
        <v>2283</v>
      </c>
      <c r="E32" s="23" t="s">
        <v>2284</v>
      </c>
      <c r="F32" s="23" t="s">
        <v>2285</v>
      </c>
      <c r="G32" s="23" t="s">
        <v>2286</v>
      </c>
      <c r="H32" s="23" t="s">
        <v>2287</v>
      </c>
      <c r="I32" s="24">
        <v>2</v>
      </c>
      <c r="J32" s="24" t="s">
        <v>2288</v>
      </c>
      <c r="K32" s="23"/>
      <c r="L32" s="24"/>
    </row>
    <row r="33" spans="1:12" ht="38.25" customHeight="1">
      <c r="A33" s="20">
        <v>30</v>
      </c>
      <c r="B33" s="16" t="s">
        <v>74</v>
      </c>
      <c r="C33" s="17" t="s">
        <v>78</v>
      </c>
      <c r="D33" s="19" t="s">
        <v>2289</v>
      </c>
      <c r="E33" s="18" t="s">
        <v>2238</v>
      </c>
      <c r="F33" s="18" t="s">
        <v>2250</v>
      </c>
      <c r="G33" s="18" t="s">
        <v>2239</v>
      </c>
      <c r="H33" s="18" t="s">
        <v>2240</v>
      </c>
      <c r="I33" s="19">
        <v>1</v>
      </c>
      <c r="J33" s="19" t="s">
        <v>2290</v>
      </c>
      <c r="K33" s="18"/>
      <c r="L33" s="19"/>
    </row>
    <row r="34" spans="1:12" ht="38.25" customHeight="1">
      <c r="A34" s="15">
        <v>31</v>
      </c>
      <c r="B34" s="16" t="s">
        <v>74</v>
      </c>
      <c r="C34" s="17" t="s">
        <v>79</v>
      </c>
      <c r="D34" s="19" t="s">
        <v>2291</v>
      </c>
      <c r="E34" s="18" t="s">
        <v>2250</v>
      </c>
      <c r="F34" s="18" t="s">
        <v>2241</v>
      </c>
      <c r="G34" s="18" t="s">
        <v>2239</v>
      </c>
      <c r="H34" s="18" t="s">
        <v>2240</v>
      </c>
      <c r="I34" s="19">
        <v>2</v>
      </c>
      <c r="J34" s="19" t="s">
        <v>2292</v>
      </c>
      <c r="K34" s="18"/>
      <c r="L34" s="19"/>
    </row>
    <row r="35" spans="1:12" ht="38.25" customHeight="1">
      <c r="A35" s="15">
        <v>32</v>
      </c>
      <c r="B35" s="16" t="s">
        <v>80</v>
      </c>
      <c r="C35" s="17" t="s">
        <v>81</v>
      </c>
      <c r="D35" s="18" t="s">
        <v>2293</v>
      </c>
      <c r="E35" s="19" t="s">
        <v>2294</v>
      </c>
      <c r="F35" s="18" t="s">
        <v>2295</v>
      </c>
      <c r="G35" s="18" t="s">
        <v>2296</v>
      </c>
      <c r="H35" s="18" t="s">
        <v>2297</v>
      </c>
      <c r="I35" s="19">
        <v>1</v>
      </c>
      <c r="J35" s="19" t="s">
        <v>2298</v>
      </c>
      <c r="K35" s="18" t="s">
        <v>2299</v>
      </c>
      <c r="L35" s="19"/>
    </row>
    <row r="36" spans="1:12" ht="38.25" customHeight="1">
      <c r="A36" s="20">
        <v>33</v>
      </c>
      <c r="B36" s="16" t="s">
        <v>80</v>
      </c>
      <c r="C36" s="17" t="s">
        <v>81</v>
      </c>
      <c r="D36" s="19" t="s">
        <v>2300</v>
      </c>
      <c r="E36" s="18" t="s">
        <v>2301</v>
      </c>
      <c r="F36" s="18" t="s">
        <v>2302</v>
      </c>
      <c r="G36" s="18" t="s">
        <v>2303</v>
      </c>
      <c r="H36" s="18" t="s">
        <v>2304</v>
      </c>
      <c r="I36" s="19">
        <v>4</v>
      </c>
      <c r="J36" s="19" t="s">
        <v>2305</v>
      </c>
      <c r="K36" s="18" t="s">
        <v>2306</v>
      </c>
      <c r="L36" s="19"/>
    </row>
    <row r="37" spans="1:12" ht="38.25" customHeight="1">
      <c r="A37" s="15">
        <v>34</v>
      </c>
      <c r="B37" s="16" t="s">
        <v>80</v>
      </c>
      <c r="C37" s="17" t="s">
        <v>82</v>
      </c>
      <c r="D37" s="19" t="s">
        <v>2307</v>
      </c>
      <c r="E37" s="18" t="s">
        <v>2308</v>
      </c>
      <c r="F37" s="18" t="s">
        <v>2309</v>
      </c>
      <c r="G37" s="18" t="s">
        <v>2310</v>
      </c>
      <c r="H37" s="18" t="s">
        <v>2311</v>
      </c>
      <c r="I37" s="19">
        <v>1</v>
      </c>
      <c r="J37" s="19" t="s">
        <v>2312</v>
      </c>
      <c r="K37" s="18" t="s">
        <v>2313</v>
      </c>
      <c r="L37" s="19"/>
    </row>
    <row r="38" spans="1:12" ht="38.25" customHeight="1">
      <c r="A38" s="15">
        <v>35</v>
      </c>
      <c r="B38" s="21" t="s">
        <v>80</v>
      </c>
      <c r="C38" s="22" t="s">
        <v>82</v>
      </c>
      <c r="D38" s="23" t="s">
        <v>2314</v>
      </c>
      <c r="E38" s="23" t="s">
        <v>2315</v>
      </c>
      <c r="F38" s="23" t="s">
        <v>2316</v>
      </c>
      <c r="G38" s="23" t="s">
        <v>2317</v>
      </c>
      <c r="H38" s="23" t="s">
        <v>2318</v>
      </c>
      <c r="I38" s="24">
        <v>3</v>
      </c>
      <c r="J38" s="24" t="s">
        <v>2319</v>
      </c>
      <c r="K38" s="23"/>
      <c r="L38" s="24"/>
    </row>
    <row r="39" spans="1:12" ht="38.25" customHeight="1">
      <c r="A39" s="20">
        <v>36</v>
      </c>
      <c r="B39" s="21" t="s">
        <v>80</v>
      </c>
      <c r="C39" s="22" t="s">
        <v>82</v>
      </c>
      <c r="D39" s="23" t="s">
        <v>2320</v>
      </c>
      <c r="E39" s="23" t="s">
        <v>2321</v>
      </c>
      <c r="F39" s="23" t="s">
        <v>2322</v>
      </c>
      <c r="G39" s="23" t="s">
        <v>2323</v>
      </c>
      <c r="H39" s="23" t="s">
        <v>2324</v>
      </c>
      <c r="I39" s="24">
        <v>3</v>
      </c>
      <c r="J39" s="24" t="s">
        <v>2325</v>
      </c>
      <c r="K39" s="23"/>
      <c r="L39" s="24"/>
    </row>
    <row r="40" spans="1:12" ht="38.25" customHeight="1">
      <c r="A40" s="15">
        <v>37</v>
      </c>
      <c r="B40" s="21" t="s">
        <v>80</v>
      </c>
      <c r="C40" s="22" t="s">
        <v>82</v>
      </c>
      <c r="D40" s="23" t="s">
        <v>2326</v>
      </c>
      <c r="E40" s="23" t="s">
        <v>2327</v>
      </c>
      <c r="F40" s="23" t="s">
        <v>2323</v>
      </c>
      <c r="G40" s="23" t="s">
        <v>2322</v>
      </c>
      <c r="H40" s="23" t="s">
        <v>2321</v>
      </c>
      <c r="I40" s="24">
        <v>3</v>
      </c>
      <c r="J40" s="24" t="s">
        <v>2328</v>
      </c>
      <c r="K40" s="23"/>
      <c r="L40" s="24"/>
    </row>
    <row r="41" spans="1:12" ht="38.25" customHeight="1">
      <c r="A41" s="15">
        <v>38</v>
      </c>
      <c r="B41" s="16" t="s">
        <v>80</v>
      </c>
      <c r="C41" s="17" t="s">
        <v>83</v>
      </c>
      <c r="D41" s="19" t="s">
        <v>2329</v>
      </c>
      <c r="E41" s="18" t="s">
        <v>2330</v>
      </c>
      <c r="F41" s="18" t="s">
        <v>2331</v>
      </c>
      <c r="G41" s="18" t="s">
        <v>2332</v>
      </c>
      <c r="H41" s="18" t="s">
        <v>2333</v>
      </c>
      <c r="I41" s="19">
        <v>2</v>
      </c>
      <c r="J41" s="19" t="s">
        <v>2334</v>
      </c>
      <c r="K41" s="18"/>
      <c r="L41" s="19"/>
    </row>
    <row r="42" spans="1:12" ht="38.25" customHeight="1">
      <c r="A42" s="20">
        <v>39</v>
      </c>
      <c r="B42" s="16" t="s">
        <v>80</v>
      </c>
      <c r="C42" s="17" t="s">
        <v>84</v>
      </c>
      <c r="D42" s="19" t="s">
        <v>2335</v>
      </c>
      <c r="E42" s="18" t="s">
        <v>2336</v>
      </c>
      <c r="F42" s="18" t="s">
        <v>2337</v>
      </c>
      <c r="G42" s="19" t="s">
        <v>2338</v>
      </c>
      <c r="H42" s="18" t="s">
        <v>2339</v>
      </c>
      <c r="I42" s="19">
        <v>3</v>
      </c>
      <c r="J42" s="19" t="s">
        <v>2340</v>
      </c>
      <c r="K42" s="18"/>
      <c r="L42" s="19"/>
    </row>
    <row r="43" spans="1:12" ht="38.25" customHeight="1">
      <c r="A43" s="15">
        <v>40</v>
      </c>
      <c r="B43" s="16" t="s">
        <v>80</v>
      </c>
      <c r="C43" s="17" t="s">
        <v>85</v>
      </c>
      <c r="D43" s="18" t="s">
        <v>2341</v>
      </c>
      <c r="E43" s="18" t="s">
        <v>2342</v>
      </c>
      <c r="F43" s="18" t="s">
        <v>2343</v>
      </c>
      <c r="G43" s="18" t="s">
        <v>2344</v>
      </c>
      <c r="H43" s="18" t="s">
        <v>2345</v>
      </c>
      <c r="I43" s="19">
        <v>2</v>
      </c>
      <c r="J43" s="19" t="s">
        <v>2346</v>
      </c>
      <c r="K43" s="18"/>
      <c r="L43" s="19"/>
    </row>
    <row r="44" spans="1:12" ht="42" customHeight="1">
      <c r="A44" s="15">
        <v>41</v>
      </c>
      <c r="B44" s="16" t="s">
        <v>80</v>
      </c>
      <c r="C44" s="17" t="s">
        <v>86</v>
      </c>
      <c r="D44" s="19" t="s">
        <v>2347</v>
      </c>
      <c r="E44" s="19" t="s">
        <v>2348</v>
      </c>
      <c r="F44" s="19" t="s">
        <v>2349</v>
      </c>
      <c r="G44" s="19" t="s">
        <v>2350</v>
      </c>
      <c r="H44" s="19" t="s">
        <v>2351</v>
      </c>
      <c r="I44" s="19">
        <v>4</v>
      </c>
      <c r="J44" s="19" t="s">
        <v>2352</v>
      </c>
      <c r="K44" s="18"/>
      <c r="L44" s="19"/>
    </row>
    <row r="45" spans="1:12" ht="67.5" customHeight="1">
      <c r="A45" s="15">
        <v>42</v>
      </c>
      <c r="B45" s="87" t="s">
        <v>67</v>
      </c>
      <c r="C45" s="87" t="s">
        <v>68</v>
      </c>
      <c r="D45" s="88" t="s">
        <v>2353</v>
      </c>
      <c r="E45" s="87" t="s">
        <v>469</v>
      </c>
      <c r="F45" s="87" t="s">
        <v>470</v>
      </c>
      <c r="G45" s="87" t="s">
        <v>472</v>
      </c>
      <c r="H45" s="87" t="s">
        <v>471</v>
      </c>
      <c r="I45" s="87">
        <v>1</v>
      </c>
      <c r="J45" s="88" t="s">
        <v>2354</v>
      </c>
      <c r="K45" s="87"/>
    </row>
    <row r="46" spans="1:12" ht="101.25" customHeight="1">
      <c r="A46" s="15">
        <v>43</v>
      </c>
      <c r="B46" s="87" t="s">
        <v>67</v>
      </c>
      <c r="C46" s="87" t="s">
        <v>70</v>
      </c>
      <c r="D46" s="88" t="s">
        <v>2355</v>
      </c>
      <c r="E46" s="87" t="s">
        <v>2356</v>
      </c>
      <c r="F46" s="87" t="s">
        <v>2357</v>
      </c>
      <c r="G46" s="87" t="s">
        <v>2358</v>
      </c>
      <c r="H46" s="87" t="s">
        <v>2359</v>
      </c>
      <c r="I46" s="87">
        <v>3</v>
      </c>
      <c r="J46" s="88" t="s">
        <v>2360</v>
      </c>
      <c r="K46" s="87"/>
    </row>
    <row r="47" spans="1:12" ht="84.5" customHeight="1">
      <c r="A47" s="20">
        <v>44</v>
      </c>
      <c r="B47" s="87" t="s">
        <v>67</v>
      </c>
      <c r="C47" s="87" t="s">
        <v>73</v>
      </c>
      <c r="D47" s="88" t="s">
        <v>2361</v>
      </c>
      <c r="E47" s="87" t="s">
        <v>1070</v>
      </c>
      <c r="F47" s="87" t="s">
        <v>2362</v>
      </c>
      <c r="G47" s="87" t="s">
        <v>1071</v>
      </c>
      <c r="H47" s="87" t="s">
        <v>2363</v>
      </c>
      <c r="I47" s="87">
        <v>1</v>
      </c>
      <c r="J47" s="88" t="s">
        <v>2364</v>
      </c>
      <c r="K47" s="87"/>
    </row>
    <row r="48" spans="1:12" ht="101.25" customHeight="1">
      <c r="A48" s="15">
        <v>45</v>
      </c>
      <c r="B48" s="87" t="s">
        <v>67</v>
      </c>
      <c r="C48" s="87" t="s">
        <v>72</v>
      </c>
      <c r="D48" s="88" t="s">
        <v>2365</v>
      </c>
      <c r="E48" s="87" t="s">
        <v>2366</v>
      </c>
      <c r="F48" s="87" t="s">
        <v>2367</v>
      </c>
      <c r="G48" s="87" t="s">
        <v>2368</v>
      </c>
      <c r="H48" s="87" t="s">
        <v>2369</v>
      </c>
      <c r="I48" s="87">
        <v>3</v>
      </c>
      <c r="J48" s="88" t="s">
        <v>2370</v>
      </c>
      <c r="K48" s="87"/>
    </row>
    <row r="49" spans="1:11" ht="101.25" customHeight="1">
      <c r="A49" s="15">
        <v>46</v>
      </c>
      <c r="B49" s="87" t="s">
        <v>67</v>
      </c>
      <c r="C49" s="87" t="s">
        <v>68</v>
      </c>
      <c r="D49" s="88" t="s">
        <v>2371</v>
      </c>
      <c r="E49" s="87" t="s">
        <v>2372</v>
      </c>
      <c r="F49" s="87" t="s">
        <v>2373</v>
      </c>
      <c r="G49" s="87" t="s">
        <v>2374</v>
      </c>
      <c r="H49" s="87" t="s">
        <v>2375</v>
      </c>
      <c r="I49" s="87">
        <v>4</v>
      </c>
      <c r="J49" s="88" t="s">
        <v>2376</v>
      </c>
      <c r="K49" s="87"/>
    </row>
    <row r="50" spans="1:11" ht="101.25" customHeight="1">
      <c r="A50" s="15">
        <v>47</v>
      </c>
      <c r="B50" s="87" t="s">
        <v>67</v>
      </c>
      <c r="C50" s="87" t="s">
        <v>69</v>
      </c>
      <c r="D50" s="88" t="s">
        <v>2377</v>
      </c>
      <c r="E50" s="87" t="s">
        <v>2378</v>
      </c>
      <c r="F50" s="87" t="s">
        <v>2379</v>
      </c>
      <c r="G50" s="87" t="s">
        <v>2380</v>
      </c>
      <c r="H50" s="87" t="s">
        <v>2381</v>
      </c>
      <c r="I50" s="87">
        <v>2</v>
      </c>
      <c r="J50" s="88" t="s">
        <v>2382</v>
      </c>
      <c r="K50" s="87"/>
    </row>
    <row r="51" spans="1:11" ht="118.25" customHeight="1">
      <c r="A51" s="15">
        <v>48</v>
      </c>
      <c r="B51" s="87" t="s">
        <v>67</v>
      </c>
      <c r="C51" s="87" t="s">
        <v>70</v>
      </c>
      <c r="D51" s="88" t="s">
        <v>2383</v>
      </c>
      <c r="E51" s="87" t="s">
        <v>2384</v>
      </c>
      <c r="F51" s="87" t="s">
        <v>2385</v>
      </c>
      <c r="G51" s="87" t="s">
        <v>2386</v>
      </c>
      <c r="H51" s="87" t="s">
        <v>2387</v>
      </c>
      <c r="I51" s="87">
        <v>4</v>
      </c>
      <c r="J51" s="88" t="s">
        <v>2388</v>
      </c>
      <c r="K51" s="87"/>
    </row>
    <row r="52" spans="1:11" ht="118.25" customHeight="1">
      <c r="A52" s="20">
        <v>49</v>
      </c>
      <c r="B52" s="87" t="s">
        <v>67</v>
      </c>
      <c r="C52" s="87" t="s">
        <v>72</v>
      </c>
      <c r="D52" s="88" t="s">
        <v>2389</v>
      </c>
      <c r="E52" s="87" t="s">
        <v>2390</v>
      </c>
      <c r="F52" s="87" t="s">
        <v>2391</v>
      </c>
      <c r="G52" s="87" t="s">
        <v>2392</v>
      </c>
      <c r="H52" s="87" t="s">
        <v>2393</v>
      </c>
      <c r="I52" s="87">
        <v>3</v>
      </c>
      <c r="J52" s="88" t="s">
        <v>2394</v>
      </c>
      <c r="K52" s="87"/>
    </row>
    <row r="53" spans="1:11" ht="118.25" customHeight="1">
      <c r="A53" s="15">
        <v>50</v>
      </c>
      <c r="B53" s="87" t="s">
        <v>67</v>
      </c>
      <c r="C53" s="87" t="s">
        <v>71</v>
      </c>
      <c r="D53" s="88" t="s">
        <v>2395</v>
      </c>
      <c r="E53" s="87" t="s">
        <v>2396</v>
      </c>
      <c r="F53" s="87" t="s">
        <v>2397</v>
      </c>
      <c r="G53" s="87" t="s">
        <v>2398</v>
      </c>
      <c r="H53" s="87" t="s">
        <v>2399</v>
      </c>
      <c r="I53" s="87">
        <v>3</v>
      </c>
      <c r="J53" s="88" t="s">
        <v>2400</v>
      </c>
      <c r="K53" s="87"/>
    </row>
    <row r="54" spans="1:11" ht="101.25" customHeight="1">
      <c r="A54" s="15">
        <v>51</v>
      </c>
      <c r="B54" s="87" t="s">
        <v>67</v>
      </c>
      <c r="C54" s="87" t="s">
        <v>73</v>
      </c>
      <c r="D54" s="88" t="s">
        <v>2401</v>
      </c>
      <c r="E54" s="87" t="s">
        <v>2402</v>
      </c>
      <c r="F54" s="87" t="s">
        <v>2403</v>
      </c>
      <c r="G54" s="87" t="s">
        <v>2404</v>
      </c>
      <c r="H54" s="87" t="s">
        <v>2405</v>
      </c>
      <c r="I54" s="87">
        <v>4</v>
      </c>
      <c r="J54" s="88" t="s">
        <v>2406</v>
      </c>
      <c r="K54" s="87"/>
    </row>
    <row r="55" spans="1:11" ht="84.5" customHeight="1">
      <c r="A55" s="15">
        <v>52</v>
      </c>
      <c r="B55" s="87" t="s">
        <v>67</v>
      </c>
      <c r="C55" s="87" t="s">
        <v>68</v>
      </c>
      <c r="D55" s="88" t="s">
        <v>2407</v>
      </c>
      <c r="E55" s="87" t="s">
        <v>2408</v>
      </c>
      <c r="F55" s="87" t="s">
        <v>2409</v>
      </c>
      <c r="G55" s="87" t="s">
        <v>2410</v>
      </c>
      <c r="H55" s="87" t="s">
        <v>2411</v>
      </c>
      <c r="I55" s="87">
        <v>1</v>
      </c>
      <c r="J55" s="88" t="s">
        <v>2412</v>
      </c>
      <c r="K55" s="87"/>
    </row>
    <row r="56" spans="1:11" ht="67.5" customHeight="1">
      <c r="A56" s="15">
        <v>53</v>
      </c>
      <c r="B56" s="87" t="s">
        <v>67</v>
      </c>
      <c r="C56" s="87" t="s">
        <v>70</v>
      </c>
      <c r="D56" s="88" t="s">
        <v>2413</v>
      </c>
      <c r="E56" s="87" t="s">
        <v>2414</v>
      </c>
      <c r="F56" s="87" t="s">
        <v>2415</v>
      </c>
      <c r="G56" s="87" t="s">
        <v>2416</v>
      </c>
      <c r="H56" s="87" t="s">
        <v>2417</v>
      </c>
      <c r="I56" s="87">
        <v>4</v>
      </c>
      <c r="J56" s="88" t="s">
        <v>2418</v>
      </c>
      <c r="K56" s="87"/>
    </row>
    <row r="57" spans="1:11" ht="67.5" customHeight="1">
      <c r="A57" s="20">
        <v>54</v>
      </c>
      <c r="B57" s="87" t="s">
        <v>67</v>
      </c>
      <c r="C57" s="87" t="s">
        <v>73</v>
      </c>
      <c r="D57" s="88" t="s">
        <v>2419</v>
      </c>
      <c r="E57" s="87" t="s">
        <v>2420</v>
      </c>
      <c r="F57" s="87" t="s">
        <v>2421</v>
      </c>
      <c r="G57" s="87" t="s">
        <v>2422</v>
      </c>
      <c r="H57" s="87" t="s">
        <v>2423</v>
      </c>
      <c r="I57" s="87">
        <v>1</v>
      </c>
      <c r="J57" s="88" t="s">
        <v>2424</v>
      </c>
      <c r="K57" s="87"/>
    </row>
    <row r="58" spans="1:11" ht="67.5" customHeight="1">
      <c r="A58" s="15">
        <v>55</v>
      </c>
      <c r="B58" s="87" t="s">
        <v>67</v>
      </c>
      <c r="C58" s="87" t="s">
        <v>69</v>
      </c>
      <c r="D58" s="88" t="s">
        <v>2425</v>
      </c>
      <c r="E58" s="87" t="s">
        <v>2426</v>
      </c>
      <c r="F58" s="87" t="s">
        <v>2427</v>
      </c>
      <c r="G58" s="87" t="s">
        <v>2428</v>
      </c>
      <c r="H58" s="87" t="s">
        <v>2429</v>
      </c>
      <c r="I58" s="87">
        <v>4</v>
      </c>
      <c r="J58" s="88" t="s">
        <v>2430</v>
      </c>
      <c r="K58" s="87"/>
    </row>
    <row r="59" spans="1:11" ht="67.5" customHeight="1">
      <c r="A59" s="15">
        <v>56</v>
      </c>
      <c r="B59" s="87" t="s">
        <v>67</v>
      </c>
      <c r="C59" s="87" t="s">
        <v>73</v>
      </c>
      <c r="D59" s="88" t="s">
        <v>2431</v>
      </c>
      <c r="E59" s="87" t="s">
        <v>2432</v>
      </c>
      <c r="F59" s="87" t="s">
        <v>2433</v>
      </c>
      <c r="G59" s="87" t="s">
        <v>2434</v>
      </c>
      <c r="H59" s="87" t="s">
        <v>2435</v>
      </c>
      <c r="I59" s="87">
        <v>4</v>
      </c>
      <c r="J59" s="88" t="s">
        <v>2436</v>
      </c>
      <c r="K59" s="87"/>
    </row>
    <row r="60" spans="1:11" ht="67.5" customHeight="1">
      <c r="A60" s="15">
        <v>57</v>
      </c>
      <c r="B60" s="87" t="s">
        <v>74</v>
      </c>
      <c r="C60" s="87" t="s">
        <v>75</v>
      </c>
      <c r="D60" s="88" t="s">
        <v>2437</v>
      </c>
      <c r="E60" s="87" t="s">
        <v>469</v>
      </c>
      <c r="F60" s="87" t="s">
        <v>472</v>
      </c>
      <c r="G60" s="87" t="s">
        <v>470</v>
      </c>
      <c r="H60" s="87" t="s">
        <v>471</v>
      </c>
      <c r="I60" s="87">
        <v>1</v>
      </c>
      <c r="J60" s="88" t="s">
        <v>473</v>
      </c>
      <c r="K60" s="87"/>
    </row>
    <row r="61" spans="1:11" ht="67.5" customHeight="1">
      <c r="A61" s="15">
        <v>58</v>
      </c>
      <c r="B61" s="87" t="s">
        <v>74</v>
      </c>
      <c r="C61" s="87" t="s">
        <v>75</v>
      </c>
      <c r="D61" s="88" t="s">
        <v>2438</v>
      </c>
      <c r="E61" s="87" t="s">
        <v>478</v>
      </c>
      <c r="F61" s="87" t="s">
        <v>475</v>
      </c>
      <c r="G61" s="87" t="s">
        <v>477</v>
      </c>
      <c r="H61" s="87" t="s">
        <v>476</v>
      </c>
      <c r="I61" s="87">
        <v>2</v>
      </c>
      <c r="J61" s="88" t="s">
        <v>2439</v>
      </c>
      <c r="K61" s="87"/>
    </row>
    <row r="62" spans="1:11" ht="84.5" customHeight="1">
      <c r="A62" s="20">
        <v>59</v>
      </c>
      <c r="B62" s="87" t="s">
        <v>74</v>
      </c>
      <c r="C62" s="87" t="s">
        <v>75</v>
      </c>
      <c r="D62" s="88" t="s">
        <v>2440</v>
      </c>
      <c r="E62" s="87" t="s">
        <v>484</v>
      </c>
      <c r="F62" s="87" t="s">
        <v>1335</v>
      </c>
      <c r="G62" s="87" t="s">
        <v>482</v>
      </c>
      <c r="H62" s="87" t="s">
        <v>483</v>
      </c>
      <c r="I62" s="87">
        <v>1</v>
      </c>
      <c r="J62" s="88" t="s">
        <v>2441</v>
      </c>
      <c r="K62" s="87"/>
    </row>
    <row r="63" spans="1:11" ht="50.75" customHeight="1">
      <c r="A63" s="15">
        <v>60</v>
      </c>
      <c r="B63" s="87" t="s">
        <v>74</v>
      </c>
      <c r="C63" s="87" t="s">
        <v>75</v>
      </c>
      <c r="D63" s="88" t="s">
        <v>2442</v>
      </c>
      <c r="E63" s="87" t="s">
        <v>2443</v>
      </c>
      <c r="F63" s="87" t="s">
        <v>2444</v>
      </c>
      <c r="G63" s="87" t="s">
        <v>2445</v>
      </c>
      <c r="H63" s="87" t="s">
        <v>2446</v>
      </c>
      <c r="I63" s="87">
        <v>2</v>
      </c>
      <c r="J63" s="88" t="s">
        <v>2447</v>
      </c>
      <c r="K63" s="87"/>
    </row>
    <row r="64" spans="1:11" ht="50.75" customHeight="1">
      <c r="A64" s="15">
        <v>61</v>
      </c>
      <c r="B64" s="87" t="s">
        <v>74</v>
      </c>
      <c r="C64" s="87" t="s">
        <v>75</v>
      </c>
      <c r="D64" s="88" t="s">
        <v>2448</v>
      </c>
      <c r="E64" s="87" t="s">
        <v>2449</v>
      </c>
      <c r="F64" s="87" t="s">
        <v>2450</v>
      </c>
      <c r="G64" s="87" t="s">
        <v>2451</v>
      </c>
      <c r="H64" s="87" t="s">
        <v>2452</v>
      </c>
      <c r="I64" s="87">
        <v>3</v>
      </c>
      <c r="J64" s="88" t="s">
        <v>2453</v>
      </c>
      <c r="K64" s="87"/>
    </row>
    <row r="65" spans="1:11" ht="50.75" customHeight="1">
      <c r="A65" s="15">
        <v>62</v>
      </c>
      <c r="B65" s="87" t="s">
        <v>74</v>
      </c>
      <c r="C65" s="87" t="s">
        <v>75</v>
      </c>
      <c r="D65" s="88" t="s">
        <v>2454</v>
      </c>
      <c r="E65" s="87" t="s">
        <v>2455</v>
      </c>
      <c r="F65" s="87" t="s">
        <v>2456</v>
      </c>
      <c r="G65" s="87" t="s">
        <v>2457</v>
      </c>
      <c r="H65" s="87" t="s">
        <v>2458</v>
      </c>
      <c r="I65" s="87">
        <v>2</v>
      </c>
      <c r="J65" s="88" t="s">
        <v>2459</v>
      </c>
      <c r="K65" s="87"/>
    </row>
    <row r="66" spans="1:11" ht="50.75" customHeight="1">
      <c r="A66" s="15">
        <v>63</v>
      </c>
      <c r="B66" s="87" t="s">
        <v>74</v>
      </c>
      <c r="C66" s="87" t="s">
        <v>75</v>
      </c>
      <c r="D66" s="88" t="s">
        <v>2460</v>
      </c>
      <c r="E66" s="87" t="s">
        <v>2461</v>
      </c>
      <c r="F66" s="87" t="s">
        <v>2462</v>
      </c>
      <c r="G66" s="87" t="s">
        <v>2463</v>
      </c>
      <c r="H66" s="87" t="s">
        <v>2464</v>
      </c>
      <c r="I66" s="87">
        <v>2</v>
      </c>
      <c r="J66" s="88" t="s">
        <v>2465</v>
      </c>
      <c r="K66" s="87"/>
    </row>
    <row r="67" spans="1:11" ht="50.75" customHeight="1">
      <c r="A67" s="20">
        <v>64</v>
      </c>
      <c r="B67" s="87" t="s">
        <v>74</v>
      </c>
      <c r="C67" s="87" t="s">
        <v>75</v>
      </c>
      <c r="D67" s="88" t="s">
        <v>2466</v>
      </c>
      <c r="E67" s="87" t="s">
        <v>2467</v>
      </c>
      <c r="F67" s="87" t="s">
        <v>2468</v>
      </c>
      <c r="G67" s="87" t="s">
        <v>2469</v>
      </c>
      <c r="H67" s="87" t="s">
        <v>2470</v>
      </c>
      <c r="I67" s="87">
        <v>2</v>
      </c>
      <c r="J67" s="88" t="s">
        <v>2471</v>
      </c>
      <c r="K67" s="87"/>
    </row>
    <row r="68" spans="1:11" ht="50.75" customHeight="1">
      <c r="A68" s="15">
        <v>65</v>
      </c>
      <c r="B68" s="87" t="s">
        <v>74</v>
      </c>
      <c r="C68" s="87" t="s">
        <v>75</v>
      </c>
      <c r="D68" s="88" t="s">
        <v>2472</v>
      </c>
      <c r="E68" s="87" t="s">
        <v>2473</v>
      </c>
      <c r="F68" s="87" t="s">
        <v>2474</v>
      </c>
      <c r="G68" s="87" t="s">
        <v>2475</v>
      </c>
      <c r="H68" s="87" t="s">
        <v>2476</v>
      </c>
      <c r="I68" s="87">
        <v>2</v>
      </c>
      <c r="J68" s="88" t="s">
        <v>2477</v>
      </c>
      <c r="K68" s="87"/>
    </row>
    <row r="69" spans="1:11" ht="50.75" customHeight="1">
      <c r="A69" s="15">
        <v>66</v>
      </c>
      <c r="B69" s="87" t="s">
        <v>74</v>
      </c>
      <c r="C69" s="87" t="s">
        <v>75</v>
      </c>
      <c r="D69" s="88" t="s">
        <v>2478</v>
      </c>
      <c r="E69" s="87" t="s">
        <v>2479</v>
      </c>
      <c r="F69" s="87" t="s">
        <v>2480</v>
      </c>
      <c r="G69" s="87" t="s">
        <v>2481</v>
      </c>
      <c r="H69" s="87" t="s">
        <v>2482</v>
      </c>
      <c r="I69" s="87">
        <v>2</v>
      </c>
      <c r="J69" s="88" t="s">
        <v>2483</v>
      </c>
      <c r="K69" s="87"/>
    </row>
    <row r="70" spans="1:11" ht="101.25" customHeight="1">
      <c r="A70" s="15">
        <v>67</v>
      </c>
      <c r="B70" s="87" t="s">
        <v>74</v>
      </c>
      <c r="C70" s="87" t="s">
        <v>75</v>
      </c>
      <c r="D70" s="88" t="s">
        <v>2484</v>
      </c>
      <c r="E70" s="87" t="s">
        <v>2485</v>
      </c>
      <c r="F70" s="87" t="s">
        <v>2486</v>
      </c>
      <c r="G70" s="87" t="s">
        <v>2487</v>
      </c>
      <c r="H70" s="87" t="s">
        <v>2488</v>
      </c>
      <c r="I70" s="87">
        <v>4</v>
      </c>
      <c r="J70" s="88" t="s">
        <v>2489</v>
      </c>
      <c r="K70" s="87"/>
    </row>
    <row r="71" spans="1:11" ht="67.5" customHeight="1">
      <c r="A71" s="15">
        <v>68</v>
      </c>
      <c r="B71" s="87" t="s">
        <v>74</v>
      </c>
      <c r="C71" s="87" t="s">
        <v>76</v>
      </c>
      <c r="D71" s="88" t="s">
        <v>2490</v>
      </c>
      <c r="E71" s="87" t="s">
        <v>2491</v>
      </c>
      <c r="F71" s="87" t="s">
        <v>2492</v>
      </c>
      <c r="G71" s="87" t="s">
        <v>2493</v>
      </c>
      <c r="H71" s="87" t="s">
        <v>2494</v>
      </c>
      <c r="I71" s="87">
        <v>2</v>
      </c>
      <c r="J71" s="88" t="s">
        <v>2495</v>
      </c>
      <c r="K71" s="87"/>
    </row>
    <row r="72" spans="1:11" ht="67.5" customHeight="1">
      <c r="A72" s="20">
        <v>69</v>
      </c>
      <c r="B72" s="87" t="s">
        <v>74</v>
      </c>
      <c r="C72" s="87" t="s">
        <v>77</v>
      </c>
      <c r="D72" s="88" t="s">
        <v>2496</v>
      </c>
      <c r="E72" s="87" t="s">
        <v>2497</v>
      </c>
      <c r="F72" s="87" t="s">
        <v>2498</v>
      </c>
      <c r="G72" s="87" t="s">
        <v>2499</v>
      </c>
      <c r="H72" s="87" t="s">
        <v>2500</v>
      </c>
      <c r="I72" s="87">
        <v>1</v>
      </c>
      <c r="J72" s="88" t="s">
        <v>2501</v>
      </c>
      <c r="K72" s="87"/>
    </row>
    <row r="73" spans="1:11" ht="67.5" customHeight="1">
      <c r="A73" s="15">
        <v>70</v>
      </c>
      <c r="B73" s="87" t="s">
        <v>74</v>
      </c>
      <c r="C73" s="87" t="s">
        <v>75</v>
      </c>
      <c r="D73" s="88" t="s">
        <v>2502</v>
      </c>
      <c r="E73" s="87" t="s">
        <v>2503</v>
      </c>
      <c r="F73" s="87" t="s">
        <v>2504</v>
      </c>
      <c r="G73" s="87" t="s">
        <v>2505</v>
      </c>
      <c r="H73" s="87" t="s">
        <v>2506</v>
      </c>
      <c r="I73" s="87">
        <v>4</v>
      </c>
      <c r="J73" s="88" t="s">
        <v>2507</v>
      </c>
      <c r="K73" s="87"/>
    </row>
    <row r="74" spans="1:11" ht="84.5" customHeight="1">
      <c r="A74" s="15">
        <v>71</v>
      </c>
      <c r="B74" s="87" t="s">
        <v>74</v>
      </c>
      <c r="C74" s="87" t="s">
        <v>79</v>
      </c>
      <c r="D74" s="88" t="s">
        <v>2508</v>
      </c>
      <c r="E74" s="87" t="s">
        <v>2509</v>
      </c>
      <c r="F74" s="87" t="s">
        <v>2510</v>
      </c>
      <c r="G74" s="87" t="s">
        <v>2511</v>
      </c>
      <c r="H74" s="87" t="s">
        <v>2512</v>
      </c>
      <c r="I74" s="87">
        <v>1</v>
      </c>
      <c r="J74" s="88" t="s">
        <v>2513</v>
      </c>
      <c r="K74" s="87"/>
    </row>
    <row r="75" spans="1:11" ht="67.5" customHeight="1">
      <c r="A75" s="15">
        <v>72</v>
      </c>
      <c r="B75" s="87" t="s">
        <v>80</v>
      </c>
      <c r="C75" s="87" t="s">
        <v>81</v>
      </c>
      <c r="D75" s="88" t="s">
        <v>2514</v>
      </c>
      <c r="E75" s="87" t="s">
        <v>469</v>
      </c>
      <c r="F75" s="87" t="s">
        <v>472</v>
      </c>
      <c r="G75" s="87" t="s">
        <v>470</v>
      </c>
      <c r="H75" s="87" t="s">
        <v>471</v>
      </c>
      <c r="I75" s="87">
        <v>1</v>
      </c>
      <c r="J75" s="88" t="s">
        <v>473</v>
      </c>
      <c r="K75" s="87"/>
    </row>
    <row r="76" spans="1:11" ht="67.5" customHeight="1">
      <c r="A76" s="15">
        <v>73</v>
      </c>
      <c r="B76" s="87" t="s">
        <v>80</v>
      </c>
      <c r="C76" s="87" t="s">
        <v>81</v>
      </c>
      <c r="D76" s="88" t="s">
        <v>2515</v>
      </c>
      <c r="E76" s="87" t="s">
        <v>478</v>
      </c>
      <c r="F76" s="87" t="s">
        <v>475</v>
      </c>
      <c r="G76" s="87" t="s">
        <v>477</v>
      </c>
      <c r="H76" s="87" t="s">
        <v>476</v>
      </c>
      <c r="I76" s="87">
        <v>2</v>
      </c>
      <c r="J76" s="88" t="s">
        <v>2439</v>
      </c>
      <c r="K76" s="87"/>
    </row>
    <row r="77" spans="1:11" ht="84.5" customHeight="1">
      <c r="A77" s="20">
        <v>74</v>
      </c>
      <c r="B77" s="87" t="s">
        <v>80</v>
      </c>
      <c r="C77" s="87" t="s">
        <v>81</v>
      </c>
      <c r="D77" s="88" t="s">
        <v>2516</v>
      </c>
      <c r="E77" s="87" t="s">
        <v>484</v>
      </c>
      <c r="F77" s="87" t="s">
        <v>1335</v>
      </c>
      <c r="G77" s="87" t="s">
        <v>482</v>
      </c>
      <c r="H77" s="87" t="s">
        <v>483</v>
      </c>
      <c r="I77" s="87">
        <v>1</v>
      </c>
      <c r="J77" s="88" t="s">
        <v>2441</v>
      </c>
      <c r="K77" s="87"/>
    </row>
    <row r="78" spans="1:11" ht="67.5" customHeight="1">
      <c r="A78" s="15">
        <v>75</v>
      </c>
      <c r="B78" s="87" t="s">
        <v>80</v>
      </c>
      <c r="C78" s="87" t="s">
        <v>84</v>
      </c>
      <c r="D78" s="88" t="s">
        <v>2517</v>
      </c>
      <c r="E78" s="87" t="s">
        <v>2518</v>
      </c>
      <c r="F78" s="87" t="s">
        <v>2519</v>
      </c>
      <c r="G78" s="87" t="s">
        <v>2520</v>
      </c>
      <c r="H78" s="87" t="s">
        <v>2521</v>
      </c>
      <c r="I78" s="87">
        <v>4</v>
      </c>
      <c r="J78" s="88" t="s">
        <v>2522</v>
      </c>
      <c r="K78" s="87"/>
    </row>
    <row r="79" spans="1:11" ht="50.75" customHeight="1">
      <c r="A79" s="15">
        <v>76</v>
      </c>
      <c r="B79" s="87" t="s">
        <v>80</v>
      </c>
      <c r="C79" s="87" t="s">
        <v>83</v>
      </c>
      <c r="D79" s="88" t="s">
        <v>2523</v>
      </c>
      <c r="E79" s="87" t="s">
        <v>2524</v>
      </c>
      <c r="F79" s="87" t="s">
        <v>2525</v>
      </c>
      <c r="G79" s="87" t="s">
        <v>2526</v>
      </c>
      <c r="H79" s="87" t="s">
        <v>2527</v>
      </c>
      <c r="I79" s="87">
        <v>3</v>
      </c>
      <c r="J79" s="88" t="s">
        <v>2528</v>
      </c>
      <c r="K79" s="87"/>
    </row>
    <row r="80" spans="1:11" ht="50.75" customHeight="1">
      <c r="A80" s="15">
        <v>77</v>
      </c>
      <c r="B80" s="87" t="s">
        <v>80</v>
      </c>
      <c r="C80" s="87" t="s">
        <v>84</v>
      </c>
      <c r="D80" s="88" t="s">
        <v>2529</v>
      </c>
      <c r="E80" s="87" t="s">
        <v>2530</v>
      </c>
      <c r="F80" s="87" t="s">
        <v>2531</v>
      </c>
      <c r="G80" s="87" t="s">
        <v>2532</v>
      </c>
      <c r="H80" s="87" t="s">
        <v>2533</v>
      </c>
      <c r="I80" s="87">
        <v>2</v>
      </c>
      <c r="J80" s="88" t="s">
        <v>2534</v>
      </c>
      <c r="K80" s="87"/>
    </row>
    <row r="81" spans="1:11" ht="50.75" customHeight="1">
      <c r="A81" s="15">
        <v>78</v>
      </c>
      <c r="B81" s="87" t="s">
        <v>80</v>
      </c>
      <c r="C81" s="87" t="s">
        <v>84</v>
      </c>
      <c r="D81" s="88" t="s">
        <v>2535</v>
      </c>
      <c r="E81" s="87" t="s">
        <v>2536</v>
      </c>
      <c r="F81" s="87" t="s">
        <v>2537</v>
      </c>
      <c r="G81" s="87" t="s">
        <v>2538</v>
      </c>
      <c r="H81" s="87" t="s">
        <v>2539</v>
      </c>
      <c r="I81" s="87">
        <v>2</v>
      </c>
      <c r="J81" s="88" t="s">
        <v>2540</v>
      </c>
      <c r="K81" s="87"/>
    </row>
    <row r="82" spans="1:11" ht="50.75" customHeight="1">
      <c r="A82" s="20">
        <v>79</v>
      </c>
      <c r="B82" s="87" t="s">
        <v>80</v>
      </c>
      <c r="C82" s="87" t="s">
        <v>82</v>
      </c>
      <c r="D82" s="88" t="s">
        <v>2541</v>
      </c>
      <c r="E82" s="87" t="s">
        <v>2542</v>
      </c>
      <c r="F82" s="87" t="s">
        <v>2543</v>
      </c>
      <c r="G82" s="87" t="s">
        <v>2544</v>
      </c>
      <c r="H82" s="87" t="s">
        <v>2545</v>
      </c>
      <c r="I82" s="87">
        <v>2</v>
      </c>
      <c r="J82" s="88" t="s">
        <v>2546</v>
      </c>
      <c r="K82" s="87"/>
    </row>
    <row r="83" spans="1:11" ht="67.5" customHeight="1">
      <c r="A83" s="15">
        <v>80</v>
      </c>
      <c r="B83" s="87" t="s">
        <v>80</v>
      </c>
      <c r="C83" s="87" t="s">
        <v>84</v>
      </c>
      <c r="D83" s="88" t="s">
        <v>2547</v>
      </c>
      <c r="E83" s="87" t="s">
        <v>2548</v>
      </c>
      <c r="F83" s="87" t="s">
        <v>2549</v>
      </c>
      <c r="G83" s="87" t="s">
        <v>2550</v>
      </c>
      <c r="H83" s="87" t="s">
        <v>2551</v>
      </c>
      <c r="I83" s="87">
        <v>2</v>
      </c>
      <c r="J83" s="88" t="s">
        <v>2552</v>
      </c>
      <c r="K83" s="87"/>
    </row>
    <row r="84" spans="1:11" ht="50.75" customHeight="1">
      <c r="A84" s="15">
        <v>81</v>
      </c>
      <c r="B84" s="87" t="s">
        <v>80</v>
      </c>
      <c r="C84" s="87" t="s">
        <v>81</v>
      </c>
      <c r="D84" s="88" t="s">
        <v>2553</v>
      </c>
      <c r="E84" s="87" t="s">
        <v>2554</v>
      </c>
      <c r="F84" s="87" t="s">
        <v>2555</v>
      </c>
      <c r="G84" s="87" t="s">
        <v>2556</v>
      </c>
      <c r="H84" s="87" t="s">
        <v>2557</v>
      </c>
      <c r="I84" s="87">
        <v>2</v>
      </c>
      <c r="J84" s="88" t="s">
        <v>2558</v>
      </c>
      <c r="K84" s="87"/>
    </row>
    <row r="85" spans="1:11" ht="50.75" customHeight="1">
      <c r="A85" s="15">
        <v>82</v>
      </c>
      <c r="B85" s="87" t="s">
        <v>80</v>
      </c>
      <c r="C85" s="87" t="s">
        <v>81</v>
      </c>
      <c r="D85" s="88" t="s">
        <v>2559</v>
      </c>
      <c r="E85" s="87" t="s">
        <v>2560</v>
      </c>
      <c r="F85" s="87" t="s">
        <v>2561</v>
      </c>
      <c r="G85" s="87" t="s">
        <v>2562</v>
      </c>
      <c r="H85" s="87" t="s">
        <v>2563</v>
      </c>
      <c r="I85" s="87">
        <v>2</v>
      </c>
      <c r="J85" s="88" t="s">
        <v>2564</v>
      </c>
      <c r="K85" s="87"/>
    </row>
    <row r="86" spans="1:11" ht="67.5" customHeight="1">
      <c r="A86" s="15">
        <v>83</v>
      </c>
      <c r="B86" s="87" t="s">
        <v>80</v>
      </c>
      <c r="C86" s="87" t="s">
        <v>82</v>
      </c>
      <c r="D86" s="88" t="s">
        <v>2565</v>
      </c>
      <c r="E86" s="87" t="s">
        <v>2566</v>
      </c>
      <c r="F86" s="87" t="s">
        <v>2567</v>
      </c>
      <c r="G86" s="87" t="s">
        <v>2568</v>
      </c>
      <c r="H86" s="87" t="s">
        <v>2569</v>
      </c>
      <c r="I86" s="87">
        <v>2</v>
      </c>
      <c r="J86" s="88" t="s">
        <v>2570</v>
      </c>
      <c r="K86" s="87"/>
    </row>
    <row r="87" spans="1:11" ht="67.5" customHeight="1">
      <c r="A87" s="20">
        <v>84</v>
      </c>
      <c r="B87" s="87" t="s">
        <v>80</v>
      </c>
      <c r="C87" s="87" t="s">
        <v>84</v>
      </c>
      <c r="D87" s="88" t="s">
        <v>2571</v>
      </c>
      <c r="E87" s="87" t="s">
        <v>2572</v>
      </c>
      <c r="F87" s="87" t="s">
        <v>2573</v>
      </c>
      <c r="G87" s="87" t="s">
        <v>2574</v>
      </c>
      <c r="H87" s="87" t="s">
        <v>2575</v>
      </c>
      <c r="I87" s="87">
        <v>2</v>
      </c>
      <c r="J87" s="88" t="s">
        <v>2576</v>
      </c>
      <c r="K87" s="87"/>
    </row>
    <row r="88" spans="1:11" ht="50.75" customHeight="1">
      <c r="A88" s="15">
        <v>85</v>
      </c>
      <c r="B88" s="87" t="s">
        <v>80</v>
      </c>
      <c r="C88" s="87" t="s">
        <v>84</v>
      </c>
      <c r="D88" s="88" t="s">
        <v>2577</v>
      </c>
      <c r="E88" s="87" t="s">
        <v>2578</v>
      </c>
      <c r="F88" s="87" t="s">
        <v>2579</v>
      </c>
      <c r="G88" s="87" t="s">
        <v>2580</v>
      </c>
      <c r="H88" s="87" t="s">
        <v>2581</v>
      </c>
      <c r="I88" s="87">
        <v>2</v>
      </c>
      <c r="J88" s="88" t="s">
        <v>2582</v>
      </c>
      <c r="K88" s="87"/>
    </row>
    <row r="89" spans="1:11" ht="67.5" customHeight="1">
      <c r="A89" s="15">
        <v>86</v>
      </c>
      <c r="B89" s="87" t="s">
        <v>80</v>
      </c>
      <c r="C89" s="87" t="s">
        <v>82</v>
      </c>
      <c r="D89" s="88" t="s">
        <v>2583</v>
      </c>
      <c r="E89" s="87" t="s">
        <v>2584</v>
      </c>
      <c r="F89" s="87" t="s">
        <v>2585</v>
      </c>
      <c r="G89" s="87" t="s">
        <v>2586</v>
      </c>
      <c r="H89" s="87" t="s">
        <v>2587</v>
      </c>
      <c r="I89" s="87">
        <v>1</v>
      </c>
      <c r="J89" s="88" t="s">
        <v>2588</v>
      </c>
      <c r="K89" s="87"/>
    </row>
    <row r="90" spans="1:11" ht="67.5" customHeight="1">
      <c r="A90" s="15">
        <v>87</v>
      </c>
      <c r="B90" s="87" t="s">
        <v>80</v>
      </c>
      <c r="C90" s="87" t="s">
        <v>84</v>
      </c>
      <c r="D90" s="88" t="s">
        <v>2517</v>
      </c>
      <c r="E90" s="87" t="s">
        <v>2589</v>
      </c>
      <c r="F90" s="87" t="s">
        <v>2590</v>
      </c>
      <c r="G90" s="87" t="s">
        <v>2591</v>
      </c>
      <c r="H90" s="87" t="s">
        <v>2521</v>
      </c>
      <c r="I90" s="87">
        <v>4</v>
      </c>
      <c r="J90" s="88" t="s">
        <v>2592</v>
      </c>
      <c r="K90" s="87"/>
    </row>
    <row r="91" spans="1:11" ht="67.5" customHeight="1">
      <c r="A91" s="15">
        <v>88</v>
      </c>
      <c r="B91" s="87" t="s">
        <v>80</v>
      </c>
      <c r="C91" s="87" t="s">
        <v>83</v>
      </c>
      <c r="D91" s="88" t="s">
        <v>2593</v>
      </c>
      <c r="E91" s="87" t="s">
        <v>2594</v>
      </c>
      <c r="F91" s="87" t="s">
        <v>2595</v>
      </c>
      <c r="G91" s="87" t="s">
        <v>2596</v>
      </c>
      <c r="H91" s="87" t="s">
        <v>2597</v>
      </c>
      <c r="I91" s="87">
        <v>1</v>
      </c>
      <c r="J91" s="88" t="s">
        <v>2598</v>
      </c>
      <c r="K91" s="87"/>
    </row>
    <row r="92" spans="1:11" ht="67.5" customHeight="1">
      <c r="A92" s="20">
        <v>89</v>
      </c>
      <c r="B92" s="87" t="s">
        <v>80</v>
      </c>
      <c r="C92" s="87" t="s">
        <v>84</v>
      </c>
      <c r="D92" s="88" t="s">
        <v>2599</v>
      </c>
      <c r="E92" s="87" t="s">
        <v>2600</v>
      </c>
      <c r="F92" s="87" t="s">
        <v>2601</v>
      </c>
      <c r="G92" s="87" t="s">
        <v>2602</v>
      </c>
      <c r="H92" s="87" t="s">
        <v>2603</v>
      </c>
      <c r="I92" s="87">
        <v>4</v>
      </c>
      <c r="J92" s="88" t="s">
        <v>2604</v>
      </c>
      <c r="K92" s="87"/>
    </row>
    <row r="93" spans="1:11" ht="84.5" customHeight="1">
      <c r="A93" s="15">
        <v>90</v>
      </c>
      <c r="B93" s="87" t="s">
        <v>80</v>
      </c>
      <c r="C93" s="87" t="s">
        <v>85</v>
      </c>
      <c r="D93" s="88" t="s">
        <v>2605</v>
      </c>
      <c r="E93" s="87" t="s">
        <v>2606</v>
      </c>
      <c r="F93" s="87" t="s">
        <v>2607</v>
      </c>
      <c r="G93" s="87" t="s">
        <v>2608</v>
      </c>
      <c r="H93" s="87" t="s">
        <v>2609</v>
      </c>
      <c r="I93" s="87">
        <v>4</v>
      </c>
      <c r="J93" s="88" t="s">
        <v>2610</v>
      </c>
      <c r="K93" s="87"/>
    </row>
    <row r="94" spans="1:11" ht="67.5" customHeight="1">
      <c r="A94" s="15">
        <v>91</v>
      </c>
      <c r="B94" s="87" t="s">
        <v>80</v>
      </c>
      <c r="C94" s="87" t="s">
        <v>83</v>
      </c>
      <c r="D94" s="88" t="s">
        <v>2523</v>
      </c>
      <c r="E94" s="87" t="s">
        <v>2611</v>
      </c>
      <c r="F94" s="87" t="s">
        <v>2612</v>
      </c>
      <c r="G94" s="87" t="s">
        <v>2613</v>
      </c>
      <c r="H94" s="87" t="s">
        <v>2526</v>
      </c>
      <c r="I94" s="87">
        <v>4</v>
      </c>
      <c r="J94" s="88" t="s">
        <v>2614</v>
      </c>
      <c r="K94" s="87"/>
    </row>
  </sheetData>
  <mergeCells count="2">
    <mergeCell ref="A2:L2"/>
    <mergeCell ref="A1:L1"/>
  </mergeCells>
  <phoneticPr fontId="58" type="noConversion"/>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104"/>
  <sheetViews>
    <sheetView zoomScaleNormal="100" workbookViewId="0">
      <pane xSplit="3" ySplit="3" topLeftCell="D14" activePane="bottomRight" state="frozen"/>
      <selection activeCell="C120" sqref="C120"/>
      <selection pane="topRight" activeCell="C120" sqref="C120"/>
      <selection pane="bottomLeft" activeCell="C120" sqref="C120"/>
      <selection pane="bottomRight" activeCell="D16" sqref="D16"/>
    </sheetView>
  </sheetViews>
  <sheetFormatPr baseColWidth="10" defaultColWidth="8.5" defaultRowHeight="17"/>
  <cols>
    <col min="1" max="1" width="6" style="12" customWidth="1"/>
    <col min="2" max="2" width="24" style="12" customWidth="1"/>
    <col min="3" max="3" width="28" style="12" customWidth="1"/>
    <col min="4" max="4" width="42" style="13" customWidth="1"/>
    <col min="5" max="8" width="20" style="13" customWidth="1"/>
    <col min="9" max="9" width="10" style="13" customWidth="1"/>
    <col min="10" max="10" width="44" style="13" customWidth="1"/>
    <col min="11" max="11" width="26" style="13" customWidth="1"/>
    <col min="12" max="12" width="11.1640625" style="116" customWidth="1"/>
    <col min="13" max="14" width="8.5" style="2" customWidth="1"/>
    <col min="15" max="16384" width="8.5" style="2"/>
  </cols>
  <sheetData>
    <row r="1" spans="1:13">
      <c r="A1" s="156"/>
      <c r="B1" s="154"/>
      <c r="C1" s="154"/>
      <c r="D1" s="155"/>
      <c r="E1" s="155"/>
      <c r="F1" s="155"/>
      <c r="G1" s="155"/>
      <c r="H1" s="155"/>
      <c r="I1" s="155"/>
      <c r="J1" s="155"/>
      <c r="K1" s="155"/>
      <c r="L1" s="175"/>
    </row>
    <row r="2" spans="1:13" ht="17.25" customHeight="1">
      <c r="A2" s="153" t="s">
        <v>2615</v>
      </c>
      <c r="B2" s="154"/>
      <c r="C2" s="154"/>
      <c r="D2" s="155"/>
      <c r="E2" s="155"/>
      <c r="F2" s="155"/>
      <c r="G2" s="155"/>
      <c r="H2" s="155"/>
      <c r="I2" s="155"/>
      <c r="J2" s="155"/>
      <c r="K2" s="155"/>
      <c r="L2" s="175"/>
    </row>
    <row r="3" spans="1:13" ht="19.5" customHeight="1">
      <c r="A3" s="14" t="s">
        <v>0</v>
      </c>
      <c r="B3" s="14" t="s">
        <v>1</v>
      </c>
      <c r="C3" s="14" t="s">
        <v>2</v>
      </c>
      <c r="D3" s="14" t="s">
        <v>3</v>
      </c>
      <c r="E3" s="14" t="s">
        <v>4</v>
      </c>
      <c r="F3" s="14" t="s">
        <v>5</v>
      </c>
      <c r="G3" s="14" t="s">
        <v>6</v>
      </c>
      <c r="H3" s="14" t="s">
        <v>7</v>
      </c>
      <c r="I3" s="14" t="s">
        <v>8</v>
      </c>
      <c r="J3" s="14" t="s">
        <v>9</v>
      </c>
      <c r="K3" s="14" t="s">
        <v>10</v>
      </c>
      <c r="L3" s="14" t="s">
        <v>737</v>
      </c>
      <c r="M3" s="94" t="s">
        <v>738</v>
      </c>
    </row>
    <row r="4" spans="1:13" ht="43.5" customHeight="1">
      <c r="A4" s="15">
        <v>1</v>
      </c>
      <c r="B4" s="16" t="s">
        <v>88</v>
      </c>
      <c r="C4" s="17" t="s">
        <v>90</v>
      </c>
      <c r="D4" s="19" t="s">
        <v>2616</v>
      </c>
      <c r="E4" s="18" t="s">
        <v>2617</v>
      </c>
      <c r="F4" s="18" t="s">
        <v>2618</v>
      </c>
      <c r="G4" s="18" t="s">
        <v>2619</v>
      </c>
      <c r="H4" s="18" t="s">
        <v>2620</v>
      </c>
      <c r="I4" s="19">
        <v>4</v>
      </c>
      <c r="J4" s="19" t="s">
        <v>2621</v>
      </c>
      <c r="K4" s="18" t="s">
        <v>2622</v>
      </c>
      <c r="L4" s="112"/>
    </row>
    <row r="5" spans="1:13" ht="38.25" customHeight="1">
      <c r="A5" s="15">
        <v>2</v>
      </c>
      <c r="B5" s="16" t="s">
        <v>88</v>
      </c>
      <c r="C5" s="17" t="s">
        <v>90</v>
      </c>
      <c r="D5" s="19" t="s">
        <v>2623</v>
      </c>
      <c r="E5" s="18" t="s">
        <v>2624</v>
      </c>
      <c r="F5" s="18" t="s">
        <v>2625</v>
      </c>
      <c r="G5" s="18" t="s">
        <v>2626</v>
      </c>
      <c r="H5" s="18" t="s">
        <v>2627</v>
      </c>
      <c r="I5" s="19">
        <v>4</v>
      </c>
      <c r="J5" s="19" t="s">
        <v>2628</v>
      </c>
      <c r="K5" s="18" t="s">
        <v>2620</v>
      </c>
      <c r="L5" s="112"/>
    </row>
    <row r="6" spans="1:13" ht="38.25" customHeight="1">
      <c r="A6" s="15">
        <v>3</v>
      </c>
      <c r="B6" s="16" t="s">
        <v>88</v>
      </c>
      <c r="C6" s="17" t="s">
        <v>90</v>
      </c>
      <c r="D6" s="19" t="s">
        <v>2629</v>
      </c>
      <c r="E6" s="18" t="s">
        <v>2630</v>
      </c>
      <c r="F6" s="18" t="s">
        <v>2631</v>
      </c>
      <c r="G6" s="18" t="s">
        <v>2632</v>
      </c>
      <c r="H6" s="19" t="s">
        <v>2633</v>
      </c>
      <c r="I6" s="19">
        <v>3</v>
      </c>
      <c r="J6" s="19" t="s">
        <v>2634</v>
      </c>
      <c r="K6" s="18" t="s">
        <v>2622</v>
      </c>
      <c r="L6" s="112"/>
    </row>
    <row r="7" spans="1:13" ht="38.25" customHeight="1">
      <c r="A7" s="15">
        <v>4</v>
      </c>
      <c r="B7" s="16" t="s">
        <v>88</v>
      </c>
      <c r="C7" s="17" t="s">
        <v>90</v>
      </c>
      <c r="D7" s="19" t="s">
        <v>2635</v>
      </c>
      <c r="E7" s="18" t="s">
        <v>2636</v>
      </c>
      <c r="F7" s="18" t="s">
        <v>2637</v>
      </c>
      <c r="G7" s="18" t="s">
        <v>2638</v>
      </c>
      <c r="H7" s="18" t="s">
        <v>2639</v>
      </c>
      <c r="I7" s="19">
        <v>1</v>
      </c>
      <c r="J7" s="19" t="s">
        <v>2640</v>
      </c>
      <c r="K7" s="18" t="s">
        <v>2620</v>
      </c>
      <c r="L7" s="112"/>
    </row>
    <row r="8" spans="1:13" ht="63.75" customHeight="1">
      <c r="A8" s="15">
        <v>5</v>
      </c>
      <c r="B8" s="16" t="s">
        <v>88</v>
      </c>
      <c r="C8" s="17" t="s">
        <v>91</v>
      </c>
      <c r="D8" s="19" t="s">
        <v>2641</v>
      </c>
      <c r="E8" s="18" t="s">
        <v>2642</v>
      </c>
      <c r="F8" s="18" t="s">
        <v>2643</v>
      </c>
      <c r="G8" s="18" t="s">
        <v>2644</v>
      </c>
      <c r="H8" s="18" t="s">
        <v>2645</v>
      </c>
      <c r="I8" s="19">
        <v>2</v>
      </c>
      <c r="J8" s="19" t="s">
        <v>2646</v>
      </c>
      <c r="K8" s="18"/>
      <c r="L8" s="112"/>
    </row>
    <row r="9" spans="1:13" ht="72" customHeight="1">
      <c r="A9" s="15">
        <v>6</v>
      </c>
      <c r="B9" s="16" t="s">
        <v>92</v>
      </c>
      <c r="C9" s="17" t="s">
        <v>94</v>
      </c>
      <c r="D9" s="19" t="s">
        <v>2647</v>
      </c>
      <c r="E9" s="18" t="s">
        <v>2648</v>
      </c>
      <c r="F9" s="18" t="s">
        <v>2649</v>
      </c>
      <c r="G9" s="18" t="s">
        <v>2650</v>
      </c>
      <c r="H9" s="18" t="s">
        <v>2651</v>
      </c>
      <c r="I9" s="19">
        <v>1</v>
      </c>
      <c r="J9" s="19" t="s">
        <v>2652</v>
      </c>
      <c r="K9" s="18" t="s">
        <v>2653</v>
      </c>
      <c r="L9" s="112"/>
    </row>
    <row r="10" spans="1:13" ht="38.25" customHeight="1">
      <c r="A10" s="15">
        <v>7</v>
      </c>
      <c r="B10" s="16" t="s">
        <v>92</v>
      </c>
      <c r="C10" s="17" t="s">
        <v>94</v>
      </c>
      <c r="D10" s="19" t="s">
        <v>2654</v>
      </c>
      <c r="E10" s="18" t="s">
        <v>2655</v>
      </c>
      <c r="F10" s="18" t="s">
        <v>2656</v>
      </c>
      <c r="G10" s="18" t="s">
        <v>2657</v>
      </c>
      <c r="H10" s="18" t="s">
        <v>2658</v>
      </c>
      <c r="I10" s="19">
        <v>4</v>
      </c>
      <c r="J10" s="19" t="s">
        <v>2659</v>
      </c>
      <c r="K10" s="18" t="s">
        <v>2653</v>
      </c>
      <c r="L10" s="112"/>
    </row>
    <row r="11" spans="1:13" ht="57.75" customHeight="1">
      <c r="A11" s="15">
        <v>8</v>
      </c>
      <c r="B11" s="16" t="s">
        <v>92</v>
      </c>
      <c r="C11" s="17" t="s">
        <v>95</v>
      </c>
      <c r="D11" s="19" t="s">
        <v>2660</v>
      </c>
      <c r="E11" s="18" t="s">
        <v>2661</v>
      </c>
      <c r="F11" s="18" t="s">
        <v>2662</v>
      </c>
      <c r="G11" s="18" t="s">
        <v>2663</v>
      </c>
      <c r="H11" s="18" t="s">
        <v>2664</v>
      </c>
      <c r="I11" s="19">
        <v>2</v>
      </c>
      <c r="J11" s="19" t="s">
        <v>2665</v>
      </c>
      <c r="K11" s="18"/>
      <c r="L11" s="112"/>
    </row>
    <row r="12" spans="1:13" ht="51" customHeight="1">
      <c r="A12" s="15">
        <v>9</v>
      </c>
      <c r="B12" s="16" t="s">
        <v>92</v>
      </c>
      <c r="C12" s="17" t="s">
        <v>95</v>
      </c>
      <c r="D12" s="19" t="s">
        <v>2666</v>
      </c>
      <c r="E12" s="18" t="s">
        <v>2667</v>
      </c>
      <c r="F12" s="18" t="s">
        <v>2668</v>
      </c>
      <c r="G12" s="18" t="s">
        <v>2669</v>
      </c>
      <c r="H12" s="18" t="s">
        <v>2670</v>
      </c>
      <c r="I12" s="19">
        <v>2</v>
      </c>
      <c r="J12" s="19" t="s">
        <v>2671</v>
      </c>
      <c r="K12" s="18"/>
      <c r="L12" s="112"/>
    </row>
    <row r="13" spans="1:13" ht="43.5" customHeight="1">
      <c r="A13" s="15">
        <v>10</v>
      </c>
      <c r="B13" s="16" t="s">
        <v>96</v>
      </c>
      <c r="C13" s="17" t="s">
        <v>97</v>
      </c>
      <c r="D13" s="19" t="s">
        <v>2672</v>
      </c>
      <c r="E13" s="18" t="s">
        <v>2673</v>
      </c>
      <c r="F13" s="18" t="s">
        <v>2674</v>
      </c>
      <c r="G13" s="18" t="s">
        <v>2675</v>
      </c>
      <c r="H13" s="18" t="s">
        <v>2676</v>
      </c>
      <c r="I13" s="19">
        <v>1</v>
      </c>
      <c r="J13" s="19" t="s">
        <v>2677</v>
      </c>
      <c r="K13" s="18" t="s">
        <v>2620</v>
      </c>
      <c r="L13" s="112"/>
    </row>
    <row r="14" spans="1:13" ht="38.25" customHeight="1">
      <c r="A14" s="15">
        <v>11</v>
      </c>
      <c r="B14" s="16" t="s">
        <v>96</v>
      </c>
      <c r="C14" s="17" t="s">
        <v>97</v>
      </c>
      <c r="D14" s="19" t="s">
        <v>2678</v>
      </c>
      <c r="E14" s="19" t="s">
        <v>2679</v>
      </c>
      <c r="F14" s="19" t="s">
        <v>2680</v>
      </c>
      <c r="G14" s="19" t="s">
        <v>2681</v>
      </c>
      <c r="H14" s="19" t="s">
        <v>2682</v>
      </c>
      <c r="I14" s="19">
        <v>3</v>
      </c>
      <c r="J14" s="19" t="s">
        <v>2683</v>
      </c>
      <c r="K14" s="18" t="s">
        <v>2620</v>
      </c>
      <c r="L14" s="112"/>
    </row>
    <row r="15" spans="1:13" ht="51" customHeight="1">
      <c r="A15" s="15">
        <v>12</v>
      </c>
      <c r="B15" s="21" t="s">
        <v>96</v>
      </c>
      <c r="C15" s="22" t="s">
        <v>97</v>
      </c>
      <c r="D15" s="23" t="s">
        <v>2684</v>
      </c>
      <c r="E15" s="23" t="s">
        <v>2685</v>
      </c>
      <c r="F15" s="23" t="s">
        <v>2686</v>
      </c>
      <c r="G15" s="23" t="s">
        <v>2687</v>
      </c>
      <c r="H15" s="23" t="s">
        <v>2688</v>
      </c>
      <c r="I15" s="24">
        <v>4</v>
      </c>
      <c r="J15" s="24" t="s">
        <v>2689</v>
      </c>
      <c r="K15" s="23"/>
      <c r="L15" s="113"/>
    </row>
    <row r="16" spans="1:13" ht="43.5" customHeight="1">
      <c r="A16" s="15">
        <v>13</v>
      </c>
      <c r="B16" s="16" t="s">
        <v>96</v>
      </c>
      <c r="C16" s="17" t="s">
        <v>98</v>
      </c>
      <c r="D16" s="19" t="s">
        <v>2690</v>
      </c>
      <c r="E16" s="18" t="s">
        <v>2691</v>
      </c>
      <c r="F16" s="18" t="s">
        <v>2692</v>
      </c>
      <c r="G16" s="18" t="s">
        <v>2693</v>
      </c>
      <c r="H16" s="18" t="s">
        <v>2694</v>
      </c>
      <c r="I16" s="19">
        <v>1</v>
      </c>
      <c r="J16" s="19" t="s">
        <v>2695</v>
      </c>
      <c r="K16" s="18"/>
      <c r="L16" s="112"/>
    </row>
    <row r="17" spans="1:13" ht="51" customHeight="1">
      <c r="A17" s="15">
        <v>14</v>
      </c>
      <c r="B17" s="16" t="s">
        <v>96</v>
      </c>
      <c r="C17" s="17" t="s">
        <v>99</v>
      </c>
      <c r="D17" s="19" t="s">
        <v>2696</v>
      </c>
      <c r="E17" s="18" t="s">
        <v>2697</v>
      </c>
      <c r="F17" s="18" t="s">
        <v>2698</v>
      </c>
      <c r="G17" s="18" t="s">
        <v>2699</v>
      </c>
      <c r="H17" s="18" t="s">
        <v>2700</v>
      </c>
      <c r="I17" s="19">
        <v>2</v>
      </c>
      <c r="J17" s="19" t="s">
        <v>2701</v>
      </c>
      <c r="K17" s="18"/>
      <c r="L17" s="112"/>
    </row>
    <row r="18" spans="1:13" ht="51" customHeight="1">
      <c r="A18" s="15">
        <v>15</v>
      </c>
      <c r="B18" s="16" t="s">
        <v>96</v>
      </c>
      <c r="C18" s="17" t="s">
        <v>99</v>
      </c>
      <c r="D18" s="19" t="s">
        <v>2702</v>
      </c>
      <c r="E18" s="18" t="s">
        <v>2703</v>
      </c>
      <c r="F18" s="18" t="s">
        <v>2704</v>
      </c>
      <c r="G18" s="18" t="s">
        <v>2705</v>
      </c>
      <c r="H18" s="18" t="s">
        <v>2706</v>
      </c>
      <c r="I18" s="19">
        <v>1</v>
      </c>
      <c r="J18" s="19" t="s">
        <v>2707</v>
      </c>
      <c r="K18" s="18" t="s">
        <v>2619</v>
      </c>
      <c r="L18" s="112">
        <v>260830</v>
      </c>
    </row>
    <row r="19" spans="1:13" ht="43.5" customHeight="1">
      <c r="A19" s="15">
        <v>16</v>
      </c>
      <c r="B19" s="16" t="s">
        <v>96</v>
      </c>
      <c r="C19" s="17" t="s">
        <v>99</v>
      </c>
      <c r="D19" s="19" t="s">
        <v>2708</v>
      </c>
      <c r="E19" s="18" t="s">
        <v>2709</v>
      </c>
      <c r="F19" s="18" t="s">
        <v>2710</v>
      </c>
      <c r="G19" s="18" t="s">
        <v>2711</v>
      </c>
      <c r="H19" s="18" t="s">
        <v>2712</v>
      </c>
      <c r="I19" s="19">
        <v>2</v>
      </c>
      <c r="J19" s="19" t="s">
        <v>2713</v>
      </c>
      <c r="K19" s="18" t="s">
        <v>2619</v>
      </c>
      <c r="L19" s="112"/>
    </row>
    <row r="20" spans="1:13" ht="51" customHeight="1">
      <c r="A20" s="15">
        <v>17</v>
      </c>
      <c r="B20" s="21" t="s">
        <v>96</v>
      </c>
      <c r="C20" s="22" t="s">
        <v>99</v>
      </c>
      <c r="D20" s="23" t="s">
        <v>2714</v>
      </c>
      <c r="E20" s="23" t="s">
        <v>2715</v>
      </c>
      <c r="F20" s="23" t="s">
        <v>2716</v>
      </c>
      <c r="G20" s="23" t="s">
        <v>2717</v>
      </c>
      <c r="H20" s="23" t="s">
        <v>2718</v>
      </c>
      <c r="I20" s="24">
        <v>4</v>
      </c>
      <c r="J20" s="24" t="s">
        <v>2719</v>
      </c>
      <c r="K20" s="23"/>
      <c r="L20" s="113"/>
    </row>
    <row r="21" spans="1:13" ht="43.5" customHeight="1">
      <c r="A21" s="15">
        <v>18</v>
      </c>
      <c r="B21" s="21" t="s">
        <v>96</v>
      </c>
      <c r="C21" s="22" t="s">
        <v>99</v>
      </c>
      <c r="D21" s="23" t="s">
        <v>2720</v>
      </c>
      <c r="E21" s="23" t="s">
        <v>2721</v>
      </c>
      <c r="F21" s="23" t="s">
        <v>2722</v>
      </c>
      <c r="G21" s="23" t="s">
        <v>2723</v>
      </c>
      <c r="H21" s="23" t="s">
        <v>2724</v>
      </c>
      <c r="I21" s="24">
        <v>3</v>
      </c>
      <c r="J21" s="24" t="s">
        <v>2725</v>
      </c>
      <c r="K21" s="23"/>
      <c r="L21" s="113"/>
    </row>
    <row r="22" spans="1:13" ht="51" customHeight="1">
      <c r="A22" s="15">
        <v>19</v>
      </c>
      <c r="B22" s="21" t="s">
        <v>96</v>
      </c>
      <c r="C22" s="22" t="s">
        <v>99</v>
      </c>
      <c r="D22" s="23" t="s">
        <v>2726</v>
      </c>
      <c r="E22" s="23" t="s">
        <v>2727</v>
      </c>
      <c r="F22" s="23" t="s">
        <v>2728</v>
      </c>
      <c r="G22" s="23" t="s">
        <v>2729</v>
      </c>
      <c r="H22" s="23" t="s">
        <v>2730</v>
      </c>
      <c r="I22" s="24">
        <v>3</v>
      </c>
      <c r="J22" s="24" t="s">
        <v>2731</v>
      </c>
      <c r="K22" s="23"/>
      <c r="L22" s="113"/>
    </row>
    <row r="23" spans="1:13" ht="38.25" customHeight="1">
      <c r="A23" s="15">
        <v>20</v>
      </c>
      <c r="B23" s="21" t="s">
        <v>96</v>
      </c>
      <c r="C23" s="22" t="s">
        <v>99</v>
      </c>
      <c r="D23" s="23" t="s">
        <v>2732</v>
      </c>
      <c r="E23" s="23" t="s">
        <v>2733</v>
      </c>
      <c r="F23" s="23" t="s">
        <v>2734</v>
      </c>
      <c r="G23" s="23" t="s">
        <v>2735</v>
      </c>
      <c r="H23" s="23" t="s">
        <v>2736</v>
      </c>
      <c r="I23" s="24">
        <v>1</v>
      </c>
      <c r="J23" s="24" t="s">
        <v>2737</v>
      </c>
      <c r="K23" s="23"/>
      <c r="L23" s="113"/>
    </row>
    <row r="24" spans="1:13" ht="29.25" customHeight="1">
      <c r="A24" s="15">
        <v>21</v>
      </c>
      <c r="B24" s="16" t="s">
        <v>100</v>
      </c>
      <c r="C24" s="17" t="s">
        <v>101</v>
      </c>
      <c r="D24" s="19" t="s">
        <v>2738</v>
      </c>
      <c r="E24" s="19" t="s">
        <v>2682</v>
      </c>
      <c r="F24" s="19" t="s">
        <v>2739</v>
      </c>
      <c r="G24" s="19" t="s">
        <v>2740</v>
      </c>
      <c r="H24" s="19" t="s">
        <v>2741</v>
      </c>
      <c r="I24" s="19">
        <v>1</v>
      </c>
      <c r="J24" s="19" t="s">
        <v>2742</v>
      </c>
      <c r="K24" s="18" t="s">
        <v>2743</v>
      </c>
      <c r="L24" s="112"/>
    </row>
    <row r="25" spans="1:13" ht="63.75" customHeight="1">
      <c r="A25" s="15">
        <v>22</v>
      </c>
      <c r="B25" s="16" t="s">
        <v>100</v>
      </c>
      <c r="C25" s="17" t="s">
        <v>102</v>
      </c>
      <c r="D25" s="19" t="s">
        <v>2744</v>
      </c>
      <c r="E25" s="18" t="s">
        <v>2745</v>
      </c>
      <c r="F25" s="18" t="s">
        <v>2746</v>
      </c>
      <c r="G25" s="18" t="s">
        <v>2747</v>
      </c>
      <c r="H25" s="18" t="s">
        <v>2748</v>
      </c>
      <c r="I25" s="19">
        <v>2</v>
      </c>
      <c r="J25" s="19" t="s">
        <v>2749</v>
      </c>
      <c r="K25" s="18" t="s">
        <v>2750</v>
      </c>
      <c r="L25" s="112"/>
    </row>
    <row r="26" spans="1:13" ht="63.75" customHeight="1">
      <c r="A26" s="15">
        <v>23</v>
      </c>
      <c r="B26" s="16" t="s">
        <v>100</v>
      </c>
      <c r="C26" s="17" t="s">
        <v>103</v>
      </c>
      <c r="D26" s="19" t="s">
        <v>2751</v>
      </c>
      <c r="E26" s="18" t="s">
        <v>2752</v>
      </c>
      <c r="F26" s="18" t="s">
        <v>2753</v>
      </c>
      <c r="G26" s="18" t="s">
        <v>2754</v>
      </c>
      <c r="H26" s="18" t="s">
        <v>2755</v>
      </c>
      <c r="I26" s="19">
        <v>4</v>
      </c>
      <c r="J26" s="19" t="s">
        <v>2756</v>
      </c>
      <c r="K26" s="18" t="s">
        <v>2757</v>
      </c>
      <c r="L26" s="112"/>
    </row>
    <row r="27" spans="1:13" s="104" customFormat="1" ht="63.75" customHeight="1">
      <c r="A27" s="106">
        <v>24</v>
      </c>
      <c r="B27" s="107" t="s">
        <v>100</v>
      </c>
      <c r="C27" s="108" t="s">
        <v>103</v>
      </c>
      <c r="D27" s="109" t="s">
        <v>2758</v>
      </c>
      <c r="E27" s="110">
        <v>2</v>
      </c>
      <c r="F27" s="110">
        <v>4</v>
      </c>
      <c r="G27" s="110">
        <v>6</v>
      </c>
      <c r="H27" s="110">
        <v>8</v>
      </c>
      <c r="I27" s="111">
        <v>3</v>
      </c>
      <c r="J27" s="111" t="s">
        <v>2759</v>
      </c>
      <c r="K27" s="110"/>
      <c r="L27" s="114">
        <v>260830</v>
      </c>
      <c r="M27" s="104" t="s">
        <v>2760</v>
      </c>
    </row>
    <row r="28" spans="1:13" ht="76.5" customHeight="1">
      <c r="A28" s="15">
        <v>25</v>
      </c>
      <c r="B28" s="16" t="s">
        <v>100</v>
      </c>
      <c r="C28" s="17" t="s">
        <v>104</v>
      </c>
      <c r="D28" s="19" t="s">
        <v>2761</v>
      </c>
      <c r="E28" s="18" t="s">
        <v>2620</v>
      </c>
      <c r="F28" s="18" t="s">
        <v>2762</v>
      </c>
      <c r="G28" s="18" t="s">
        <v>2763</v>
      </c>
      <c r="H28" s="18" t="s">
        <v>2764</v>
      </c>
      <c r="I28" s="19">
        <v>4</v>
      </c>
      <c r="J28" s="19" t="s">
        <v>2765</v>
      </c>
      <c r="K28" s="18" t="s">
        <v>2764</v>
      </c>
      <c r="L28" s="112"/>
    </row>
    <row r="29" spans="1:13" ht="51" customHeight="1">
      <c r="A29" s="15">
        <v>26</v>
      </c>
      <c r="B29" s="16" t="s">
        <v>100</v>
      </c>
      <c r="C29" s="17" t="s">
        <v>105</v>
      </c>
      <c r="D29" s="19" t="s">
        <v>2766</v>
      </c>
      <c r="E29" s="19" t="s">
        <v>2767</v>
      </c>
      <c r="F29" s="19" t="s">
        <v>2768</v>
      </c>
      <c r="G29" s="19" t="s">
        <v>2769</v>
      </c>
      <c r="H29" s="19" t="s">
        <v>2770</v>
      </c>
      <c r="I29" s="19">
        <v>3</v>
      </c>
      <c r="J29" s="19" t="s">
        <v>2771</v>
      </c>
      <c r="K29" s="19"/>
      <c r="L29" s="112"/>
    </row>
    <row r="30" spans="1:13" ht="51" customHeight="1">
      <c r="A30" s="15">
        <v>27</v>
      </c>
      <c r="B30" s="16" t="s">
        <v>100</v>
      </c>
      <c r="C30" s="17" t="s">
        <v>105</v>
      </c>
      <c r="D30" s="19" t="s">
        <v>2772</v>
      </c>
      <c r="E30" s="18" t="s">
        <v>2773</v>
      </c>
      <c r="F30" s="18" t="s">
        <v>2774</v>
      </c>
      <c r="G30" s="18" t="s">
        <v>2775</v>
      </c>
      <c r="H30" s="18" t="s">
        <v>2776</v>
      </c>
      <c r="I30" s="19">
        <v>4</v>
      </c>
      <c r="J30" s="19" t="s">
        <v>2777</v>
      </c>
      <c r="K30" s="18"/>
      <c r="L30" s="112"/>
    </row>
    <row r="31" spans="1:13" ht="51" customHeight="1">
      <c r="A31" s="15">
        <v>28</v>
      </c>
      <c r="B31" s="16" t="s">
        <v>100</v>
      </c>
      <c r="C31" s="17" t="s">
        <v>105</v>
      </c>
      <c r="D31" s="19" t="s">
        <v>2778</v>
      </c>
      <c r="E31" s="18" t="s">
        <v>2779</v>
      </c>
      <c r="F31" s="18" t="s">
        <v>2780</v>
      </c>
      <c r="G31" s="18" t="s">
        <v>2781</v>
      </c>
      <c r="H31" s="18" t="s">
        <v>2782</v>
      </c>
      <c r="I31" s="19">
        <v>3</v>
      </c>
      <c r="J31" s="19" t="s">
        <v>2783</v>
      </c>
      <c r="K31" s="18"/>
      <c r="L31" s="112"/>
    </row>
    <row r="32" spans="1:13" ht="51" customHeight="1">
      <c r="A32" s="15">
        <v>29</v>
      </c>
      <c r="B32" s="16" t="s">
        <v>100</v>
      </c>
      <c r="C32" s="17" t="s">
        <v>105</v>
      </c>
      <c r="D32" s="19" t="s">
        <v>2784</v>
      </c>
      <c r="E32" s="18" t="s">
        <v>2785</v>
      </c>
      <c r="F32" s="18" t="s">
        <v>2786</v>
      </c>
      <c r="G32" s="18" t="s">
        <v>2787</v>
      </c>
      <c r="H32" s="18" t="s">
        <v>2788</v>
      </c>
      <c r="I32" s="19">
        <v>3</v>
      </c>
      <c r="J32" s="19" t="s">
        <v>2789</v>
      </c>
      <c r="K32" s="18"/>
      <c r="L32" s="112"/>
    </row>
    <row r="33" spans="1:12" ht="51" customHeight="1">
      <c r="A33" s="15">
        <v>30</v>
      </c>
      <c r="B33" s="16" t="s">
        <v>100</v>
      </c>
      <c r="C33" s="17" t="s">
        <v>105</v>
      </c>
      <c r="D33" s="19" t="s">
        <v>2790</v>
      </c>
      <c r="E33" s="18" t="s">
        <v>2791</v>
      </c>
      <c r="F33" s="18" t="s">
        <v>2792</v>
      </c>
      <c r="G33" s="18" t="s">
        <v>2793</v>
      </c>
      <c r="H33" s="18" t="s">
        <v>2794</v>
      </c>
      <c r="I33" s="19">
        <v>2</v>
      </c>
      <c r="J33" s="19" t="s">
        <v>2795</v>
      </c>
      <c r="K33" s="18"/>
      <c r="L33" s="112"/>
    </row>
    <row r="34" spans="1:12" ht="51" customHeight="1">
      <c r="A34" s="15">
        <v>31</v>
      </c>
      <c r="B34" s="16" t="s">
        <v>100</v>
      </c>
      <c r="C34" s="17" t="s">
        <v>105</v>
      </c>
      <c r="D34" s="19" t="s">
        <v>2796</v>
      </c>
      <c r="E34" s="18" t="s">
        <v>2797</v>
      </c>
      <c r="F34" s="18" t="s">
        <v>2798</v>
      </c>
      <c r="G34" s="18" t="s">
        <v>2799</v>
      </c>
      <c r="H34" s="18" t="s">
        <v>2800</v>
      </c>
      <c r="I34" s="19">
        <v>1</v>
      </c>
      <c r="J34" s="19" t="s">
        <v>2801</v>
      </c>
      <c r="K34" s="18"/>
      <c r="L34" s="112"/>
    </row>
    <row r="35" spans="1:12" ht="51" customHeight="1">
      <c r="A35" s="15">
        <v>32</v>
      </c>
      <c r="B35" s="21" t="s">
        <v>100</v>
      </c>
      <c r="C35" s="22" t="s">
        <v>105</v>
      </c>
      <c r="D35" s="23" t="s">
        <v>2802</v>
      </c>
      <c r="E35" s="23" t="s">
        <v>2803</v>
      </c>
      <c r="F35" s="23" t="s">
        <v>2804</v>
      </c>
      <c r="G35" s="23" t="s">
        <v>2805</v>
      </c>
      <c r="H35" s="23" t="s">
        <v>2806</v>
      </c>
      <c r="I35" s="23">
        <v>3</v>
      </c>
      <c r="J35" s="24" t="s">
        <v>2807</v>
      </c>
      <c r="K35" s="23"/>
      <c r="L35" s="113"/>
    </row>
    <row r="36" spans="1:12" ht="67.5" customHeight="1">
      <c r="A36" s="15">
        <v>33</v>
      </c>
      <c r="B36" s="87" t="s">
        <v>88</v>
      </c>
      <c r="C36" s="87" t="s">
        <v>89</v>
      </c>
      <c r="D36" s="88" t="s">
        <v>2808</v>
      </c>
      <c r="E36" s="87" t="s">
        <v>470</v>
      </c>
      <c r="F36" s="87" t="s">
        <v>469</v>
      </c>
      <c r="G36" s="87" t="s">
        <v>471</v>
      </c>
      <c r="H36" s="87" t="s">
        <v>472</v>
      </c>
      <c r="I36" s="87">
        <v>2</v>
      </c>
      <c r="J36" s="88" t="s">
        <v>2809</v>
      </c>
      <c r="K36" s="87"/>
      <c r="L36" s="115"/>
    </row>
    <row r="37" spans="1:12" ht="67.5" customHeight="1">
      <c r="A37" s="15">
        <v>34</v>
      </c>
      <c r="B37" s="87" t="s">
        <v>88</v>
      </c>
      <c r="C37" s="87" t="s">
        <v>89</v>
      </c>
      <c r="D37" s="88" t="s">
        <v>2810</v>
      </c>
      <c r="E37" s="87" t="s">
        <v>476</v>
      </c>
      <c r="F37" s="87" t="s">
        <v>475</v>
      </c>
      <c r="G37" s="87" t="s">
        <v>477</v>
      </c>
      <c r="H37" s="87" t="s">
        <v>478</v>
      </c>
      <c r="I37" s="87">
        <v>2</v>
      </c>
      <c r="J37" s="88" t="s">
        <v>2439</v>
      </c>
      <c r="K37" s="87"/>
      <c r="L37" s="115"/>
    </row>
    <row r="38" spans="1:12" ht="67.5" customHeight="1">
      <c r="A38" s="15">
        <v>35</v>
      </c>
      <c r="B38" s="87" t="s">
        <v>88</v>
      </c>
      <c r="C38" s="87" t="s">
        <v>89</v>
      </c>
      <c r="D38" s="88" t="s">
        <v>2811</v>
      </c>
      <c r="E38" s="87" t="s">
        <v>1072</v>
      </c>
      <c r="F38" s="87" t="s">
        <v>1070</v>
      </c>
      <c r="G38" s="87" t="s">
        <v>1069</v>
      </c>
      <c r="H38" s="87" t="s">
        <v>1071</v>
      </c>
      <c r="I38" s="87">
        <v>2</v>
      </c>
      <c r="J38" s="88" t="s">
        <v>2812</v>
      </c>
      <c r="K38" s="87"/>
      <c r="L38" s="115"/>
    </row>
    <row r="39" spans="1:12" ht="67.5" customHeight="1">
      <c r="A39" s="15">
        <v>36</v>
      </c>
      <c r="B39" s="87" t="s">
        <v>88</v>
      </c>
      <c r="C39" s="87" t="s">
        <v>89</v>
      </c>
      <c r="D39" s="88" t="s">
        <v>2813</v>
      </c>
      <c r="E39" s="87" t="s">
        <v>469</v>
      </c>
      <c r="F39" s="87" t="s">
        <v>472</v>
      </c>
      <c r="G39" s="87" t="s">
        <v>471</v>
      </c>
      <c r="H39" s="87" t="s">
        <v>470</v>
      </c>
      <c r="I39" s="87">
        <v>1</v>
      </c>
      <c r="J39" s="88" t="s">
        <v>473</v>
      </c>
      <c r="K39" s="87"/>
      <c r="L39" s="115"/>
    </row>
    <row r="40" spans="1:12" ht="84.5" customHeight="1">
      <c r="A40" s="15">
        <v>37</v>
      </c>
      <c r="B40" s="87" t="s">
        <v>88</v>
      </c>
      <c r="C40" s="87" t="s">
        <v>90</v>
      </c>
      <c r="D40" s="88" t="s">
        <v>2814</v>
      </c>
      <c r="E40" s="87" t="s">
        <v>2815</v>
      </c>
      <c r="F40" s="87" t="s">
        <v>2816</v>
      </c>
      <c r="G40" s="87" t="s">
        <v>2817</v>
      </c>
      <c r="H40" s="87" t="s">
        <v>2818</v>
      </c>
      <c r="I40" s="87">
        <v>2</v>
      </c>
      <c r="J40" s="88" t="s">
        <v>2819</v>
      </c>
      <c r="K40" s="87"/>
      <c r="L40" s="115"/>
    </row>
    <row r="41" spans="1:12" ht="50.75" customHeight="1">
      <c r="A41" s="15">
        <v>38</v>
      </c>
      <c r="B41" s="87" t="s">
        <v>88</v>
      </c>
      <c r="C41" s="87" t="s">
        <v>90</v>
      </c>
      <c r="D41" s="88" t="s">
        <v>2820</v>
      </c>
      <c r="E41" s="87" t="s">
        <v>2821</v>
      </c>
      <c r="F41" s="87" t="s">
        <v>2822</v>
      </c>
      <c r="G41" s="87" t="s">
        <v>2823</v>
      </c>
      <c r="H41" s="87" t="s">
        <v>2824</v>
      </c>
      <c r="I41" s="87">
        <v>3</v>
      </c>
      <c r="J41" s="88" t="s">
        <v>2825</v>
      </c>
      <c r="K41" s="87"/>
      <c r="L41" s="115"/>
    </row>
    <row r="42" spans="1:12" ht="67.5" customHeight="1">
      <c r="A42" s="15">
        <v>39</v>
      </c>
      <c r="B42" s="87" t="s">
        <v>88</v>
      </c>
      <c r="C42" s="87" t="s">
        <v>91</v>
      </c>
      <c r="D42" s="88" t="s">
        <v>2826</v>
      </c>
      <c r="E42" s="87" t="s">
        <v>2827</v>
      </c>
      <c r="F42" s="87" t="s">
        <v>2828</v>
      </c>
      <c r="G42" s="87" t="s">
        <v>2829</v>
      </c>
      <c r="H42" s="87" t="s">
        <v>2830</v>
      </c>
      <c r="I42" s="87">
        <v>3</v>
      </c>
      <c r="J42" s="88" t="s">
        <v>2831</v>
      </c>
      <c r="K42" s="95" t="s">
        <v>2832</v>
      </c>
      <c r="L42" s="115"/>
    </row>
    <row r="43" spans="1:12" ht="118.25" customHeight="1">
      <c r="A43" s="15">
        <v>40</v>
      </c>
      <c r="B43" s="87" t="s">
        <v>96</v>
      </c>
      <c r="C43" s="87" t="s">
        <v>97</v>
      </c>
      <c r="D43" s="88" t="s">
        <v>2833</v>
      </c>
      <c r="E43" s="87" t="s">
        <v>2834</v>
      </c>
      <c r="F43" s="87" t="s">
        <v>2835</v>
      </c>
      <c r="G43" s="87" t="s">
        <v>2836</v>
      </c>
      <c r="H43" s="87" t="s">
        <v>2837</v>
      </c>
      <c r="I43" s="87">
        <v>2</v>
      </c>
      <c r="J43" s="88" t="s">
        <v>2838</v>
      </c>
      <c r="K43" s="87"/>
      <c r="L43" s="115"/>
    </row>
    <row r="44" spans="1:12" ht="84.5" customHeight="1">
      <c r="A44" s="15">
        <v>41</v>
      </c>
      <c r="B44" s="87" t="s">
        <v>88</v>
      </c>
      <c r="C44" s="87" t="s">
        <v>91</v>
      </c>
      <c r="D44" s="88" t="s">
        <v>2839</v>
      </c>
      <c r="E44" s="87" t="s">
        <v>2840</v>
      </c>
      <c r="F44" s="87" t="s">
        <v>2841</v>
      </c>
      <c r="G44" s="87" t="s">
        <v>2842</v>
      </c>
      <c r="H44" s="87" t="s">
        <v>2843</v>
      </c>
      <c r="I44" s="87">
        <v>4</v>
      </c>
      <c r="J44" s="88" t="s">
        <v>2844</v>
      </c>
      <c r="K44" s="87"/>
      <c r="L44" s="115"/>
    </row>
    <row r="45" spans="1:12" ht="67.5" customHeight="1">
      <c r="A45" s="15">
        <v>42</v>
      </c>
      <c r="B45" s="87" t="s">
        <v>88</v>
      </c>
      <c r="C45" s="87" t="s">
        <v>90</v>
      </c>
      <c r="D45" s="88" t="s">
        <v>2845</v>
      </c>
      <c r="E45" s="87" t="s">
        <v>2846</v>
      </c>
      <c r="F45" s="87" t="s">
        <v>2847</v>
      </c>
      <c r="G45" s="87" t="s">
        <v>2848</v>
      </c>
      <c r="H45" s="87" t="s">
        <v>2849</v>
      </c>
      <c r="I45" s="87">
        <v>2</v>
      </c>
      <c r="J45" s="88" t="s">
        <v>2850</v>
      </c>
      <c r="K45" s="87"/>
      <c r="L45" s="115"/>
    </row>
    <row r="46" spans="1:12" ht="67.5" customHeight="1">
      <c r="A46" s="15">
        <v>43</v>
      </c>
      <c r="B46" s="87" t="s">
        <v>88</v>
      </c>
      <c r="C46" s="87" t="s">
        <v>89</v>
      </c>
      <c r="D46" s="88" t="s">
        <v>2851</v>
      </c>
      <c r="E46" s="87" t="s">
        <v>2852</v>
      </c>
      <c r="F46" s="87" t="s">
        <v>2853</v>
      </c>
      <c r="G46" s="87" t="s">
        <v>2854</v>
      </c>
      <c r="H46" s="87" t="s">
        <v>2855</v>
      </c>
      <c r="I46" s="87">
        <v>4</v>
      </c>
      <c r="J46" s="88" t="s">
        <v>2856</v>
      </c>
      <c r="K46" s="87"/>
      <c r="L46" s="115"/>
    </row>
    <row r="47" spans="1:12" ht="101.25" customHeight="1">
      <c r="A47" s="15">
        <v>44</v>
      </c>
      <c r="B47" s="87" t="s">
        <v>88</v>
      </c>
      <c r="C47" s="87" t="s">
        <v>91</v>
      </c>
      <c r="D47" s="88" t="s">
        <v>2857</v>
      </c>
      <c r="E47" s="87" t="s">
        <v>2858</v>
      </c>
      <c r="F47" s="87" t="s">
        <v>2859</v>
      </c>
      <c r="G47" s="87" t="s">
        <v>2860</v>
      </c>
      <c r="H47" s="87" t="s">
        <v>2861</v>
      </c>
      <c r="I47" s="87">
        <v>1</v>
      </c>
      <c r="J47" s="88" t="s">
        <v>2862</v>
      </c>
      <c r="K47" s="87"/>
      <c r="L47" s="115"/>
    </row>
    <row r="48" spans="1:12" ht="67.5" customHeight="1">
      <c r="A48" s="15">
        <v>45</v>
      </c>
      <c r="B48" s="87" t="s">
        <v>88</v>
      </c>
      <c r="C48" s="87" t="s">
        <v>90</v>
      </c>
      <c r="D48" s="88" t="s">
        <v>2863</v>
      </c>
      <c r="E48" s="87" t="s">
        <v>2864</v>
      </c>
      <c r="F48" s="87" t="s">
        <v>2865</v>
      </c>
      <c r="G48" s="87" t="s">
        <v>2866</v>
      </c>
      <c r="H48" s="87" t="s">
        <v>2867</v>
      </c>
      <c r="I48" s="87">
        <v>1</v>
      </c>
      <c r="J48" s="88" t="s">
        <v>2868</v>
      </c>
      <c r="K48" s="87"/>
      <c r="L48" s="115"/>
    </row>
    <row r="49" spans="1:12" ht="67.5" customHeight="1">
      <c r="A49" s="15">
        <v>46</v>
      </c>
      <c r="B49" s="87" t="s">
        <v>100</v>
      </c>
      <c r="C49" s="87" t="s">
        <v>105</v>
      </c>
      <c r="D49" s="88" t="s">
        <v>2869</v>
      </c>
      <c r="E49" s="87" t="s">
        <v>2870</v>
      </c>
      <c r="F49" s="87" t="s">
        <v>2871</v>
      </c>
      <c r="G49" s="87" t="s">
        <v>2872</v>
      </c>
      <c r="H49" s="87" t="s">
        <v>2873</v>
      </c>
      <c r="I49" s="87">
        <v>4</v>
      </c>
      <c r="J49" s="88" t="s">
        <v>2874</v>
      </c>
      <c r="K49" s="87"/>
      <c r="L49" s="115"/>
    </row>
    <row r="50" spans="1:12" ht="84.5" customHeight="1">
      <c r="A50" s="15">
        <v>47</v>
      </c>
      <c r="B50" s="87" t="s">
        <v>88</v>
      </c>
      <c r="C50" s="87" t="s">
        <v>90</v>
      </c>
      <c r="D50" s="88" t="s">
        <v>2875</v>
      </c>
      <c r="E50" s="87" t="s">
        <v>2876</v>
      </c>
      <c r="F50" s="87" t="s">
        <v>2877</v>
      </c>
      <c r="G50" s="87" t="s">
        <v>2878</v>
      </c>
      <c r="H50" s="87" t="s">
        <v>2879</v>
      </c>
      <c r="I50" s="87">
        <v>2</v>
      </c>
      <c r="J50" s="88" t="s">
        <v>2880</v>
      </c>
      <c r="K50" s="87"/>
      <c r="L50" s="115"/>
    </row>
    <row r="51" spans="1:12" ht="67.5" customHeight="1">
      <c r="A51" s="15">
        <v>48</v>
      </c>
      <c r="B51" s="87" t="s">
        <v>92</v>
      </c>
      <c r="C51" s="87" t="s">
        <v>93</v>
      </c>
      <c r="D51" s="88" t="s">
        <v>2881</v>
      </c>
      <c r="E51" s="87" t="s">
        <v>1072</v>
      </c>
      <c r="F51" s="87" t="s">
        <v>1071</v>
      </c>
      <c r="G51" s="87" t="s">
        <v>1069</v>
      </c>
      <c r="H51" s="87" t="s">
        <v>1070</v>
      </c>
      <c r="I51" s="87">
        <v>4</v>
      </c>
      <c r="J51" s="88" t="s">
        <v>485</v>
      </c>
      <c r="K51" s="87"/>
      <c r="L51" s="115"/>
    </row>
    <row r="52" spans="1:12" ht="50.75" customHeight="1">
      <c r="A52" s="15">
        <v>49</v>
      </c>
      <c r="B52" s="87" t="s">
        <v>92</v>
      </c>
      <c r="C52" s="87" t="s">
        <v>94</v>
      </c>
      <c r="D52" s="88" t="s">
        <v>2882</v>
      </c>
      <c r="E52" s="87" t="s">
        <v>2883</v>
      </c>
      <c r="F52" s="87" t="s">
        <v>2884</v>
      </c>
      <c r="G52" s="87" t="s">
        <v>2885</v>
      </c>
      <c r="H52" s="87" t="s">
        <v>2886</v>
      </c>
      <c r="I52" s="87">
        <v>2</v>
      </c>
      <c r="J52" s="88" t="s">
        <v>2887</v>
      </c>
      <c r="K52" s="87"/>
      <c r="L52" s="115"/>
    </row>
    <row r="53" spans="1:12" ht="50.75" customHeight="1">
      <c r="A53" s="15">
        <v>50</v>
      </c>
      <c r="B53" s="87" t="s">
        <v>92</v>
      </c>
      <c r="C53" s="87" t="s">
        <v>95</v>
      </c>
      <c r="D53" s="88" t="s">
        <v>2888</v>
      </c>
      <c r="E53" s="87" t="s">
        <v>2889</v>
      </c>
      <c r="F53" s="87" t="s">
        <v>2890</v>
      </c>
      <c r="G53" s="87" t="s">
        <v>2891</v>
      </c>
      <c r="H53" s="87" t="s">
        <v>2892</v>
      </c>
      <c r="I53" s="87">
        <v>3</v>
      </c>
      <c r="J53" s="88" t="s">
        <v>2893</v>
      </c>
      <c r="K53" s="87"/>
      <c r="L53" s="115"/>
    </row>
    <row r="54" spans="1:12" ht="84.5" customHeight="1">
      <c r="A54" s="15">
        <v>51</v>
      </c>
      <c r="B54" s="87" t="s">
        <v>92</v>
      </c>
      <c r="C54" s="87" t="s">
        <v>93</v>
      </c>
      <c r="D54" s="88" t="s">
        <v>2894</v>
      </c>
      <c r="E54" s="87" t="s">
        <v>2895</v>
      </c>
      <c r="F54" s="87" t="s">
        <v>2896</v>
      </c>
      <c r="G54" s="87" t="s">
        <v>2897</v>
      </c>
      <c r="H54" s="87" t="s">
        <v>2898</v>
      </c>
      <c r="I54" s="87">
        <v>3</v>
      </c>
      <c r="J54" s="88" t="s">
        <v>2899</v>
      </c>
      <c r="K54" s="87"/>
      <c r="L54" s="115"/>
    </row>
    <row r="55" spans="1:12" ht="67.5" customHeight="1">
      <c r="A55" s="15">
        <v>52</v>
      </c>
      <c r="B55" s="87" t="s">
        <v>92</v>
      </c>
      <c r="C55" s="87" t="s">
        <v>94</v>
      </c>
      <c r="D55" s="88" t="s">
        <v>2900</v>
      </c>
      <c r="E55" s="87" t="s">
        <v>2901</v>
      </c>
      <c r="F55" s="87" t="s">
        <v>2902</v>
      </c>
      <c r="G55" s="87" t="s">
        <v>2903</v>
      </c>
      <c r="H55" s="87" t="s">
        <v>2904</v>
      </c>
      <c r="I55" s="87">
        <v>4</v>
      </c>
      <c r="J55" s="88" t="s">
        <v>2905</v>
      </c>
      <c r="K55" s="87"/>
      <c r="L55" s="115"/>
    </row>
    <row r="56" spans="1:12" ht="84.5" customHeight="1">
      <c r="A56" s="15">
        <v>53</v>
      </c>
      <c r="B56" s="87" t="s">
        <v>92</v>
      </c>
      <c r="C56" s="87" t="s">
        <v>95</v>
      </c>
      <c r="D56" s="88" t="s">
        <v>2906</v>
      </c>
      <c r="E56" s="87" t="s">
        <v>2907</v>
      </c>
      <c r="F56" s="87" t="s">
        <v>2908</v>
      </c>
      <c r="G56" s="87" t="s">
        <v>2909</v>
      </c>
      <c r="H56" s="87" t="s">
        <v>2910</v>
      </c>
      <c r="I56" s="87">
        <v>3</v>
      </c>
      <c r="J56" s="88" t="s">
        <v>2911</v>
      </c>
      <c r="K56" s="87"/>
      <c r="L56" s="115"/>
    </row>
    <row r="57" spans="1:12" ht="84.5" customHeight="1">
      <c r="A57" s="15">
        <v>54</v>
      </c>
      <c r="B57" s="87" t="s">
        <v>92</v>
      </c>
      <c r="C57" s="87" t="s">
        <v>94</v>
      </c>
      <c r="D57" s="88" t="s">
        <v>2912</v>
      </c>
      <c r="E57" s="87" t="s">
        <v>2913</v>
      </c>
      <c r="F57" s="87" t="s">
        <v>2914</v>
      </c>
      <c r="G57" s="87" t="s">
        <v>2915</v>
      </c>
      <c r="H57" s="87" t="s">
        <v>2916</v>
      </c>
      <c r="I57" s="87">
        <v>1</v>
      </c>
      <c r="J57" s="88" t="s">
        <v>2917</v>
      </c>
      <c r="K57" s="87"/>
      <c r="L57" s="115"/>
    </row>
    <row r="58" spans="1:12" ht="84.5" customHeight="1">
      <c r="A58" s="15">
        <v>55</v>
      </c>
      <c r="B58" s="87" t="s">
        <v>92</v>
      </c>
      <c r="C58" s="87" t="s">
        <v>94</v>
      </c>
      <c r="D58" s="88" t="s">
        <v>2918</v>
      </c>
      <c r="E58" s="87" t="s">
        <v>2919</v>
      </c>
      <c r="F58" s="87" t="s">
        <v>2920</v>
      </c>
      <c r="G58" s="87" t="s">
        <v>2921</v>
      </c>
      <c r="H58" s="87" t="s">
        <v>2922</v>
      </c>
      <c r="I58" s="87">
        <v>1</v>
      </c>
      <c r="J58" s="88" t="s">
        <v>2923</v>
      </c>
      <c r="K58" s="87"/>
      <c r="L58" s="115"/>
    </row>
    <row r="59" spans="1:12" ht="67.5" customHeight="1">
      <c r="A59" s="15">
        <v>56</v>
      </c>
      <c r="B59" s="87" t="s">
        <v>92</v>
      </c>
      <c r="C59" s="87" t="s">
        <v>94</v>
      </c>
      <c r="D59" s="88" t="s">
        <v>2924</v>
      </c>
      <c r="E59" s="87" t="s">
        <v>2925</v>
      </c>
      <c r="F59" s="87" t="s">
        <v>2926</v>
      </c>
      <c r="G59" s="87" t="s">
        <v>2927</v>
      </c>
      <c r="H59" s="87" t="s">
        <v>2928</v>
      </c>
      <c r="I59" s="87">
        <v>2</v>
      </c>
      <c r="J59" s="88" t="s">
        <v>2929</v>
      </c>
      <c r="K59" s="87"/>
      <c r="L59" s="115"/>
    </row>
    <row r="60" spans="1:12" ht="67.5" customHeight="1">
      <c r="A60" s="15">
        <v>57</v>
      </c>
      <c r="B60" s="87" t="s">
        <v>92</v>
      </c>
      <c r="C60" s="87" t="s">
        <v>93</v>
      </c>
      <c r="D60" s="88" t="s">
        <v>2930</v>
      </c>
      <c r="E60" s="87" t="s">
        <v>2931</v>
      </c>
      <c r="F60" s="87" t="s">
        <v>2932</v>
      </c>
      <c r="G60" s="87" t="s">
        <v>2933</v>
      </c>
      <c r="H60" s="87" t="s">
        <v>2934</v>
      </c>
      <c r="I60" s="87">
        <v>4</v>
      </c>
      <c r="J60" s="88" t="s">
        <v>2935</v>
      </c>
      <c r="K60" s="87"/>
      <c r="L60" s="115"/>
    </row>
    <row r="61" spans="1:12" ht="67.5" customHeight="1">
      <c r="A61" s="15">
        <v>58</v>
      </c>
      <c r="B61" s="87" t="s">
        <v>92</v>
      </c>
      <c r="C61" s="87" t="s">
        <v>94</v>
      </c>
      <c r="D61" s="88" t="s">
        <v>2936</v>
      </c>
      <c r="E61" s="87" t="s">
        <v>2937</v>
      </c>
      <c r="F61" s="87" t="s">
        <v>2938</v>
      </c>
      <c r="G61" s="87" t="s">
        <v>2939</v>
      </c>
      <c r="H61" s="87" t="s">
        <v>2940</v>
      </c>
      <c r="I61" s="87">
        <v>4</v>
      </c>
      <c r="J61" s="88" t="s">
        <v>2941</v>
      </c>
      <c r="K61" s="87"/>
      <c r="L61" s="115"/>
    </row>
    <row r="62" spans="1:12" ht="84.5" customHeight="1">
      <c r="A62" s="15">
        <v>59</v>
      </c>
      <c r="B62" s="87" t="s">
        <v>92</v>
      </c>
      <c r="C62" s="87" t="s">
        <v>94</v>
      </c>
      <c r="D62" s="88" t="s">
        <v>2942</v>
      </c>
      <c r="E62" s="87" t="s">
        <v>2943</v>
      </c>
      <c r="F62" s="87" t="s">
        <v>2944</v>
      </c>
      <c r="G62" s="87" t="s">
        <v>2945</v>
      </c>
      <c r="H62" s="87" t="s">
        <v>2946</v>
      </c>
      <c r="I62" s="87">
        <v>1</v>
      </c>
      <c r="J62" s="88" t="s">
        <v>2947</v>
      </c>
      <c r="K62" s="87"/>
      <c r="L62" s="115"/>
    </row>
    <row r="63" spans="1:12" ht="67.5" customHeight="1">
      <c r="A63" s="15">
        <v>60</v>
      </c>
      <c r="B63" s="87" t="s">
        <v>92</v>
      </c>
      <c r="C63" s="87" t="s">
        <v>94</v>
      </c>
      <c r="D63" s="88" t="s">
        <v>2948</v>
      </c>
      <c r="E63" s="87" t="s">
        <v>2949</v>
      </c>
      <c r="F63" s="87" t="s">
        <v>2950</v>
      </c>
      <c r="G63" s="87" t="s">
        <v>2951</v>
      </c>
      <c r="H63" s="87" t="s">
        <v>2952</v>
      </c>
      <c r="I63" s="87">
        <v>4</v>
      </c>
      <c r="J63" s="88" t="s">
        <v>2953</v>
      </c>
      <c r="K63" s="87"/>
      <c r="L63" s="115"/>
    </row>
    <row r="64" spans="1:12" ht="84.5" customHeight="1">
      <c r="A64" s="15">
        <v>61</v>
      </c>
      <c r="B64" s="87" t="s">
        <v>92</v>
      </c>
      <c r="C64" s="87" t="s">
        <v>95</v>
      </c>
      <c r="D64" s="88" t="s">
        <v>2954</v>
      </c>
      <c r="E64" s="87" t="s">
        <v>2955</v>
      </c>
      <c r="F64" s="87" t="s">
        <v>2956</v>
      </c>
      <c r="G64" s="87" t="s">
        <v>2957</v>
      </c>
      <c r="H64" s="87" t="s">
        <v>2958</v>
      </c>
      <c r="I64" s="87">
        <v>2</v>
      </c>
      <c r="J64" s="88" t="s">
        <v>2959</v>
      </c>
      <c r="K64" s="87"/>
      <c r="L64" s="115"/>
    </row>
    <row r="65" spans="1:12" ht="67.5" customHeight="1">
      <c r="A65" s="15">
        <v>62</v>
      </c>
      <c r="B65" s="87" t="s">
        <v>92</v>
      </c>
      <c r="C65" s="87" t="s">
        <v>93</v>
      </c>
      <c r="D65" s="88" t="s">
        <v>2960</v>
      </c>
      <c r="E65" s="87" t="s">
        <v>2961</v>
      </c>
      <c r="F65" s="87" t="s">
        <v>2962</v>
      </c>
      <c r="G65" s="87" t="s">
        <v>2963</v>
      </c>
      <c r="H65" s="87" t="s">
        <v>2964</v>
      </c>
      <c r="I65" s="87">
        <v>4</v>
      </c>
      <c r="J65" s="88" t="s">
        <v>2965</v>
      </c>
      <c r="K65" s="87"/>
      <c r="L65" s="115"/>
    </row>
    <row r="66" spans="1:12" ht="67.5" customHeight="1">
      <c r="A66" s="15">
        <v>63</v>
      </c>
      <c r="B66" s="87" t="s">
        <v>96</v>
      </c>
      <c r="C66" s="87" t="s">
        <v>99</v>
      </c>
      <c r="D66" s="88" t="s">
        <v>2966</v>
      </c>
      <c r="E66" s="87" t="s">
        <v>471</v>
      </c>
      <c r="F66" s="87" t="s">
        <v>469</v>
      </c>
      <c r="G66" s="87" t="s">
        <v>472</v>
      </c>
      <c r="H66" s="87" t="s">
        <v>470</v>
      </c>
      <c r="I66" s="87">
        <v>2</v>
      </c>
      <c r="J66" s="88" t="s">
        <v>2809</v>
      </c>
      <c r="K66" s="87"/>
      <c r="L66" s="115"/>
    </row>
    <row r="67" spans="1:12" ht="84.5" customHeight="1">
      <c r="A67" s="15">
        <v>64</v>
      </c>
      <c r="B67" s="87" t="s">
        <v>96</v>
      </c>
      <c r="C67" s="87" t="s">
        <v>99</v>
      </c>
      <c r="D67" s="88" t="s">
        <v>2967</v>
      </c>
      <c r="E67" s="87" t="s">
        <v>482</v>
      </c>
      <c r="F67" s="87" t="s">
        <v>484</v>
      </c>
      <c r="G67" s="87" t="s">
        <v>483</v>
      </c>
      <c r="H67" s="87" t="s">
        <v>1335</v>
      </c>
      <c r="I67" s="87">
        <v>2</v>
      </c>
      <c r="J67" s="88" t="s">
        <v>2812</v>
      </c>
      <c r="K67" s="87"/>
      <c r="L67" s="115"/>
    </row>
    <row r="68" spans="1:12" ht="84.5" customHeight="1">
      <c r="A68" s="15">
        <v>65</v>
      </c>
      <c r="B68" s="87" t="s">
        <v>96</v>
      </c>
      <c r="C68" s="87" t="s">
        <v>98</v>
      </c>
      <c r="D68" s="88" t="s">
        <v>2968</v>
      </c>
      <c r="E68" s="87" t="s">
        <v>2969</v>
      </c>
      <c r="F68" s="87" t="s">
        <v>2970</v>
      </c>
      <c r="G68" s="87" t="s">
        <v>2971</v>
      </c>
      <c r="H68" s="87" t="s">
        <v>2972</v>
      </c>
      <c r="I68" s="87">
        <v>2</v>
      </c>
      <c r="J68" s="88" t="s">
        <v>2973</v>
      </c>
      <c r="K68" s="87"/>
      <c r="L68" s="115"/>
    </row>
    <row r="69" spans="1:12" ht="101.25" customHeight="1">
      <c r="A69" s="15">
        <v>66</v>
      </c>
      <c r="B69" s="87" t="s">
        <v>96</v>
      </c>
      <c r="C69" s="87" t="s">
        <v>99</v>
      </c>
      <c r="D69" s="88" t="s">
        <v>2974</v>
      </c>
      <c r="E69" s="87" t="s">
        <v>2975</v>
      </c>
      <c r="F69" s="87" t="s">
        <v>2976</v>
      </c>
      <c r="G69" s="87" t="s">
        <v>2977</v>
      </c>
      <c r="H69" s="87" t="s">
        <v>2978</v>
      </c>
      <c r="I69" s="87">
        <v>3</v>
      </c>
      <c r="J69" s="88" t="s">
        <v>2979</v>
      </c>
      <c r="K69" s="87"/>
      <c r="L69" s="115"/>
    </row>
    <row r="70" spans="1:12" ht="67.5" customHeight="1">
      <c r="A70" s="15">
        <v>67</v>
      </c>
      <c r="B70" s="87" t="s">
        <v>96</v>
      </c>
      <c r="C70" s="87" t="s">
        <v>98</v>
      </c>
      <c r="D70" s="88" t="s">
        <v>2980</v>
      </c>
      <c r="E70" s="87" t="s">
        <v>2981</v>
      </c>
      <c r="F70" s="87" t="s">
        <v>2982</v>
      </c>
      <c r="G70" s="87" t="s">
        <v>2983</v>
      </c>
      <c r="H70" s="87" t="s">
        <v>2984</v>
      </c>
      <c r="I70" s="87">
        <v>2</v>
      </c>
      <c r="J70" s="88" t="s">
        <v>2985</v>
      </c>
      <c r="K70" s="87"/>
      <c r="L70" s="115"/>
    </row>
    <row r="71" spans="1:12" ht="84.5" customHeight="1">
      <c r="A71" s="15">
        <v>68</v>
      </c>
      <c r="B71" s="87" t="s">
        <v>96</v>
      </c>
      <c r="C71" s="87" t="s">
        <v>99</v>
      </c>
      <c r="D71" s="88" t="s">
        <v>2986</v>
      </c>
      <c r="E71" s="87" t="s">
        <v>2987</v>
      </c>
      <c r="F71" s="87" t="s">
        <v>2988</v>
      </c>
      <c r="G71" s="87" t="s">
        <v>2989</v>
      </c>
      <c r="H71" s="87" t="s">
        <v>2990</v>
      </c>
      <c r="I71" s="87">
        <v>3</v>
      </c>
      <c r="J71" s="88" t="s">
        <v>2991</v>
      </c>
      <c r="K71" s="87"/>
      <c r="L71" s="115"/>
    </row>
    <row r="72" spans="1:12" ht="67.5" customHeight="1">
      <c r="A72" s="15">
        <v>69</v>
      </c>
      <c r="B72" s="87" t="s">
        <v>96</v>
      </c>
      <c r="C72" s="87" t="s">
        <v>97</v>
      </c>
      <c r="D72" s="88" t="s">
        <v>2992</v>
      </c>
      <c r="E72" s="87" t="s">
        <v>2993</v>
      </c>
      <c r="F72" s="87" t="s">
        <v>2994</v>
      </c>
      <c r="G72" s="87" t="s">
        <v>2995</v>
      </c>
      <c r="H72" s="87" t="s">
        <v>2996</v>
      </c>
      <c r="I72" s="87">
        <v>3</v>
      </c>
      <c r="J72" s="88" t="s">
        <v>2997</v>
      </c>
      <c r="K72" s="87"/>
      <c r="L72" s="115"/>
    </row>
    <row r="73" spans="1:12" ht="84.5" customHeight="1">
      <c r="A73" s="15">
        <v>70</v>
      </c>
      <c r="B73" s="87" t="s">
        <v>96</v>
      </c>
      <c r="C73" s="87" t="s">
        <v>98</v>
      </c>
      <c r="D73" s="88" t="s">
        <v>2998</v>
      </c>
      <c r="E73" s="87" t="s">
        <v>2999</v>
      </c>
      <c r="F73" s="87" t="s">
        <v>3000</v>
      </c>
      <c r="G73" s="87" t="s">
        <v>3001</v>
      </c>
      <c r="H73" s="87" t="s">
        <v>3002</v>
      </c>
      <c r="I73" s="87">
        <v>2</v>
      </c>
      <c r="J73" s="88" t="s">
        <v>3003</v>
      </c>
      <c r="K73" s="87"/>
      <c r="L73" s="115"/>
    </row>
    <row r="74" spans="1:12" ht="84.5" customHeight="1">
      <c r="A74" s="15">
        <v>71</v>
      </c>
      <c r="B74" s="87" t="s">
        <v>96</v>
      </c>
      <c r="C74" s="87" t="s">
        <v>99</v>
      </c>
      <c r="D74" s="88" t="s">
        <v>3004</v>
      </c>
      <c r="E74" s="87" t="s">
        <v>3005</v>
      </c>
      <c r="F74" s="87" t="s">
        <v>3006</v>
      </c>
      <c r="G74" s="87" t="s">
        <v>3007</v>
      </c>
      <c r="H74" s="87" t="s">
        <v>3008</v>
      </c>
      <c r="I74" s="87">
        <v>2</v>
      </c>
      <c r="J74" s="88" t="s">
        <v>3009</v>
      </c>
      <c r="K74" s="87"/>
      <c r="L74" s="115"/>
    </row>
    <row r="75" spans="1:12" ht="50.75" customHeight="1">
      <c r="A75" s="15">
        <v>72</v>
      </c>
      <c r="B75" s="87" t="s">
        <v>96</v>
      </c>
      <c r="C75" s="87" t="s">
        <v>99</v>
      </c>
      <c r="D75" s="88" t="s">
        <v>3010</v>
      </c>
      <c r="E75" s="87" t="s">
        <v>3011</v>
      </c>
      <c r="F75" s="87" t="s">
        <v>3012</v>
      </c>
      <c r="G75" s="87" t="s">
        <v>3013</v>
      </c>
      <c r="H75" s="87" t="s">
        <v>3014</v>
      </c>
      <c r="I75" s="87">
        <v>3</v>
      </c>
      <c r="J75" s="88" t="s">
        <v>3015</v>
      </c>
      <c r="K75" s="87"/>
      <c r="L75" s="115"/>
    </row>
    <row r="76" spans="1:12" ht="84.5" customHeight="1">
      <c r="A76" s="15">
        <v>73</v>
      </c>
      <c r="B76" s="87" t="s">
        <v>96</v>
      </c>
      <c r="C76" s="87" t="s">
        <v>99</v>
      </c>
      <c r="D76" s="88" t="s">
        <v>3016</v>
      </c>
      <c r="E76" s="87" t="s">
        <v>3017</v>
      </c>
      <c r="F76" s="87" t="s">
        <v>3018</v>
      </c>
      <c r="G76" s="87" t="s">
        <v>3019</v>
      </c>
      <c r="H76" s="87" t="s">
        <v>3020</v>
      </c>
      <c r="I76" s="87">
        <v>1</v>
      </c>
      <c r="J76" s="88" t="s">
        <v>3021</v>
      </c>
      <c r="K76" s="87"/>
      <c r="L76" s="115"/>
    </row>
    <row r="77" spans="1:12" ht="50.75" customHeight="1">
      <c r="A77" s="15">
        <v>74</v>
      </c>
      <c r="B77" s="87" t="s">
        <v>96</v>
      </c>
      <c r="C77" s="87" t="s">
        <v>99</v>
      </c>
      <c r="D77" s="88" t="s">
        <v>3022</v>
      </c>
      <c r="E77" s="87" t="s">
        <v>3023</v>
      </c>
      <c r="F77" s="87" t="s">
        <v>3024</v>
      </c>
      <c r="G77" s="87" t="s">
        <v>3025</v>
      </c>
      <c r="H77" s="87" t="s">
        <v>3026</v>
      </c>
      <c r="I77" s="87">
        <v>4</v>
      </c>
      <c r="J77" s="88" t="s">
        <v>3027</v>
      </c>
      <c r="K77" s="87"/>
      <c r="L77" s="115"/>
    </row>
    <row r="78" spans="1:12" ht="84.5" customHeight="1">
      <c r="A78" s="15">
        <v>75</v>
      </c>
      <c r="B78" s="87" t="s">
        <v>96</v>
      </c>
      <c r="C78" s="87" t="s">
        <v>98</v>
      </c>
      <c r="D78" s="88" t="s">
        <v>3028</v>
      </c>
      <c r="E78" s="87" t="s">
        <v>3029</v>
      </c>
      <c r="F78" s="87" t="s">
        <v>3030</v>
      </c>
      <c r="G78" s="87" t="s">
        <v>3031</v>
      </c>
      <c r="H78" s="87" t="s">
        <v>3032</v>
      </c>
      <c r="I78" s="87">
        <v>4</v>
      </c>
      <c r="J78" s="88" t="s">
        <v>3033</v>
      </c>
      <c r="K78" s="87"/>
      <c r="L78" s="115"/>
    </row>
    <row r="79" spans="1:12" ht="67.5" customHeight="1">
      <c r="A79" s="15">
        <v>76</v>
      </c>
      <c r="B79" s="87" t="s">
        <v>96</v>
      </c>
      <c r="C79" s="87" t="s">
        <v>97</v>
      </c>
      <c r="D79" s="88" t="s">
        <v>3034</v>
      </c>
      <c r="E79" s="87" t="s">
        <v>3035</v>
      </c>
      <c r="F79" s="87" t="s">
        <v>3036</v>
      </c>
      <c r="G79" s="87" t="s">
        <v>3037</v>
      </c>
      <c r="H79" s="87" t="s">
        <v>3038</v>
      </c>
      <c r="I79" s="87">
        <v>4</v>
      </c>
      <c r="J79" s="88" t="s">
        <v>3039</v>
      </c>
      <c r="K79" s="87"/>
      <c r="L79" s="115"/>
    </row>
    <row r="80" spans="1:12" ht="67.5" customHeight="1">
      <c r="A80" s="15">
        <v>77</v>
      </c>
      <c r="B80" s="87" t="s">
        <v>96</v>
      </c>
      <c r="C80" s="87" t="s">
        <v>99</v>
      </c>
      <c r="D80" s="88" t="s">
        <v>3040</v>
      </c>
      <c r="E80" s="87" t="s">
        <v>3041</v>
      </c>
      <c r="F80" s="87" t="s">
        <v>3042</v>
      </c>
      <c r="G80" s="87" t="s">
        <v>3043</v>
      </c>
      <c r="H80" s="87" t="s">
        <v>3044</v>
      </c>
      <c r="I80" s="87">
        <v>4</v>
      </c>
      <c r="J80" s="88" t="s">
        <v>3045</v>
      </c>
      <c r="K80" s="87"/>
      <c r="L80" s="115"/>
    </row>
    <row r="81" spans="1:12" ht="67.5" customHeight="1">
      <c r="A81" s="15">
        <v>78</v>
      </c>
      <c r="B81" s="87" t="s">
        <v>100</v>
      </c>
      <c r="C81" s="87" t="s">
        <v>105</v>
      </c>
      <c r="D81" s="88" t="s">
        <v>3046</v>
      </c>
      <c r="E81" s="87" t="s">
        <v>477</v>
      </c>
      <c r="F81" s="87" t="s">
        <v>478</v>
      </c>
      <c r="G81" s="87" t="s">
        <v>476</v>
      </c>
      <c r="H81" s="87" t="s">
        <v>475</v>
      </c>
      <c r="I81" s="87">
        <v>4</v>
      </c>
      <c r="J81" s="88" t="s">
        <v>3047</v>
      </c>
      <c r="K81" s="87"/>
      <c r="L81" s="115"/>
    </row>
    <row r="82" spans="1:12" ht="67.5" customHeight="1">
      <c r="A82" s="15">
        <v>79</v>
      </c>
      <c r="B82" s="87" t="s">
        <v>100</v>
      </c>
      <c r="C82" s="87" t="s">
        <v>102</v>
      </c>
      <c r="D82" s="88" t="s">
        <v>3048</v>
      </c>
      <c r="E82" s="87" t="s">
        <v>3049</v>
      </c>
      <c r="F82" s="87" t="s">
        <v>3050</v>
      </c>
      <c r="G82" s="87" t="s">
        <v>3051</v>
      </c>
      <c r="H82" s="87" t="s">
        <v>3052</v>
      </c>
      <c r="I82" s="87">
        <v>2</v>
      </c>
      <c r="J82" s="88" t="s">
        <v>3053</v>
      </c>
      <c r="K82" s="87"/>
      <c r="L82" s="115"/>
    </row>
    <row r="83" spans="1:12" ht="50.75" customHeight="1">
      <c r="A83" s="15">
        <v>80</v>
      </c>
      <c r="B83" s="87" t="s">
        <v>100</v>
      </c>
      <c r="C83" s="87" t="s">
        <v>103</v>
      </c>
      <c r="D83" s="88" t="s">
        <v>3054</v>
      </c>
      <c r="E83" s="87" t="s">
        <v>3055</v>
      </c>
      <c r="F83" s="87" t="s">
        <v>3056</v>
      </c>
      <c r="G83" s="87" t="s">
        <v>3057</v>
      </c>
      <c r="H83" s="87" t="s">
        <v>3058</v>
      </c>
      <c r="I83" s="87">
        <v>2</v>
      </c>
      <c r="J83" s="88" t="s">
        <v>3059</v>
      </c>
      <c r="K83" s="87"/>
      <c r="L83" s="115"/>
    </row>
    <row r="84" spans="1:12" ht="101.25" customHeight="1">
      <c r="A84" s="15">
        <v>81</v>
      </c>
      <c r="B84" s="87" t="s">
        <v>100</v>
      </c>
      <c r="C84" s="87" t="s">
        <v>105</v>
      </c>
      <c r="D84" s="88" t="s">
        <v>3060</v>
      </c>
      <c r="E84" s="87" t="s">
        <v>3061</v>
      </c>
      <c r="F84" s="87" t="s">
        <v>3062</v>
      </c>
      <c r="G84" s="87" t="s">
        <v>3063</v>
      </c>
      <c r="H84" s="87" t="s">
        <v>3064</v>
      </c>
      <c r="I84" s="87">
        <v>2</v>
      </c>
      <c r="J84" s="88" t="s">
        <v>3065</v>
      </c>
      <c r="K84" s="87"/>
      <c r="L84" s="115"/>
    </row>
    <row r="85" spans="1:12" ht="84.5" customHeight="1">
      <c r="A85" s="15">
        <v>82</v>
      </c>
      <c r="B85" s="87" t="s">
        <v>100</v>
      </c>
      <c r="C85" s="87" t="s">
        <v>101</v>
      </c>
      <c r="D85" s="88" t="s">
        <v>3066</v>
      </c>
      <c r="E85" s="87" t="s">
        <v>3067</v>
      </c>
      <c r="F85" s="87" t="s">
        <v>3068</v>
      </c>
      <c r="G85" s="87" t="s">
        <v>3069</v>
      </c>
      <c r="H85" s="87" t="s">
        <v>3070</v>
      </c>
      <c r="I85" s="87">
        <v>2</v>
      </c>
      <c r="J85" s="88" t="s">
        <v>3071</v>
      </c>
      <c r="K85" s="87"/>
      <c r="L85" s="115"/>
    </row>
    <row r="86" spans="1:12" ht="84.5" customHeight="1">
      <c r="A86" s="15">
        <v>83</v>
      </c>
      <c r="B86" s="87" t="s">
        <v>100</v>
      </c>
      <c r="C86" s="87" t="s">
        <v>104</v>
      </c>
      <c r="D86" s="88" t="s">
        <v>3072</v>
      </c>
      <c r="E86" s="87" t="s">
        <v>3073</v>
      </c>
      <c r="F86" s="87" t="s">
        <v>3074</v>
      </c>
      <c r="G86" s="87" t="s">
        <v>3075</v>
      </c>
      <c r="H86" s="87" t="s">
        <v>3076</v>
      </c>
      <c r="I86" s="87">
        <v>2</v>
      </c>
      <c r="J86" s="88" t="s">
        <v>3077</v>
      </c>
      <c r="K86" s="87"/>
      <c r="L86" s="115"/>
    </row>
    <row r="87" spans="1:12" ht="67.5" customHeight="1">
      <c r="A87" s="15">
        <v>84</v>
      </c>
      <c r="B87" s="87" t="s">
        <v>100</v>
      </c>
      <c r="C87" s="87" t="s">
        <v>104</v>
      </c>
      <c r="D87" s="88" t="s">
        <v>3078</v>
      </c>
      <c r="E87" s="87" t="s">
        <v>3079</v>
      </c>
      <c r="F87" s="87" t="s">
        <v>3080</v>
      </c>
      <c r="G87" s="87" t="s">
        <v>3081</v>
      </c>
      <c r="H87" s="87" t="s">
        <v>3082</v>
      </c>
      <c r="I87" s="87">
        <v>1</v>
      </c>
      <c r="J87" s="88" t="s">
        <v>3083</v>
      </c>
      <c r="K87" s="87"/>
      <c r="L87" s="115"/>
    </row>
    <row r="88" spans="1:12" ht="84.5" customHeight="1">
      <c r="A88" s="15">
        <v>85</v>
      </c>
      <c r="B88" s="87" t="s">
        <v>100</v>
      </c>
      <c r="C88" s="87" t="s">
        <v>105</v>
      </c>
      <c r="D88" s="88" t="s">
        <v>3084</v>
      </c>
      <c r="E88" s="87" t="s">
        <v>3085</v>
      </c>
      <c r="F88" s="87" t="s">
        <v>3086</v>
      </c>
      <c r="G88" s="87" t="s">
        <v>3087</v>
      </c>
      <c r="H88" s="87" t="s">
        <v>3088</v>
      </c>
      <c r="I88" s="87">
        <v>3</v>
      </c>
      <c r="J88" s="88" t="s">
        <v>3089</v>
      </c>
      <c r="K88" s="87"/>
      <c r="L88" s="115"/>
    </row>
    <row r="89" spans="1:12" ht="67.5" customHeight="1">
      <c r="A89" s="15">
        <v>86</v>
      </c>
      <c r="B89" s="87" t="s">
        <v>100</v>
      </c>
      <c r="C89" s="87" t="s">
        <v>105</v>
      </c>
      <c r="D89" s="88" t="s">
        <v>3090</v>
      </c>
      <c r="E89" s="87" t="s">
        <v>3091</v>
      </c>
      <c r="F89" s="87" t="s">
        <v>3092</v>
      </c>
      <c r="G89" s="87" t="s">
        <v>3093</v>
      </c>
      <c r="H89" s="87" t="s">
        <v>3094</v>
      </c>
      <c r="I89" s="87">
        <v>2</v>
      </c>
      <c r="J89" s="88" t="s">
        <v>3095</v>
      </c>
      <c r="K89" s="87"/>
      <c r="L89" s="115"/>
    </row>
    <row r="90" spans="1:12" ht="84.5" customHeight="1">
      <c r="A90" s="15">
        <v>87</v>
      </c>
      <c r="B90" s="87" t="s">
        <v>100</v>
      </c>
      <c r="C90" s="87" t="s">
        <v>105</v>
      </c>
      <c r="D90" s="88" t="s">
        <v>3096</v>
      </c>
      <c r="E90" s="87" t="s">
        <v>3097</v>
      </c>
      <c r="F90" s="87" t="s">
        <v>3098</v>
      </c>
      <c r="G90" s="87" t="s">
        <v>3099</v>
      </c>
      <c r="H90" s="87" t="s">
        <v>3100</v>
      </c>
      <c r="I90" s="87">
        <v>4</v>
      </c>
      <c r="J90" s="88" t="s">
        <v>3101</v>
      </c>
      <c r="K90" s="87"/>
      <c r="L90" s="115"/>
    </row>
    <row r="91" spans="1:12" ht="84.5" customHeight="1">
      <c r="A91" s="15">
        <v>88</v>
      </c>
      <c r="B91" s="87" t="s">
        <v>100</v>
      </c>
      <c r="C91" s="87" t="s">
        <v>104</v>
      </c>
      <c r="D91" s="88" t="s">
        <v>3102</v>
      </c>
      <c r="E91" s="87" t="s">
        <v>3103</v>
      </c>
      <c r="F91" s="87" t="s">
        <v>3104</v>
      </c>
      <c r="G91" s="87" t="s">
        <v>3105</v>
      </c>
      <c r="H91" s="87" t="s">
        <v>3106</v>
      </c>
      <c r="I91" s="87">
        <v>1</v>
      </c>
      <c r="J91" s="88" t="s">
        <v>3107</v>
      </c>
      <c r="K91" s="87"/>
      <c r="L91" s="115"/>
    </row>
    <row r="92" spans="1:12" ht="67.5" customHeight="1">
      <c r="A92" s="15">
        <v>89</v>
      </c>
      <c r="B92" s="87" t="s">
        <v>100</v>
      </c>
      <c r="C92" s="87" t="s">
        <v>102</v>
      </c>
      <c r="D92" s="88" t="s">
        <v>3108</v>
      </c>
      <c r="E92" s="87" t="s">
        <v>3109</v>
      </c>
      <c r="F92" s="87" t="s">
        <v>3110</v>
      </c>
      <c r="G92" s="87" t="s">
        <v>3111</v>
      </c>
      <c r="H92" s="87" t="s">
        <v>3112</v>
      </c>
      <c r="I92" s="87">
        <v>4</v>
      </c>
      <c r="J92" s="88" t="s">
        <v>3113</v>
      </c>
      <c r="K92" s="87"/>
      <c r="L92" s="115"/>
    </row>
    <row r="93" spans="1:12" ht="84.5" customHeight="1">
      <c r="A93" s="15">
        <v>90</v>
      </c>
      <c r="B93" s="87" t="s">
        <v>100</v>
      </c>
      <c r="C93" s="87" t="s">
        <v>105</v>
      </c>
      <c r="D93" s="88" t="s">
        <v>3114</v>
      </c>
      <c r="E93" s="87" t="s">
        <v>3115</v>
      </c>
      <c r="F93" s="87" t="s">
        <v>3116</v>
      </c>
      <c r="G93" s="87" t="s">
        <v>3117</v>
      </c>
      <c r="H93" s="87" t="s">
        <v>3118</v>
      </c>
      <c r="I93" s="87">
        <v>1</v>
      </c>
      <c r="J93" s="88" t="s">
        <v>3119</v>
      </c>
      <c r="K93" s="87"/>
      <c r="L93" s="115"/>
    </row>
    <row r="94" spans="1:12" ht="67.5" customHeight="1">
      <c r="A94" s="15">
        <v>91</v>
      </c>
      <c r="B94" s="87" t="s">
        <v>100</v>
      </c>
      <c r="C94" s="87" t="s">
        <v>103</v>
      </c>
      <c r="D94" s="88" t="s">
        <v>3120</v>
      </c>
      <c r="E94" s="87" t="s">
        <v>3121</v>
      </c>
      <c r="F94" s="87" t="s">
        <v>3122</v>
      </c>
      <c r="G94" s="87" t="s">
        <v>3123</v>
      </c>
      <c r="H94" s="87" t="s">
        <v>3124</v>
      </c>
      <c r="I94" s="87">
        <v>4</v>
      </c>
      <c r="J94" s="88" t="s">
        <v>3125</v>
      </c>
      <c r="K94" s="87"/>
      <c r="L94" s="115"/>
    </row>
    <row r="95" spans="1:12" ht="67.5" customHeight="1">
      <c r="A95" s="15">
        <v>92</v>
      </c>
      <c r="B95" s="87" t="s">
        <v>100</v>
      </c>
      <c r="C95" s="87" t="s">
        <v>102</v>
      </c>
      <c r="D95" s="88" t="s">
        <v>3126</v>
      </c>
      <c r="E95" s="87" t="s">
        <v>3127</v>
      </c>
      <c r="F95" s="87" t="s">
        <v>3128</v>
      </c>
      <c r="G95" s="87" t="s">
        <v>3129</v>
      </c>
      <c r="H95" s="87" t="s">
        <v>3130</v>
      </c>
      <c r="I95" s="87">
        <v>1</v>
      </c>
      <c r="J95" s="88" t="s">
        <v>3131</v>
      </c>
      <c r="K95" s="87"/>
      <c r="L95" s="115"/>
    </row>
    <row r="98" spans="1:13" ht="118.25" customHeight="1">
      <c r="A98" s="96">
        <v>93</v>
      </c>
      <c r="B98" s="96" t="s">
        <v>96</v>
      </c>
      <c r="C98" s="96" t="s">
        <v>99</v>
      </c>
      <c r="D98" s="97" t="s">
        <v>2702</v>
      </c>
      <c r="E98" s="97" t="s">
        <v>2703</v>
      </c>
      <c r="F98" s="97" t="s">
        <v>2704</v>
      </c>
      <c r="G98" s="97" t="s">
        <v>2705</v>
      </c>
      <c r="H98" s="97" t="s">
        <v>2706</v>
      </c>
      <c r="I98" s="97">
        <v>1</v>
      </c>
      <c r="J98" s="97" t="s">
        <v>2707</v>
      </c>
      <c r="K98" s="97" t="s">
        <v>3132</v>
      </c>
    </row>
    <row r="99" spans="1:13">
      <c r="A99">
        <v>94</v>
      </c>
      <c r="B99" t="s">
        <v>88</v>
      </c>
      <c r="C99" t="s">
        <v>89</v>
      </c>
      <c r="D99" t="s">
        <v>3133</v>
      </c>
      <c r="E99" t="s">
        <v>3134</v>
      </c>
      <c r="F99" t="s">
        <v>3135</v>
      </c>
      <c r="G99" t="s">
        <v>3136</v>
      </c>
      <c r="H99" t="s">
        <v>3137</v>
      </c>
      <c r="I99">
        <v>2</v>
      </c>
      <c r="J99" t="s">
        <v>3138</v>
      </c>
      <c r="K99" t="s">
        <v>3139</v>
      </c>
      <c r="L99" t="s">
        <v>3140</v>
      </c>
      <c r="M99" t="s">
        <v>2760</v>
      </c>
    </row>
    <row r="100" spans="1:13">
      <c r="A100">
        <v>95</v>
      </c>
      <c r="B100" t="s">
        <v>88</v>
      </c>
      <c r="C100" t="s">
        <v>89</v>
      </c>
      <c r="D100" t="s">
        <v>3141</v>
      </c>
      <c r="E100" t="s">
        <v>3142</v>
      </c>
      <c r="F100" t="s">
        <v>3143</v>
      </c>
      <c r="G100" t="s">
        <v>3144</v>
      </c>
      <c r="H100" t="s">
        <v>3145</v>
      </c>
      <c r="I100">
        <v>4</v>
      </c>
      <c r="J100" t="s">
        <v>3146</v>
      </c>
      <c r="K100" t="s">
        <v>3147</v>
      </c>
      <c r="L100" t="s">
        <v>3140</v>
      </c>
    </row>
    <row r="101" spans="1:13">
      <c r="A101">
        <v>96</v>
      </c>
      <c r="B101" t="s">
        <v>88</v>
      </c>
      <c r="C101" t="s">
        <v>89</v>
      </c>
      <c r="D101" t="s">
        <v>3148</v>
      </c>
      <c r="E101" t="s">
        <v>3149</v>
      </c>
      <c r="F101" t="s">
        <v>3150</v>
      </c>
      <c r="G101" t="s">
        <v>3151</v>
      </c>
      <c r="H101" t="s">
        <v>3152</v>
      </c>
      <c r="I101">
        <v>2</v>
      </c>
      <c r="J101" t="s">
        <v>3153</v>
      </c>
      <c r="K101" t="s">
        <v>3154</v>
      </c>
      <c r="L101" t="s">
        <v>3140</v>
      </c>
      <c r="M101" t="s">
        <v>2760</v>
      </c>
    </row>
    <row r="102" spans="1:13">
      <c r="A102">
        <v>97</v>
      </c>
      <c r="B102" t="s">
        <v>92</v>
      </c>
      <c r="C102" t="s">
        <v>93</v>
      </c>
      <c r="D102" t="s">
        <v>3155</v>
      </c>
      <c r="E102" t="s">
        <v>3156</v>
      </c>
      <c r="F102" t="s">
        <v>3157</v>
      </c>
      <c r="G102" t="s">
        <v>3158</v>
      </c>
      <c r="H102" t="s">
        <v>3159</v>
      </c>
      <c r="I102">
        <v>1</v>
      </c>
      <c r="J102" t="s">
        <v>3160</v>
      </c>
      <c r="K102" t="s">
        <v>3161</v>
      </c>
      <c r="L102" t="s">
        <v>3140</v>
      </c>
    </row>
    <row r="103" spans="1:13">
      <c r="A103">
        <v>98</v>
      </c>
      <c r="B103" t="s">
        <v>92</v>
      </c>
      <c r="C103" t="s">
        <v>93</v>
      </c>
      <c r="D103" t="s">
        <v>3162</v>
      </c>
      <c r="E103" t="s">
        <v>3163</v>
      </c>
      <c r="F103" t="s">
        <v>3164</v>
      </c>
      <c r="G103" t="s">
        <v>3165</v>
      </c>
      <c r="H103" t="s">
        <v>3166</v>
      </c>
      <c r="I103">
        <v>4</v>
      </c>
      <c r="J103" t="s">
        <v>3167</v>
      </c>
      <c r="K103" t="s">
        <v>3168</v>
      </c>
      <c r="L103" t="s">
        <v>3140</v>
      </c>
    </row>
    <row r="104" spans="1:13">
      <c r="A104">
        <v>99</v>
      </c>
      <c r="B104" t="s">
        <v>92</v>
      </c>
      <c r="C104" t="s">
        <v>93</v>
      </c>
      <c r="D104" t="s">
        <v>3169</v>
      </c>
      <c r="E104" t="s">
        <v>3170</v>
      </c>
      <c r="F104" t="s">
        <v>3171</v>
      </c>
      <c r="G104" t="s">
        <v>3172</v>
      </c>
      <c r="H104" t="s">
        <v>3173</v>
      </c>
      <c r="I104">
        <v>3</v>
      </c>
      <c r="J104" t="s">
        <v>3174</v>
      </c>
      <c r="L104" t="s">
        <v>3140</v>
      </c>
    </row>
  </sheetData>
  <mergeCells count="2">
    <mergeCell ref="A2:L2"/>
    <mergeCell ref="A1:L1"/>
  </mergeCells>
  <phoneticPr fontId="58" type="noConversion"/>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M160"/>
  <sheetViews>
    <sheetView tabSelected="1" zoomScaleNormal="100" workbookViewId="0">
      <pane xSplit="3" ySplit="3" topLeftCell="D139" activePane="bottomRight" state="frozen"/>
      <selection pane="topRight" activeCell="D1" sqref="D1"/>
      <selection pane="bottomLeft" activeCell="A7" sqref="A7"/>
      <selection pane="bottomRight" activeCell="F141" sqref="F141"/>
    </sheetView>
  </sheetViews>
  <sheetFormatPr baseColWidth="10" defaultColWidth="8.5" defaultRowHeight="17"/>
  <cols>
    <col min="1" max="1" width="6" style="96" customWidth="1"/>
    <col min="2" max="2" width="24" style="96" customWidth="1"/>
    <col min="3" max="3" width="28" style="96" customWidth="1"/>
    <col min="4" max="4" width="42" style="97" customWidth="1"/>
    <col min="5" max="8" width="20" style="97" customWidth="1"/>
    <col min="9" max="9" width="10" style="97" customWidth="1"/>
    <col min="10" max="10" width="44" style="97" customWidth="1"/>
    <col min="11" max="11" width="26" style="97" customWidth="1"/>
    <col min="12" max="12" width="10.5" style="97" customWidth="1"/>
    <col min="13" max="14" width="8.5" style="98" customWidth="1"/>
    <col min="15" max="16384" width="8.5" style="98"/>
  </cols>
  <sheetData>
    <row r="1" spans="1:13">
      <c r="A1" s="136"/>
      <c r="B1" s="134"/>
      <c r="C1" s="134"/>
      <c r="D1" s="135"/>
      <c r="E1" s="135"/>
      <c r="F1" s="135"/>
      <c r="G1" s="135"/>
      <c r="H1" s="135"/>
      <c r="I1" s="135"/>
      <c r="J1" s="135"/>
      <c r="K1" s="135"/>
      <c r="L1" s="135"/>
    </row>
    <row r="2" spans="1:13" ht="17.25" customHeight="1">
      <c r="A2" s="133" t="s">
        <v>3175</v>
      </c>
      <c r="B2" s="134"/>
      <c r="C2" s="134"/>
      <c r="D2" s="135"/>
      <c r="E2" s="135"/>
      <c r="F2" s="135"/>
      <c r="G2" s="135"/>
      <c r="H2" s="135"/>
      <c r="I2" s="135"/>
      <c r="J2" s="135"/>
      <c r="K2" s="135"/>
      <c r="L2" s="135"/>
    </row>
    <row r="3" spans="1:13" ht="19.5" customHeight="1">
      <c r="A3" s="14" t="s">
        <v>0</v>
      </c>
      <c r="B3" s="14" t="s">
        <v>1</v>
      </c>
      <c r="C3" s="14" t="s">
        <v>2</v>
      </c>
      <c r="D3" s="14" t="s">
        <v>3</v>
      </c>
      <c r="E3" s="14" t="s">
        <v>4</v>
      </c>
      <c r="F3" s="14" t="s">
        <v>5</v>
      </c>
      <c r="G3" s="14" t="s">
        <v>6</v>
      </c>
      <c r="H3" s="14" t="s">
        <v>7</v>
      </c>
      <c r="I3" s="14" t="s">
        <v>8</v>
      </c>
      <c r="J3" s="14" t="s">
        <v>9</v>
      </c>
      <c r="K3" s="14" t="s">
        <v>10</v>
      </c>
      <c r="L3" s="93" t="s">
        <v>737</v>
      </c>
      <c r="M3" s="94" t="s">
        <v>738</v>
      </c>
    </row>
    <row r="4" spans="1:13" ht="57.75" customHeight="1">
      <c r="A4" s="15">
        <v>1</v>
      </c>
      <c r="B4" s="16" t="s">
        <v>107</v>
      </c>
      <c r="C4" s="17" t="s">
        <v>108</v>
      </c>
      <c r="D4" s="19" t="s">
        <v>3176</v>
      </c>
      <c r="E4" s="18" t="s">
        <v>3177</v>
      </c>
      <c r="F4" s="18" t="s">
        <v>3178</v>
      </c>
      <c r="G4" s="18" t="s">
        <v>3179</v>
      </c>
      <c r="H4" s="18" t="s">
        <v>3180</v>
      </c>
      <c r="I4" s="19">
        <v>4</v>
      </c>
      <c r="J4" s="19" t="s">
        <v>3181</v>
      </c>
      <c r="K4" s="18"/>
      <c r="L4" s="19"/>
    </row>
    <row r="5" spans="1:13" ht="51" customHeight="1">
      <c r="A5" s="15">
        <v>2</v>
      </c>
      <c r="B5" s="16" t="s">
        <v>107</v>
      </c>
      <c r="C5" s="17" t="s">
        <v>108</v>
      </c>
      <c r="D5" s="19" t="s">
        <v>3182</v>
      </c>
      <c r="E5" s="18" t="s">
        <v>3183</v>
      </c>
      <c r="F5" s="18" t="s">
        <v>3184</v>
      </c>
      <c r="G5" s="18" t="s">
        <v>3185</v>
      </c>
      <c r="H5" s="18" t="s">
        <v>3186</v>
      </c>
      <c r="I5" s="19">
        <v>1</v>
      </c>
      <c r="J5" s="19" t="s">
        <v>3187</v>
      </c>
      <c r="K5" s="18"/>
      <c r="L5" s="19"/>
    </row>
    <row r="6" spans="1:13" ht="51" customHeight="1">
      <c r="A6" s="15">
        <v>3</v>
      </c>
      <c r="B6" s="16" t="s">
        <v>107</v>
      </c>
      <c r="C6" s="17" t="s">
        <v>108</v>
      </c>
      <c r="D6" s="19" t="s">
        <v>3188</v>
      </c>
      <c r="E6" s="18" t="s">
        <v>3189</v>
      </c>
      <c r="F6" s="18" t="s">
        <v>3190</v>
      </c>
      <c r="G6" s="18" t="s">
        <v>3191</v>
      </c>
      <c r="H6" s="18" t="s">
        <v>3192</v>
      </c>
      <c r="I6" s="19">
        <v>2</v>
      </c>
      <c r="J6" s="19" t="s">
        <v>3193</v>
      </c>
      <c r="K6" s="18"/>
      <c r="L6" s="19"/>
    </row>
    <row r="7" spans="1:13" ht="51" customHeight="1">
      <c r="A7" s="15">
        <v>4</v>
      </c>
      <c r="B7" s="21" t="s">
        <v>107</v>
      </c>
      <c r="C7" s="22" t="s">
        <v>108</v>
      </c>
      <c r="D7" s="23" t="s">
        <v>3194</v>
      </c>
      <c r="E7" s="23" t="s">
        <v>3195</v>
      </c>
      <c r="F7" s="23" t="s">
        <v>3196</v>
      </c>
      <c r="G7" s="23" t="s">
        <v>3197</v>
      </c>
      <c r="H7" s="23" t="s">
        <v>3198</v>
      </c>
      <c r="I7" s="24">
        <v>3</v>
      </c>
      <c r="J7" s="24" t="s">
        <v>3199</v>
      </c>
      <c r="K7" s="23"/>
      <c r="L7" s="24"/>
    </row>
    <row r="8" spans="1:13" ht="38.25" customHeight="1">
      <c r="A8" s="15">
        <v>5</v>
      </c>
      <c r="B8" s="21" t="s">
        <v>107</v>
      </c>
      <c r="C8" s="22" t="s">
        <v>108</v>
      </c>
      <c r="D8" s="23" t="s">
        <v>3200</v>
      </c>
      <c r="E8" s="23" t="s">
        <v>3201</v>
      </c>
      <c r="F8" s="23" t="s">
        <v>3202</v>
      </c>
      <c r="G8" s="23" t="s">
        <v>3203</v>
      </c>
      <c r="H8" s="23" t="s">
        <v>3204</v>
      </c>
      <c r="I8" s="24">
        <v>3</v>
      </c>
      <c r="J8" s="24" t="s">
        <v>3205</v>
      </c>
      <c r="K8" s="23"/>
      <c r="L8" s="24"/>
    </row>
    <row r="9" spans="1:13" ht="38.25" customHeight="1">
      <c r="A9" s="15">
        <v>6</v>
      </c>
      <c r="B9" s="16" t="s">
        <v>107</v>
      </c>
      <c r="C9" s="17" t="s">
        <v>109</v>
      </c>
      <c r="D9" s="19" t="s">
        <v>3206</v>
      </c>
      <c r="E9" s="18" t="s">
        <v>3207</v>
      </c>
      <c r="F9" s="18" t="s">
        <v>3208</v>
      </c>
      <c r="G9" s="18" t="s">
        <v>3209</v>
      </c>
      <c r="H9" s="18" t="s">
        <v>3210</v>
      </c>
      <c r="I9" s="19">
        <v>3</v>
      </c>
      <c r="J9" s="19" t="s">
        <v>3211</v>
      </c>
      <c r="K9" s="18" t="s">
        <v>3212</v>
      </c>
      <c r="L9" s="19"/>
    </row>
    <row r="10" spans="1:13" ht="57.75" customHeight="1">
      <c r="A10" s="15">
        <v>7</v>
      </c>
      <c r="B10" s="16" t="s">
        <v>107</v>
      </c>
      <c r="C10" s="17" t="s">
        <v>110</v>
      </c>
      <c r="D10" s="19" t="s">
        <v>3213</v>
      </c>
      <c r="E10" s="18" t="s">
        <v>3214</v>
      </c>
      <c r="F10" s="18" t="s">
        <v>3215</v>
      </c>
      <c r="G10" s="18" t="s">
        <v>3216</v>
      </c>
      <c r="H10" s="18" t="s">
        <v>3217</v>
      </c>
      <c r="I10" s="19">
        <v>1</v>
      </c>
      <c r="J10" s="19" t="s">
        <v>3218</v>
      </c>
      <c r="K10" s="18" t="s">
        <v>3219</v>
      </c>
      <c r="L10" s="19"/>
    </row>
    <row r="11" spans="1:13" ht="63.75" customHeight="1">
      <c r="A11" s="15">
        <v>8</v>
      </c>
      <c r="B11" s="16" t="s">
        <v>107</v>
      </c>
      <c r="C11" s="17" t="s">
        <v>111</v>
      </c>
      <c r="D11" s="19" t="s">
        <v>3220</v>
      </c>
      <c r="E11" s="18" t="s">
        <v>3221</v>
      </c>
      <c r="F11" s="18" t="s">
        <v>3222</v>
      </c>
      <c r="G11" s="18" t="s">
        <v>3223</v>
      </c>
      <c r="H11" s="18" t="s">
        <v>3224</v>
      </c>
      <c r="I11" s="19">
        <v>4</v>
      </c>
      <c r="J11" s="19" t="s">
        <v>3225</v>
      </c>
      <c r="K11" s="18" t="s">
        <v>3226</v>
      </c>
      <c r="L11" s="19"/>
    </row>
    <row r="12" spans="1:13" ht="57.75" customHeight="1">
      <c r="A12" s="15">
        <v>9</v>
      </c>
      <c r="B12" s="16" t="s">
        <v>113</v>
      </c>
      <c r="C12" s="17" t="s">
        <v>114</v>
      </c>
      <c r="D12" s="19" t="s">
        <v>3227</v>
      </c>
      <c r="E12" s="18" t="s">
        <v>3228</v>
      </c>
      <c r="F12" s="18" t="s">
        <v>3229</v>
      </c>
      <c r="G12" s="18" t="s">
        <v>3230</v>
      </c>
      <c r="H12" s="18" t="s">
        <v>3231</v>
      </c>
      <c r="I12" s="19">
        <v>4</v>
      </c>
      <c r="J12" s="19" t="s">
        <v>3232</v>
      </c>
      <c r="K12" s="18" t="s">
        <v>3233</v>
      </c>
      <c r="L12" s="19"/>
    </row>
    <row r="13" spans="1:13" ht="51" customHeight="1">
      <c r="A13" s="15">
        <v>10</v>
      </c>
      <c r="B13" s="16" t="s">
        <v>113</v>
      </c>
      <c r="C13" s="17" t="s">
        <v>114</v>
      </c>
      <c r="D13" s="19" t="s">
        <v>3234</v>
      </c>
      <c r="E13" s="18" t="s">
        <v>3235</v>
      </c>
      <c r="F13" s="18" t="s">
        <v>3236</v>
      </c>
      <c r="G13" s="18" t="s">
        <v>3237</v>
      </c>
      <c r="H13" s="18" t="s">
        <v>3238</v>
      </c>
      <c r="I13" s="19">
        <v>2</v>
      </c>
      <c r="J13" s="19" t="s">
        <v>3239</v>
      </c>
      <c r="K13" s="18" t="s">
        <v>3240</v>
      </c>
      <c r="L13" s="19"/>
    </row>
    <row r="14" spans="1:13" ht="43.5" customHeight="1">
      <c r="A14" s="15">
        <v>11</v>
      </c>
      <c r="B14" s="21" t="s">
        <v>113</v>
      </c>
      <c r="C14" s="22" t="s">
        <v>114</v>
      </c>
      <c r="D14" s="23" t="s">
        <v>3241</v>
      </c>
      <c r="E14" s="23" t="s">
        <v>3242</v>
      </c>
      <c r="F14" s="23" t="s">
        <v>3243</v>
      </c>
      <c r="G14" s="23" t="s">
        <v>3244</v>
      </c>
      <c r="H14" s="23" t="s">
        <v>3245</v>
      </c>
      <c r="I14" s="24">
        <v>4</v>
      </c>
      <c r="J14" s="24" t="s">
        <v>3246</v>
      </c>
      <c r="K14" s="23"/>
      <c r="L14" s="24"/>
    </row>
    <row r="15" spans="1:13" ht="63.75" customHeight="1">
      <c r="A15" s="15">
        <v>12</v>
      </c>
      <c r="B15" s="21" t="s">
        <v>113</v>
      </c>
      <c r="C15" s="22" t="s">
        <v>114</v>
      </c>
      <c r="D15" s="23" t="s">
        <v>3247</v>
      </c>
      <c r="E15" s="23" t="s">
        <v>3248</v>
      </c>
      <c r="F15" s="23" t="s">
        <v>3249</v>
      </c>
      <c r="G15" s="23" t="s">
        <v>3250</v>
      </c>
      <c r="H15" s="23" t="s">
        <v>3251</v>
      </c>
      <c r="I15" s="24">
        <v>4</v>
      </c>
      <c r="J15" s="24" t="s">
        <v>3252</v>
      </c>
      <c r="K15" s="23"/>
      <c r="L15" s="24"/>
    </row>
    <row r="16" spans="1:13" ht="38.25" customHeight="1">
      <c r="A16" s="15">
        <v>13</v>
      </c>
      <c r="B16" s="21" t="s">
        <v>113</v>
      </c>
      <c r="C16" s="22" t="s">
        <v>114</v>
      </c>
      <c r="D16" s="23" t="s">
        <v>3253</v>
      </c>
      <c r="E16" s="23" t="s">
        <v>3254</v>
      </c>
      <c r="F16" s="23" t="s">
        <v>3255</v>
      </c>
      <c r="G16" s="23" t="s">
        <v>3256</v>
      </c>
      <c r="H16" s="23" t="s">
        <v>3257</v>
      </c>
      <c r="I16" s="24">
        <v>1</v>
      </c>
      <c r="J16" s="24" t="s">
        <v>3258</v>
      </c>
      <c r="K16" s="23"/>
      <c r="L16" s="24"/>
    </row>
    <row r="17" spans="1:12" ht="43.5" customHeight="1">
      <c r="A17" s="15">
        <v>14</v>
      </c>
      <c r="B17" s="21" t="s">
        <v>113</v>
      </c>
      <c r="C17" s="22" t="s">
        <v>114</v>
      </c>
      <c r="D17" s="23" t="s">
        <v>3259</v>
      </c>
      <c r="E17" s="23" t="s">
        <v>3260</v>
      </c>
      <c r="F17" s="23" t="s">
        <v>3261</v>
      </c>
      <c r="G17" s="23" t="s">
        <v>3262</v>
      </c>
      <c r="H17" s="23" t="s">
        <v>3263</v>
      </c>
      <c r="I17" s="24">
        <v>4</v>
      </c>
      <c r="J17" s="24" t="s">
        <v>3264</v>
      </c>
      <c r="K17" s="23"/>
      <c r="L17" s="24"/>
    </row>
    <row r="18" spans="1:12" ht="76.5" customHeight="1">
      <c r="A18" s="15">
        <v>15</v>
      </c>
      <c r="B18" s="21" t="s">
        <v>113</v>
      </c>
      <c r="C18" s="22" t="s">
        <v>114</v>
      </c>
      <c r="D18" s="23" t="s">
        <v>3265</v>
      </c>
      <c r="E18" s="23" t="s">
        <v>3266</v>
      </c>
      <c r="F18" s="23" t="s">
        <v>3267</v>
      </c>
      <c r="G18" s="23" t="s">
        <v>3268</v>
      </c>
      <c r="H18" s="23" t="s">
        <v>3269</v>
      </c>
      <c r="I18" s="24">
        <v>2</v>
      </c>
      <c r="J18" s="24" t="s">
        <v>3270</v>
      </c>
      <c r="K18" s="23" t="s">
        <v>3271</v>
      </c>
      <c r="L18" s="24"/>
    </row>
    <row r="19" spans="1:12" ht="51" customHeight="1">
      <c r="A19" s="15">
        <v>16</v>
      </c>
      <c r="B19" s="21" t="s">
        <v>113</v>
      </c>
      <c r="C19" s="22" t="s">
        <v>114</v>
      </c>
      <c r="D19" s="23" t="s">
        <v>3272</v>
      </c>
      <c r="E19" s="23" t="s">
        <v>3273</v>
      </c>
      <c r="F19" s="23" t="s">
        <v>3274</v>
      </c>
      <c r="G19" s="23" t="s">
        <v>3275</v>
      </c>
      <c r="H19" s="23" t="s">
        <v>3276</v>
      </c>
      <c r="I19" s="24">
        <v>4</v>
      </c>
      <c r="J19" s="24" t="s">
        <v>3277</v>
      </c>
      <c r="K19" s="23"/>
      <c r="L19" s="24"/>
    </row>
    <row r="20" spans="1:12" ht="38.25" customHeight="1">
      <c r="A20" s="15">
        <v>17</v>
      </c>
      <c r="B20" s="21" t="s">
        <v>113</v>
      </c>
      <c r="C20" s="22" t="s">
        <v>114</v>
      </c>
      <c r="D20" s="23" t="s">
        <v>3278</v>
      </c>
      <c r="E20" s="23" t="s">
        <v>3279</v>
      </c>
      <c r="F20" s="23" t="s">
        <v>3280</v>
      </c>
      <c r="G20" s="23" t="s">
        <v>3281</v>
      </c>
      <c r="H20" s="23" t="s">
        <v>3282</v>
      </c>
      <c r="I20" s="24">
        <v>3</v>
      </c>
      <c r="J20" s="24" t="s">
        <v>3283</v>
      </c>
      <c r="K20" s="23"/>
      <c r="L20" s="24"/>
    </row>
    <row r="21" spans="1:12" ht="51" customHeight="1">
      <c r="A21" s="15">
        <v>18</v>
      </c>
      <c r="B21" s="21" t="s">
        <v>113</v>
      </c>
      <c r="C21" s="22" t="s">
        <v>114</v>
      </c>
      <c r="D21" s="23" t="s">
        <v>3284</v>
      </c>
      <c r="E21" s="23" t="s">
        <v>3285</v>
      </c>
      <c r="F21" s="23" t="s">
        <v>3286</v>
      </c>
      <c r="G21" s="23" t="s">
        <v>3287</v>
      </c>
      <c r="H21" s="23" t="s">
        <v>3288</v>
      </c>
      <c r="I21" s="24">
        <v>3</v>
      </c>
      <c r="J21" s="23" t="s">
        <v>3289</v>
      </c>
      <c r="K21" s="23" t="s">
        <v>1062</v>
      </c>
      <c r="L21" s="24"/>
    </row>
    <row r="22" spans="1:12" ht="72" customHeight="1">
      <c r="A22" s="15">
        <v>19</v>
      </c>
      <c r="B22" s="21" t="s">
        <v>113</v>
      </c>
      <c r="C22" s="22" t="s">
        <v>114</v>
      </c>
      <c r="D22" s="23" t="s">
        <v>3290</v>
      </c>
      <c r="E22" s="23" t="s">
        <v>3291</v>
      </c>
      <c r="F22" s="23" t="s">
        <v>3292</v>
      </c>
      <c r="G22" s="23" t="s">
        <v>3293</v>
      </c>
      <c r="H22" s="23" t="s">
        <v>3294</v>
      </c>
      <c r="I22" s="24">
        <v>2</v>
      </c>
      <c r="J22" s="23" t="s">
        <v>3295</v>
      </c>
      <c r="K22" s="23" t="s">
        <v>3296</v>
      </c>
      <c r="L22" s="24"/>
    </row>
    <row r="23" spans="1:12" ht="38.25" customHeight="1">
      <c r="A23" s="15">
        <v>20</v>
      </c>
      <c r="B23" s="21" t="s">
        <v>113</v>
      </c>
      <c r="C23" s="22" t="s">
        <v>114</v>
      </c>
      <c r="D23" s="23" t="s">
        <v>3297</v>
      </c>
      <c r="E23" s="23" t="s">
        <v>3298</v>
      </c>
      <c r="F23" s="23" t="s">
        <v>3299</v>
      </c>
      <c r="G23" s="23" t="s">
        <v>3300</v>
      </c>
      <c r="H23" s="23" t="s">
        <v>3301</v>
      </c>
      <c r="I23" s="24">
        <v>3</v>
      </c>
      <c r="J23" s="23" t="s">
        <v>3302</v>
      </c>
      <c r="K23" s="23" t="s">
        <v>3303</v>
      </c>
      <c r="L23" s="24"/>
    </row>
    <row r="24" spans="1:12" ht="63.75" customHeight="1">
      <c r="A24" s="15">
        <v>21</v>
      </c>
      <c r="B24" s="21" t="s">
        <v>113</v>
      </c>
      <c r="C24" s="22" t="s">
        <v>114</v>
      </c>
      <c r="D24" s="23" t="s">
        <v>3304</v>
      </c>
      <c r="E24" s="23" t="s">
        <v>3305</v>
      </c>
      <c r="F24" s="23" t="s">
        <v>3306</v>
      </c>
      <c r="G24" s="23" t="s">
        <v>3307</v>
      </c>
      <c r="H24" s="23" t="s">
        <v>3308</v>
      </c>
      <c r="I24" s="24">
        <v>3</v>
      </c>
      <c r="J24" s="23" t="s">
        <v>3309</v>
      </c>
      <c r="K24" s="23" t="s">
        <v>3310</v>
      </c>
      <c r="L24" s="24"/>
    </row>
    <row r="25" spans="1:12" ht="86.25" customHeight="1">
      <c r="A25" s="15">
        <v>22</v>
      </c>
      <c r="B25" s="21" t="s">
        <v>113</v>
      </c>
      <c r="C25" s="22" t="s">
        <v>114</v>
      </c>
      <c r="D25" s="23" t="s">
        <v>3311</v>
      </c>
      <c r="E25" s="23" t="s">
        <v>3312</v>
      </c>
      <c r="F25" s="23" t="s">
        <v>3313</v>
      </c>
      <c r="G25" s="23" t="s">
        <v>3314</v>
      </c>
      <c r="H25" s="23" t="s">
        <v>3315</v>
      </c>
      <c r="I25" s="24">
        <v>2</v>
      </c>
      <c r="J25" s="23" t="s">
        <v>3316</v>
      </c>
      <c r="K25" s="23" t="s">
        <v>3310</v>
      </c>
      <c r="L25" s="24"/>
    </row>
    <row r="26" spans="1:12" ht="63.75" customHeight="1">
      <c r="A26" s="15">
        <v>23</v>
      </c>
      <c r="B26" s="21" t="s">
        <v>113</v>
      </c>
      <c r="C26" s="22" t="s">
        <v>114</v>
      </c>
      <c r="D26" s="23" t="s">
        <v>3317</v>
      </c>
      <c r="E26" s="23" t="s">
        <v>3318</v>
      </c>
      <c r="F26" s="23" t="s">
        <v>3319</v>
      </c>
      <c r="G26" s="23" t="s">
        <v>3320</v>
      </c>
      <c r="H26" s="23" t="s">
        <v>3321</v>
      </c>
      <c r="I26" s="24">
        <v>4</v>
      </c>
      <c r="J26" s="23" t="s">
        <v>3322</v>
      </c>
      <c r="K26" s="23" t="s">
        <v>3240</v>
      </c>
      <c r="L26" s="24"/>
    </row>
    <row r="27" spans="1:12" ht="38.25" customHeight="1">
      <c r="A27" s="15">
        <v>24</v>
      </c>
      <c r="B27" s="16" t="s">
        <v>113</v>
      </c>
      <c r="C27" s="17" t="s">
        <v>115</v>
      </c>
      <c r="D27" s="19" t="s">
        <v>3323</v>
      </c>
      <c r="E27" s="18" t="s">
        <v>3324</v>
      </c>
      <c r="F27" s="18" t="s">
        <v>3325</v>
      </c>
      <c r="G27" s="18" t="s">
        <v>3326</v>
      </c>
      <c r="H27" s="18" t="s">
        <v>3327</v>
      </c>
      <c r="I27" s="19">
        <v>4</v>
      </c>
      <c r="J27" s="19" t="s">
        <v>3328</v>
      </c>
      <c r="K27" s="18" t="s">
        <v>3329</v>
      </c>
      <c r="L27" s="19"/>
    </row>
    <row r="28" spans="1:12" ht="76.5" customHeight="1">
      <c r="A28" s="15">
        <v>25</v>
      </c>
      <c r="B28" s="16" t="s">
        <v>113</v>
      </c>
      <c r="C28" s="17" t="s">
        <v>115</v>
      </c>
      <c r="D28" s="19" t="s">
        <v>3330</v>
      </c>
      <c r="E28" s="18" t="s">
        <v>3331</v>
      </c>
      <c r="F28" s="18" t="s">
        <v>1531</v>
      </c>
      <c r="G28" s="18" t="s">
        <v>3332</v>
      </c>
      <c r="H28" s="18" t="s">
        <v>3333</v>
      </c>
      <c r="I28" s="19">
        <v>2</v>
      </c>
      <c r="J28" s="19" t="s">
        <v>3334</v>
      </c>
      <c r="K28" s="18"/>
      <c r="L28" s="19"/>
    </row>
    <row r="29" spans="1:12" ht="76.5" customHeight="1">
      <c r="A29" s="15">
        <v>26</v>
      </c>
      <c r="B29" s="21" t="s">
        <v>113</v>
      </c>
      <c r="C29" s="22" t="s">
        <v>115</v>
      </c>
      <c r="D29" s="23" t="s">
        <v>3335</v>
      </c>
      <c r="E29" s="23" t="s">
        <v>3336</v>
      </c>
      <c r="F29" s="23" t="s">
        <v>3337</v>
      </c>
      <c r="G29" s="23" t="s">
        <v>3338</v>
      </c>
      <c r="H29" s="23" t="s">
        <v>3339</v>
      </c>
      <c r="I29" s="24">
        <v>4</v>
      </c>
      <c r="J29" s="24" t="s">
        <v>3340</v>
      </c>
      <c r="K29" s="23"/>
      <c r="L29" s="24"/>
    </row>
    <row r="30" spans="1:12" ht="76.5" customHeight="1">
      <c r="A30" s="15">
        <v>27</v>
      </c>
      <c r="B30" s="21" t="s">
        <v>113</v>
      </c>
      <c r="C30" s="22" t="s">
        <v>115</v>
      </c>
      <c r="D30" s="23" t="s">
        <v>3341</v>
      </c>
      <c r="E30" s="23" t="s">
        <v>3342</v>
      </c>
      <c r="F30" s="23" t="s">
        <v>3343</v>
      </c>
      <c r="G30" s="23" t="s">
        <v>3344</v>
      </c>
      <c r="H30" s="23" t="s">
        <v>3345</v>
      </c>
      <c r="I30" s="24">
        <v>1</v>
      </c>
      <c r="J30" s="24" t="s">
        <v>3346</v>
      </c>
      <c r="K30" s="23"/>
      <c r="L30" s="24"/>
    </row>
    <row r="31" spans="1:12" ht="76.5" customHeight="1">
      <c r="A31" s="15">
        <v>28</v>
      </c>
      <c r="B31" s="21" t="s">
        <v>113</v>
      </c>
      <c r="C31" s="22" t="s">
        <v>115</v>
      </c>
      <c r="D31" s="23" t="s">
        <v>3347</v>
      </c>
      <c r="E31" s="23" t="s">
        <v>3348</v>
      </c>
      <c r="F31" s="23" t="s">
        <v>3349</v>
      </c>
      <c r="G31" s="23" t="s">
        <v>3350</v>
      </c>
      <c r="H31" s="23" t="s">
        <v>3351</v>
      </c>
      <c r="I31" s="24">
        <v>3</v>
      </c>
      <c r="J31" s="24" t="s">
        <v>3352</v>
      </c>
      <c r="K31" s="23"/>
      <c r="L31" s="24"/>
    </row>
    <row r="32" spans="1:12" ht="76.5" customHeight="1">
      <c r="A32" s="15">
        <v>29</v>
      </c>
      <c r="B32" s="21" t="s">
        <v>113</v>
      </c>
      <c r="C32" s="22" t="s">
        <v>115</v>
      </c>
      <c r="D32" s="23" t="s">
        <v>3353</v>
      </c>
      <c r="E32" s="23" t="s">
        <v>3354</v>
      </c>
      <c r="F32" s="23" t="s">
        <v>3355</v>
      </c>
      <c r="G32" s="23" t="s">
        <v>3356</v>
      </c>
      <c r="H32" s="23" t="s">
        <v>3357</v>
      </c>
      <c r="I32" s="24">
        <v>2</v>
      </c>
      <c r="J32" s="24" t="s">
        <v>3358</v>
      </c>
      <c r="K32" s="23"/>
      <c r="L32" s="24"/>
    </row>
    <row r="33" spans="1:12" ht="76.5" customHeight="1">
      <c r="A33" s="15">
        <v>30</v>
      </c>
      <c r="B33" s="21" t="s">
        <v>113</v>
      </c>
      <c r="C33" s="22" t="s">
        <v>115</v>
      </c>
      <c r="D33" s="23" t="s">
        <v>3359</v>
      </c>
      <c r="E33" s="23" t="s">
        <v>3360</v>
      </c>
      <c r="F33" s="23" t="s">
        <v>3361</v>
      </c>
      <c r="G33" s="23" t="s">
        <v>3362</v>
      </c>
      <c r="H33" s="23" t="s">
        <v>3363</v>
      </c>
      <c r="I33" s="24">
        <v>2</v>
      </c>
      <c r="J33" s="24" t="s">
        <v>3364</v>
      </c>
      <c r="K33" s="23"/>
      <c r="L33" s="24"/>
    </row>
    <row r="34" spans="1:12" ht="76.5" customHeight="1">
      <c r="A34" s="15">
        <v>31</v>
      </c>
      <c r="B34" s="21" t="s">
        <v>113</v>
      </c>
      <c r="C34" s="22" t="s">
        <v>115</v>
      </c>
      <c r="D34" s="24" t="s">
        <v>3365</v>
      </c>
      <c r="E34" s="23" t="s">
        <v>3366</v>
      </c>
      <c r="F34" s="23" t="s">
        <v>3367</v>
      </c>
      <c r="G34" s="23" t="s">
        <v>3368</v>
      </c>
      <c r="H34" s="23" t="s">
        <v>3369</v>
      </c>
      <c r="I34" s="24">
        <v>2</v>
      </c>
      <c r="J34" s="24" t="s">
        <v>3370</v>
      </c>
      <c r="K34" s="23"/>
      <c r="L34" s="24"/>
    </row>
    <row r="35" spans="1:12" ht="76.5" customHeight="1">
      <c r="A35" s="15">
        <v>32</v>
      </c>
      <c r="B35" s="21" t="s">
        <v>113</v>
      </c>
      <c r="C35" s="22" t="s">
        <v>115</v>
      </c>
      <c r="D35" s="23" t="s">
        <v>3371</v>
      </c>
      <c r="E35" s="23" t="s">
        <v>3372</v>
      </c>
      <c r="F35" s="23" t="s">
        <v>3373</v>
      </c>
      <c r="G35" s="23" t="s">
        <v>3374</v>
      </c>
      <c r="H35" s="23" t="s">
        <v>3375</v>
      </c>
      <c r="I35" s="24">
        <v>3</v>
      </c>
      <c r="J35" s="24" t="s">
        <v>3376</v>
      </c>
      <c r="K35" s="23"/>
      <c r="L35" s="24"/>
    </row>
    <row r="36" spans="1:12" ht="76.5" customHeight="1">
      <c r="A36" s="15">
        <v>33</v>
      </c>
      <c r="B36" s="21" t="s">
        <v>113</v>
      </c>
      <c r="C36" s="22" t="s">
        <v>115</v>
      </c>
      <c r="D36" s="23" t="s">
        <v>3377</v>
      </c>
      <c r="E36" s="23" t="s">
        <v>3378</v>
      </c>
      <c r="F36" s="23" t="s">
        <v>3379</v>
      </c>
      <c r="G36" s="23" t="s">
        <v>3380</v>
      </c>
      <c r="H36" s="23" t="s">
        <v>3381</v>
      </c>
      <c r="I36" s="24">
        <v>2</v>
      </c>
      <c r="J36" s="24" t="s">
        <v>3382</v>
      </c>
      <c r="K36" s="23"/>
      <c r="L36" s="24"/>
    </row>
    <row r="37" spans="1:12" ht="76.5" customHeight="1">
      <c r="A37" s="15">
        <v>34</v>
      </c>
      <c r="B37" s="21" t="s">
        <v>113</v>
      </c>
      <c r="C37" s="22" t="s">
        <v>115</v>
      </c>
      <c r="D37" s="23" t="s">
        <v>3383</v>
      </c>
      <c r="E37" s="23" t="s">
        <v>3384</v>
      </c>
      <c r="F37" s="23" t="s">
        <v>3385</v>
      </c>
      <c r="G37" s="23" t="s">
        <v>3386</v>
      </c>
      <c r="H37" s="23" t="s">
        <v>3387</v>
      </c>
      <c r="I37" s="24">
        <v>4</v>
      </c>
      <c r="J37" s="24" t="s">
        <v>3388</v>
      </c>
      <c r="K37" s="23"/>
      <c r="L37" s="24"/>
    </row>
    <row r="38" spans="1:12" ht="76.5" customHeight="1">
      <c r="A38" s="15">
        <v>35</v>
      </c>
      <c r="B38" s="21" t="s">
        <v>113</v>
      </c>
      <c r="C38" s="22" t="s">
        <v>115</v>
      </c>
      <c r="D38" s="23" t="s">
        <v>3389</v>
      </c>
      <c r="E38" s="23" t="s">
        <v>3390</v>
      </c>
      <c r="F38" s="23" t="s">
        <v>3391</v>
      </c>
      <c r="G38" s="23" t="s">
        <v>3392</v>
      </c>
      <c r="H38" s="23" t="s">
        <v>3393</v>
      </c>
      <c r="I38" s="24">
        <v>3</v>
      </c>
      <c r="J38" s="24" t="s">
        <v>3394</v>
      </c>
      <c r="K38" s="23"/>
      <c r="L38" s="24"/>
    </row>
    <row r="39" spans="1:12" ht="76.5" customHeight="1">
      <c r="A39" s="15">
        <v>36</v>
      </c>
      <c r="B39" s="21" t="s">
        <v>113</v>
      </c>
      <c r="C39" s="22" t="s">
        <v>115</v>
      </c>
      <c r="D39" s="23" t="s">
        <v>3395</v>
      </c>
      <c r="E39" s="23" t="s">
        <v>3396</v>
      </c>
      <c r="F39" s="23" t="s">
        <v>3397</v>
      </c>
      <c r="G39" s="23" t="s">
        <v>3398</v>
      </c>
      <c r="H39" s="23" t="s">
        <v>3399</v>
      </c>
      <c r="I39" s="24">
        <v>4</v>
      </c>
      <c r="J39" s="24" t="s">
        <v>3400</v>
      </c>
      <c r="K39" s="23" t="s">
        <v>3401</v>
      </c>
      <c r="L39" s="24"/>
    </row>
    <row r="40" spans="1:12" ht="76.5" customHeight="1">
      <c r="A40" s="15">
        <v>37</v>
      </c>
      <c r="B40" s="21" t="s">
        <v>113</v>
      </c>
      <c r="C40" s="22" t="s">
        <v>115</v>
      </c>
      <c r="D40" s="23" t="s">
        <v>3402</v>
      </c>
      <c r="E40" s="23" t="s">
        <v>3403</v>
      </c>
      <c r="F40" s="23" t="s">
        <v>3404</v>
      </c>
      <c r="G40" s="23" t="s">
        <v>3405</v>
      </c>
      <c r="H40" s="23" t="s">
        <v>3406</v>
      </c>
      <c r="I40" s="24">
        <v>3</v>
      </c>
      <c r="J40" s="24" t="s">
        <v>3407</v>
      </c>
      <c r="K40" s="23" t="s">
        <v>3408</v>
      </c>
      <c r="L40" s="24"/>
    </row>
    <row r="41" spans="1:12" ht="76.5" customHeight="1">
      <c r="A41" s="15">
        <v>38</v>
      </c>
      <c r="B41" s="21" t="s">
        <v>113</v>
      </c>
      <c r="C41" s="22" t="s">
        <v>115</v>
      </c>
      <c r="D41" s="23" t="s">
        <v>3409</v>
      </c>
      <c r="E41" s="23" t="s">
        <v>3410</v>
      </c>
      <c r="F41" s="23" t="s">
        <v>3411</v>
      </c>
      <c r="G41" s="23" t="s">
        <v>3412</v>
      </c>
      <c r="H41" s="23" t="s">
        <v>3413</v>
      </c>
      <c r="I41" s="24">
        <v>3</v>
      </c>
      <c r="J41" s="24" t="s">
        <v>3414</v>
      </c>
      <c r="K41" s="23" t="s">
        <v>3415</v>
      </c>
      <c r="L41" s="24"/>
    </row>
    <row r="42" spans="1:12" ht="76.5" customHeight="1">
      <c r="A42" s="15">
        <v>39</v>
      </c>
      <c r="B42" s="21" t="s">
        <v>113</v>
      </c>
      <c r="C42" s="22" t="s">
        <v>115</v>
      </c>
      <c r="D42" s="23" t="s">
        <v>3416</v>
      </c>
      <c r="E42" s="23" t="s">
        <v>3417</v>
      </c>
      <c r="F42" s="23" t="s">
        <v>3418</v>
      </c>
      <c r="G42" s="23" t="s">
        <v>3419</v>
      </c>
      <c r="H42" s="23" t="s">
        <v>3420</v>
      </c>
      <c r="I42" s="24">
        <v>2</v>
      </c>
      <c r="J42" s="24" t="s">
        <v>3421</v>
      </c>
      <c r="K42" s="23" t="s">
        <v>3422</v>
      </c>
      <c r="L42" s="24"/>
    </row>
    <row r="43" spans="1:12" ht="76.5" customHeight="1">
      <c r="A43" s="15">
        <v>40</v>
      </c>
      <c r="B43" s="16" t="s">
        <v>113</v>
      </c>
      <c r="C43" s="17" t="s">
        <v>116</v>
      </c>
      <c r="D43" s="19" t="s">
        <v>3423</v>
      </c>
      <c r="E43" s="18" t="s">
        <v>3424</v>
      </c>
      <c r="F43" s="18" t="s">
        <v>3425</v>
      </c>
      <c r="G43" s="18" t="s">
        <v>3426</v>
      </c>
      <c r="H43" s="18" t="s">
        <v>3427</v>
      </c>
      <c r="I43" s="19">
        <v>2</v>
      </c>
      <c r="J43" s="19" t="s">
        <v>3428</v>
      </c>
      <c r="K43" s="18"/>
      <c r="L43" s="19"/>
    </row>
    <row r="44" spans="1:12" ht="76.5" customHeight="1">
      <c r="A44" s="15">
        <v>41</v>
      </c>
      <c r="B44" s="16" t="s">
        <v>113</v>
      </c>
      <c r="C44" s="17" t="s">
        <v>116</v>
      </c>
      <c r="D44" s="19" t="s">
        <v>3429</v>
      </c>
      <c r="E44" s="18" t="s">
        <v>3430</v>
      </c>
      <c r="F44" s="18" t="s">
        <v>3431</v>
      </c>
      <c r="G44" s="18" t="s">
        <v>3432</v>
      </c>
      <c r="H44" s="18" t="s">
        <v>3433</v>
      </c>
      <c r="I44" s="19">
        <v>2</v>
      </c>
      <c r="J44" s="19" t="s">
        <v>3434</v>
      </c>
      <c r="K44" s="18"/>
      <c r="L44" s="19"/>
    </row>
    <row r="45" spans="1:12" ht="76.5" customHeight="1">
      <c r="A45" s="15">
        <v>42</v>
      </c>
      <c r="B45" s="16" t="s">
        <v>113</v>
      </c>
      <c r="C45" s="17" t="s">
        <v>116</v>
      </c>
      <c r="D45" s="19" t="s">
        <v>3435</v>
      </c>
      <c r="E45" s="18" t="s">
        <v>3436</v>
      </c>
      <c r="F45" s="18" t="s">
        <v>3437</v>
      </c>
      <c r="G45" s="18" t="s">
        <v>3438</v>
      </c>
      <c r="H45" s="18" t="s">
        <v>3439</v>
      </c>
      <c r="I45" s="19">
        <v>1</v>
      </c>
      <c r="J45" s="19" t="s">
        <v>3440</v>
      </c>
      <c r="K45" s="18"/>
      <c r="L45" s="19"/>
    </row>
    <row r="46" spans="1:12" ht="76.5" customHeight="1">
      <c r="A46" s="15">
        <v>43</v>
      </c>
      <c r="B46" s="16" t="s">
        <v>113</v>
      </c>
      <c r="C46" s="17" t="s">
        <v>117</v>
      </c>
      <c r="D46" s="19" t="s">
        <v>3441</v>
      </c>
      <c r="E46" s="18" t="s">
        <v>3442</v>
      </c>
      <c r="F46" s="18" t="s">
        <v>3443</v>
      </c>
      <c r="G46" s="18" t="s">
        <v>3444</v>
      </c>
      <c r="H46" s="18" t="s">
        <v>3445</v>
      </c>
      <c r="I46" s="19">
        <v>3</v>
      </c>
      <c r="J46" s="19" t="s">
        <v>3446</v>
      </c>
      <c r="K46" s="18" t="s">
        <v>3447</v>
      </c>
      <c r="L46" s="19"/>
    </row>
    <row r="47" spans="1:12" ht="76.5" customHeight="1">
      <c r="A47" s="15">
        <v>44</v>
      </c>
      <c r="B47" s="16" t="s">
        <v>113</v>
      </c>
      <c r="C47" s="17" t="s">
        <v>117</v>
      </c>
      <c r="D47" s="19" t="s">
        <v>3448</v>
      </c>
      <c r="E47" s="18" t="s">
        <v>3449</v>
      </c>
      <c r="F47" s="18" t="s">
        <v>3450</v>
      </c>
      <c r="G47" s="18" t="s">
        <v>3451</v>
      </c>
      <c r="H47" s="18" t="s">
        <v>3452</v>
      </c>
      <c r="I47" s="19">
        <v>1</v>
      </c>
      <c r="J47" s="19" t="s">
        <v>3453</v>
      </c>
      <c r="K47" s="18" t="s">
        <v>3454</v>
      </c>
      <c r="L47" s="19"/>
    </row>
    <row r="48" spans="1:12" ht="76.5" customHeight="1">
      <c r="A48" s="15">
        <v>45</v>
      </c>
      <c r="B48" s="16" t="s">
        <v>113</v>
      </c>
      <c r="C48" s="17" t="s">
        <v>117</v>
      </c>
      <c r="D48" s="19" t="s">
        <v>3455</v>
      </c>
      <c r="E48" s="18" t="s">
        <v>3456</v>
      </c>
      <c r="F48" s="18" t="s">
        <v>3457</v>
      </c>
      <c r="G48" s="18" t="s">
        <v>3458</v>
      </c>
      <c r="H48" s="18" t="s">
        <v>3459</v>
      </c>
      <c r="I48" s="19">
        <v>2</v>
      </c>
      <c r="J48" s="19" t="s">
        <v>3460</v>
      </c>
      <c r="K48" s="18" t="s">
        <v>3461</v>
      </c>
      <c r="L48" s="19"/>
    </row>
    <row r="49" spans="1:12" ht="76.5" customHeight="1">
      <c r="A49" s="15">
        <v>46</v>
      </c>
      <c r="B49" s="16" t="s">
        <v>113</v>
      </c>
      <c r="C49" s="17" t="s">
        <v>117</v>
      </c>
      <c r="D49" s="19" t="s">
        <v>3462</v>
      </c>
      <c r="E49" s="19" t="s">
        <v>3463</v>
      </c>
      <c r="F49" s="19" t="s">
        <v>566</v>
      </c>
      <c r="G49" s="19" t="s">
        <v>3464</v>
      </c>
      <c r="H49" s="19" t="s">
        <v>568</v>
      </c>
      <c r="I49" s="19">
        <v>1</v>
      </c>
      <c r="J49" s="19" t="s">
        <v>3465</v>
      </c>
      <c r="K49" s="18" t="s">
        <v>3466</v>
      </c>
      <c r="L49" s="19"/>
    </row>
    <row r="50" spans="1:12" ht="76.5" customHeight="1">
      <c r="A50" s="15">
        <v>47</v>
      </c>
      <c r="B50" s="16" t="s">
        <v>113</v>
      </c>
      <c r="C50" s="17" t="s">
        <v>117</v>
      </c>
      <c r="D50" s="19" t="s">
        <v>3467</v>
      </c>
      <c r="E50" s="18" t="s">
        <v>3468</v>
      </c>
      <c r="F50" s="18" t="s">
        <v>3469</v>
      </c>
      <c r="G50" s="18" t="s">
        <v>3470</v>
      </c>
      <c r="H50" s="18" t="s">
        <v>3471</v>
      </c>
      <c r="I50" s="19">
        <v>1</v>
      </c>
      <c r="J50" s="19" t="s">
        <v>3472</v>
      </c>
      <c r="K50" s="18" t="s">
        <v>3473</v>
      </c>
      <c r="L50" s="19"/>
    </row>
    <row r="51" spans="1:12" ht="76.5" customHeight="1">
      <c r="A51" s="15">
        <v>48</v>
      </c>
      <c r="B51" s="21" t="s">
        <v>113</v>
      </c>
      <c r="C51" s="22" t="s">
        <v>117</v>
      </c>
      <c r="D51" s="23" t="s">
        <v>3474</v>
      </c>
      <c r="E51" s="23" t="s">
        <v>3475</v>
      </c>
      <c r="F51" s="23" t="s">
        <v>3476</v>
      </c>
      <c r="G51" s="23" t="s">
        <v>3477</v>
      </c>
      <c r="H51" s="23" t="s">
        <v>3478</v>
      </c>
      <c r="I51" s="24">
        <v>1</v>
      </c>
      <c r="J51" s="24" t="s">
        <v>3479</v>
      </c>
      <c r="K51" s="23" t="s">
        <v>3480</v>
      </c>
      <c r="L51" s="24"/>
    </row>
    <row r="52" spans="1:12" ht="76.5" customHeight="1">
      <c r="A52" s="15">
        <v>49</v>
      </c>
      <c r="B52" s="21" t="s">
        <v>113</v>
      </c>
      <c r="C52" s="22" t="s">
        <v>117</v>
      </c>
      <c r="D52" s="23" t="s">
        <v>3481</v>
      </c>
      <c r="E52" s="23" t="s">
        <v>3482</v>
      </c>
      <c r="F52" s="23" t="s">
        <v>3483</v>
      </c>
      <c r="G52" s="23" t="s">
        <v>3484</v>
      </c>
      <c r="H52" s="23" t="s">
        <v>3485</v>
      </c>
      <c r="I52" s="24">
        <v>2</v>
      </c>
      <c r="J52" s="24" t="s">
        <v>3486</v>
      </c>
      <c r="K52" s="23" t="s">
        <v>3487</v>
      </c>
      <c r="L52" s="24"/>
    </row>
    <row r="53" spans="1:12" ht="76.5" customHeight="1">
      <c r="A53" s="15">
        <v>50</v>
      </c>
      <c r="B53" s="16" t="s">
        <v>113</v>
      </c>
      <c r="C53" s="17" t="s">
        <v>118</v>
      </c>
      <c r="D53" s="19" t="s">
        <v>3488</v>
      </c>
      <c r="E53" s="18" t="s">
        <v>3489</v>
      </c>
      <c r="F53" s="18" t="s">
        <v>3490</v>
      </c>
      <c r="G53" s="18" t="s">
        <v>3491</v>
      </c>
      <c r="H53" s="18" t="s">
        <v>3492</v>
      </c>
      <c r="I53" s="19">
        <v>4</v>
      </c>
      <c r="J53" s="19" t="s">
        <v>3493</v>
      </c>
      <c r="K53" s="18" t="s">
        <v>288</v>
      </c>
      <c r="L53" s="19"/>
    </row>
    <row r="54" spans="1:12" ht="151.25" customHeight="1">
      <c r="A54" s="15">
        <v>51</v>
      </c>
      <c r="B54" s="16" t="s">
        <v>113</v>
      </c>
      <c r="C54" s="17" t="s">
        <v>118</v>
      </c>
      <c r="D54" s="97" t="s">
        <v>3494</v>
      </c>
      <c r="E54" s="97" t="s">
        <v>3495</v>
      </c>
      <c r="F54" s="97" t="s">
        <v>3496</v>
      </c>
      <c r="G54" s="97" t="s">
        <v>3497</v>
      </c>
      <c r="H54" s="97" t="s">
        <v>3498</v>
      </c>
      <c r="I54" s="97">
        <v>3</v>
      </c>
      <c r="J54" s="97" t="s">
        <v>3499</v>
      </c>
      <c r="K54" s="18" t="s">
        <v>3500</v>
      </c>
      <c r="L54" s="19"/>
    </row>
    <row r="55" spans="1:12" ht="76.5" customHeight="1">
      <c r="A55" s="15">
        <v>52</v>
      </c>
      <c r="B55" s="16" t="s">
        <v>119</v>
      </c>
      <c r="C55" s="17" t="s">
        <v>122</v>
      </c>
      <c r="D55" s="19" t="s">
        <v>3501</v>
      </c>
      <c r="E55" s="18" t="s">
        <v>3502</v>
      </c>
      <c r="F55" s="18" t="s">
        <v>3503</v>
      </c>
      <c r="G55" s="18" t="s">
        <v>3504</v>
      </c>
      <c r="H55" s="18" t="s">
        <v>3505</v>
      </c>
      <c r="I55" s="19">
        <v>3</v>
      </c>
      <c r="J55" s="19" t="s">
        <v>3506</v>
      </c>
      <c r="K55" s="18" t="s">
        <v>3507</v>
      </c>
      <c r="L55" s="19"/>
    </row>
    <row r="56" spans="1:12" ht="76.5" customHeight="1">
      <c r="A56" s="15">
        <v>53</v>
      </c>
      <c r="B56" s="21" t="s">
        <v>119</v>
      </c>
      <c r="C56" s="22" t="s">
        <v>122</v>
      </c>
      <c r="D56" s="23" t="s">
        <v>3508</v>
      </c>
      <c r="E56" s="23" t="s">
        <v>3509</v>
      </c>
      <c r="F56" s="23" t="s">
        <v>3510</v>
      </c>
      <c r="G56" s="23" t="s">
        <v>3511</v>
      </c>
      <c r="H56" s="23" t="s">
        <v>3512</v>
      </c>
      <c r="I56" s="24">
        <v>2</v>
      </c>
      <c r="J56" s="24" t="s">
        <v>3513</v>
      </c>
      <c r="K56" s="23"/>
      <c r="L56" s="24"/>
    </row>
    <row r="57" spans="1:12" ht="126" customHeight="1">
      <c r="A57" s="15">
        <v>54</v>
      </c>
      <c r="B57" s="21" t="s">
        <v>119</v>
      </c>
      <c r="C57" s="22" t="s">
        <v>122</v>
      </c>
      <c r="D57" s="23" t="s">
        <v>3514</v>
      </c>
      <c r="E57" s="23" t="s">
        <v>3515</v>
      </c>
      <c r="F57" s="23" t="s">
        <v>3516</v>
      </c>
      <c r="G57" s="23" t="s">
        <v>3517</v>
      </c>
      <c r="H57" s="23" t="s">
        <v>3518</v>
      </c>
      <c r="I57" s="24">
        <v>4</v>
      </c>
      <c r="J57" s="24" t="s">
        <v>3519</v>
      </c>
      <c r="K57" s="23" t="s">
        <v>3520</v>
      </c>
      <c r="L57" s="24"/>
    </row>
    <row r="58" spans="1:12" ht="84" customHeight="1">
      <c r="A58" s="15">
        <v>55</v>
      </c>
      <c r="B58" s="21" t="s">
        <v>119</v>
      </c>
      <c r="C58" s="22" t="s">
        <v>122</v>
      </c>
      <c r="D58" s="23" t="s">
        <v>3521</v>
      </c>
      <c r="E58" s="23" t="s">
        <v>3522</v>
      </c>
      <c r="F58" s="23" t="s">
        <v>3523</v>
      </c>
      <c r="G58" s="23" t="s">
        <v>3524</v>
      </c>
      <c r="H58" s="23" t="s">
        <v>3525</v>
      </c>
      <c r="I58" s="24">
        <v>3</v>
      </c>
      <c r="J58" s="24" t="s">
        <v>3526</v>
      </c>
      <c r="K58" s="23" t="s">
        <v>3527</v>
      </c>
      <c r="L58" s="24"/>
    </row>
    <row r="59" spans="1:12" ht="97.5" customHeight="1">
      <c r="A59" s="15">
        <v>56</v>
      </c>
      <c r="B59" s="16" t="s">
        <v>125</v>
      </c>
      <c r="C59" s="17" t="s">
        <v>126</v>
      </c>
      <c r="D59" s="19" t="s">
        <v>3528</v>
      </c>
      <c r="E59" s="18" t="s">
        <v>3529</v>
      </c>
      <c r="F59" s="18" t="s">
        <v>3530</v>
      </c>
      <c r="G59" s="18" t="s">
        <v>3531</v>
      </c>
      <c r="H59" s="18" t="s">
        <v>3532</v>
      </c>
      <c r="I59" s="19">
        <v>1</v>
      </c>
      <c r="J59" s="19" t="s">
        <v>3533</v>
      </c>
      <c r="K59" s="18" t="s">
        <v>3534</v>
      </c>
      <c r="L59" s="19"/>
    </row>
    <row r="60" spans="1:12" ht="84" customHeight="1">
      <c r="A60" s="15">
        <v>57</v>
      </c>
      <c r="B60" s="16" t="s">
        <v>125</v>
      </c>
      <c r="C60" s="17" t="s">
        <v>126</v>
      </c>
      <c r="D60" s="19" t="s">
        <v>3535</v>
      </c>
      <c r="E60" s="18" t="s">
        <v>3536</v>
      </c>
      <c r="F60" s="18" t="s">
        <v>3537</v>
      </c>
      <c r="G60" s="18" t="s">
        <v>3538</v>
      </c>
      <c r="H60" s="18" t="s">
        <v>3539</v>
      </c>
      <c r="I60" s="19">
        <v>4</v>
      </c>
      <c r="J60" s="19" t="s">
        <v>3540</v>
      </c>
      <c r="K60" s="18" t="s">
        <v>3541</v>
      </c>
      <c r="L60" s="19"/>
    </row>
    <row r="61" spans="1:12" ht="42" customHeight="1">
      <c r="A61" s="15">
        <v>58</v>
      </c>
      <c r="B61" s="21" t="s">
        <v>125</v>
      </c>
      <c r="C61" s="22" t="s">
        <v>126</v>
      </c>
      <c r="D61" s="23" t="s">
        <v>3542</v>
      </c>
      <c r="E61" s="23" t="s">
        <v>3543</v>
      </c>
      <c r="F61" s="23" t="s">
        <v>3544</v>
      </c>
      <c r="G61" s="23" t="s">
        <v>3545</v>
      </c>
      <c r="H61" s="23" t="s">
        <v>3546</v>
      </c>
      <c r="I61" s="24">
        <v>3</v>
      </c>
      <c r="J61" s="24" t="s">
        <v>3547</v>
      </c>
      <c r="K61" s="23"/>
      <c r="L61" s="24"/>
    </row>
    <row r="62" spans="1:12" ht="42" customHeight="1">
      <c r="A62" s="15">
        <v>59</v>
      </c>
      <c r="B62" s="21" t="s">
        <v>125</v>
      </c>
      <c r="C62" s="22" t="s">
        <v>126</v>
      </c>
      <c r="D62" s="23" t="s">
        <v>3548</v>
      </c>
      <c r="E62" s="23" t="s">
        <v>3549</v>
      </c>
      <c r="F62" s="23" t="s">
        <v>3550</v>
      </c>
      <c r="G62" s="23" t="s">
        <v>3551</v>
      </c>
      <c r="H62" s="23" t="s">
        <v>3552</v>
      </c>
      <c r="I62" s="24">
        <v>2</v>
      </c>
      <c r="J62" s="24" t="s">
        <v>3553</v>
      </c>
      <c r="K62" s="23" t="s">
        <v>3554</v>
      </c>
      <c r="L62" s="24"/>
    </row>
    <row r="63" spans="1:12" ht="55.5" customHeight="1">
      <c r="A63" s="15">
        <v>60</v>
      </c>
      <c r="B63" s="21" t="s">
        <v>125</v>
      </c>
      <c r="C63" s="22" t="s">
        <v>126</v>
      </c>
      <c r="D63" s="23" t="s">
        <v>3555</v>
      </c>
      <c r="E63" s="23" t="s">
        <v>3556</v>
      </c>
      <c r="F63" s="23" t="s">
        <v>3557</v>
      </c>
      <c r="G63" s="23" t="s">
        <v>3558</v>
      </c>
      <c r="H63" s="23" t="s">
        <v>3559</v>
      </c>
      <c r="I63" s="24">
        <v>3</v>
      </c>
      <c r="J63" s="24" t="s">
        <v>3560</v>
      </c>
      <c r="K63" s="23" t="s">
        <v>3554</v>
      </c>
      <c r="L63" s="24"/>
    </row>
    <row r="64" spans="1:12" ht="69.75" customHeight="1">
      <c r="A64" s="15">
        <v>61</v>
      </c>
      <c r="B64" s="16" t="s">
        <v>125</v>
      </c>
      <c r="C64" s="17" t="s">
        <v>127</v>
      </c>
      <c r="D64" s="19" t="s">
        <v>3561</v>
      </c>
      <c r="E64" s="18" t="s">
        <v>3562</v>
      </c>
      <c r="F64" s="18" t="s">
        <v>3563</v>
      </c>
      <c r="G64" s="18" t="s">
        <v>3564</v>
      </c>
      <c r="H64" s="18" t="s">
        <v>3565</v>
      </c>
      <c r="I64" s="19">
        <v>3</v>
      </c>
      <c r="J64" s="19" t="s">
        <v>3566</v>
      </c>
      <c r="K64" s="18" t="s">
        <v>3567</v>
      </c>
      <c r="L64" s="19"/>
    </row>
    <row r="65" spans="1:13" ht="55.5" customHeight="1">
      <c r="A65" s="15">
        <v>62</v>
      </c>
      <c r="B65" s="21" t="s">
        <v>125</v>
      </c>
      <c r="C65" s="22" t="s">
        <v>127</v>
      </c>
      <c r="D65" s="23" t="s">
        <v>3568</v>
      </c>
      <c r="E65" s="23" t="s">
        <v>3569</v>
      </c>
      <c r="F65" s="23" t="s">
        <v>3570</v>
      </c>
      <c r="G65" s="23" t="s">
        <v>3571</v>
      </c>
      <c r="H65" s="23" t="s">
        <v>3572</v>
      </c>
      <c r="I65" s="24">
        <v>2</v>
      </c>
      <c r="J65" s="24" t="s">
        <v>3573</v>
      </c>
      <c r="K65" s="23"/>
      <c r="L65" s="24"/>
    </row>
    <row r="66" spans="1:13" ht="97.5" customHeight="1">
      <c r="A66" s="15">
        <v>63</v>
      </c>
      <c r="B66" s="21" t="s">
        <v>125</v>
      </c>
      <c r="C66" s="22" t="s">
        <v>127</v>
      </c>
      <c r="D66" s="23" t="s">
        <v>3574</v>
      </c>
      <c r="E66" s="23" t="s">
        <v>3575</v>
      </c>
      <c r="F66" s="23" t="s">
        <v>3576</v>
      </c>
      <c r="G66" s="23" t="s">
        <v>3577</v>
      </c>
      <c r="H66" s="23" t="s">
        <v>3578</v>
      </c>
      <c r="I66" s="24">
        <v>2</v>
      </c>
      <c r="J66" s="24" t="s">
        <v>3579</v>
      </c>
      <c r="K66" s="23"/>
      <c r="L66" s="24"/>
    </row>
    <row r="67" spans="1:13" ht="42" customHeight="1">
      <c r="A67" s="15">
        <v>64</v>
      </c>
      <c r="B67" s="16" t="s">
        <v>125</v>
      </c>
      <c r="C67" s="17" t="s">
        <v>130</v>
      </c>
      <c r="D67" s="19" t="s">
        <v>3580</v>
      </c>
      <c r="E67" s="19" t="s">
        <v>3581</v>
      </c>
      <c r="F67" s="18" t="s">
        <v>3582</v>
      </c>
      <c r="G67" s="19" t="s">
        <v>3583</v>
      </c>
      <c r="H67" s="19" t="s">
        <v>3584</v>
      </c>
      <c r="I67" s="19">
        <v>3</v>
      </c>
      <c r="J67" s="19" t="s">
        <v>3585</v>
      </c>
      <c r="K67" s="18" t="s">
        <v>3586</v>
      </c>
      <c r="L67" s="19"/>
    </row>
    <row r="68" spans="1:13" ht="55.5" customHeight="1">
      <c r="A68" s="15">
        <v>65</v>
      </c>
      <c r="B68" s="21" t="s">
        <v>131</v>
      </c>
      <c r="C68" s="22" t="s">
        <v>132</v>
      </c>
      <c r="D68" s="23" t="s">
        <v>3587</v>
      </c>
      <c r="E68" s="23" t="s">
        <v>3588</v>
      </c>
      <c r="F68" s="23" t="s">
        <v>3589</v>
      </c>
      <c r="G68" s="23" t="s">
        <v>3590</v>
      </c>
      <c r="H68" s="23" t="s">
        <v>3591</v>
      </c>
      <c r="I68" s="24">
        <v>1</v>
      </c>
      <c r="J68" s="24" t="s">
        <v>3592</v>
      </c>
      <c r="K68" s="23"/>
      <c r="L68" s="24"/>
    </row>
    <row r="69" spans="1:13" ht="55.5" customHeight="1">
      <c r="A69" s="15">
        <v>66</v>
      </c>
      <c r="B69" s="21" t="s">
        <v>131</v>
      </c>
      <c r="C69" s="22" t="s">
        <v>132</v>
      </c>
      <c r="D69" s="23" t="s">
        <v>3593</v>
      </c>
      <c r="E69" s="23" t="s">
        <v>3594</v>
      </c>
      <c r="F69" s="23" t="s">
        <v>3595</v>
      </c>
      <c r="G69" s="23" t="s">
        <v>3596</v>
      </c>
      <c r="H69" s="23" t="s">
        <v>3597</v>
      </c>
      <c r="I69" s="24">
        <v>3</v>
      </c>
      <c r="J69" s="23" t="s">
        <v>3598</v>
      </c>
      <c r="K69" s="23" t="s">
        <v>3599</v>
      </c>
      <c r="L69" s="24"/>
    </row>
    <row r="70" spans="1:13" ht="97.5" customHeight="1">
      <c r="A70" s="15">
        <v>67</v>
      </c>
      <c r="B70" s="21" t="s">
        <v>131</v>
      </c>
      <c r="C70" s="22" t="s">
        <v>134</v>
      </c>
      <c r="D70" s="23" t="s">
        <v>3600</v>
      </c>
      <c r="E70" s="23" t="s">
        <v>3601</v>
      </c>
      <c r="F70" s="23" t="s">
        <v>3602</v>
      </c>
      <c r="G70" s="23" t="s">
        <v>3603</v>
      </c>
      <c r="H70" s="23" t="s">
        <v>3604</v>
      </c>
      <c r="I70" s="24">
        <v>1</v>
      </c>
      <c r="J70" s="23" t="s">
        <v>3605</v>
      </c>
      <c r="K70" s="23" t="s">
        <v>3606</v>
      </c>
      <c r="L70" s="24"/>
    </row>
    <row r="71" spans="1:13" ht="84.5" customHeight="1">
      <c r="A71" s="15">
        <v>68</v>
      </c>
      <c r="B71" s="87" t="s">
        <v>107</v>
      </c>
      <c r="C71" s="87" t="s">
        <v>108</v>
      </c>
      <c r="D71" s="88" t="s">
        <v>3607</v>
      </c>
      <c r="E71" s="87" t="s">
        <v>3608</v>
      </c>
      <c r="F71" s="87" t="s">
        <v>3609</v>
      </c>
      <c r="G71" s="87" t="s">
        <v>3610</v>
      </c>
      <c r="H71" s="87" t="s">
        <v>3611</v>
      </c>
      <c r="I71" s="87">
        <v>3</v>
      </c>
      <c r="J71" s="88" t="s">
        <v>3612</v>
      </c>
      <c r="K71" s="87"/>
      <c r="M71" s="128" t="s">
        <v>1065</v>
      </c>
    </row>
    <row r="72" spans="1:13" ht="84.5" customHeight="1">
      <c r="A72" s="15">
        <v>69</v>
      </c>
      <c r="B72" s="87" t="s">
        <v>107</v>
      </c>
      <c r="C72" s="87" t="s">
        <v>109</v>
      </c>
      <c r="D72" s="88" t="s">
        <v>3613</v>
      </c>
      <c r="E72" s="87" t="s">
        <v>3614</v>
      </c>
      <c r="F72" s="87" t="s">
        <v>3615</v>
      </c>
      <c r="G72" s="87" t="s">
        <v>3616</v>
      </c>
      <c r="H72" s="87" t="s">
        <v>3617</v>
      </c>
      <c r="I72" s="87">
        <v>3</v>
      </c>
      <c r="J72" s="88" t="s">
        <v>3618</v>
      </c>
      <c r="K72" s="87"/>
      <c r="M72" s="128" t="s">
        <v>1065</v>
      </c>
    </row>
    <row r="73" spans="1:13" ht="67.5" customHeight="1">
      <c r="A73" s="15">
        <v>70</v>
      </c>
      <c r="B73" s="87" t="s">
        <v>107</v>
      </c>
      <c r="C73" s="87" t="s">
        <v>110</v>
      </c>
      <c r="D73" s="88" t="s">
        <v>3619</v>
      </c>
      <c r="E73" s="87" t="s">
        <v>3620</v>
      </c>
      <c r="F73" s="87" t="s">
        <v>3621</v>
      </c>
      <c r="G73" s="87" t="s">
        <v>3622</v>
      </c>
      <c r="H73" s="87" t="s">
        <v>3623</v>
      </c>
      <c r="I73" s="87">
        <v>3</v>
      </c>
      <c r="J73" s="88" t="s">
        <v>3624</v>
      </c>
      <c r="K73" s="87"/>
      <c r="M73" s="128" t="s">
        <v>1065</v>
      </c>
    </row>
    <row r="74" spans="1:13" ht="84.5" customHeight="1">
      <c r="A74" s="15">
        <v>71</v>
      </c>
      <c r="B74" s="87" t="s">
        <v>107</v>
      </c>
      <c r="C74" s="87" t="s">
        <v>111</v>
      </c>
      <c r="D74" s="88" t="s">
        <v>3625</v>
      </c>
      <c r="E74" s="87" t="s">
        <v>3626</v>
      </c>
      <c r="F74" s="87" t="s">
        <v>3627</v>
      </c>
      <c r="G74" s="87" t="s">
        <v>3628</v>
      </c>
      <c r="H74" s="87" t="s">
        <v>3629</v>
      </c>
      <c r="I74" s="87">
        <v>2</v>
      </c>
      <c r="J74" s="88" t="s">
        <v>3630</v>
      </c>
      <c r="K74" s="87"/>
      <c r="M74" s="128" t="s">
        <v>1065</v>
      </c>
    </row>
    <row r="75" spans="1:13" ht="67.5" customHeight="1">
      <c r="A75" s="15">
        <v>72</v>
      </c>
      <c r="B75" s="87" t="s">
        <v>107</v>
      </c>
      <c r="C75" s="87" t="s">
        <v>112</v>
      </c>
      <c r="D75" s="88" t="s">
        <v>3631</v>
      </c>
      <c r="E75" s="87" t="s">
        <v>3632</v>
      </c>
      <c r="F75" s="87" t="s">
        <v>3633</v>
      </c>
      <c r="G75" s="87" t="s">
        <v>3634</v>
      </c>
      <c r="H75" s="87" t="s">
        <v>3635</v>
      </c>
      <c r="I75" s="87">
        <v>3</v>
      </c>
      <c r="J75" s="88" t="s">
        <v>3636</v>
      </c>
      <c r="K75" s="87"/>
      <c r="M75" s="128" t="s">
        <v>1065</v>
      </c>
    </row>
    <row r="76" spans="1:13" ht="67.5" customHeight="1">
      <c r="A76" s="15">
        <v>73</v>
      </c>
      <c r="B76" s="87" t="s">
        <v>107</v>
      </c>
      <c r="C76" s="87" t="s">
        <v>108</v>
      </c>
      <c r="D76" s="88" t="s">
        <v>3637</v>
      </c>
      <c r="E76" s="87" t="s">
        <v>471</v>
      </c>
      <c r="F76" s="87" t="s">
        <v>472</v>
      </c>
      <c r="G76" s="87" t="s">
        <v>470</v>
      </c>
      <c r="H76" s="87" t="s">
        <v>469</v>
      </c>
      <c r="I76" s="87">
        <v>4</v>
      </c>
      <c r="J76" s="88" t="s">
        <v>3638</v>
      </c>
      <c r="K76" s="87"/>
      <c r="M76" s="128" t="s">
        <v>1065</v>
      </c>
    </row>
    <row r="77" spans="1:13" ht="67.5" customHeight="1">
      <c r="A77" s="15">
        <v>74</v>
      </c>
      <c r="B77" s="87" t="s">
        <v>107</v>
      </c>
      <c r="C77" s="87" t="s">
        <v>108</v>
      </c>
      <c r="D77" s="88" t="s">
        <v>3639</v>
      </c>
      <c r="E77" s="87" t="s">
        <v>475</v>
      </c>
      <c r="F77" s="87" t="s">
        <v>476</v>
      </c>
      <c r="G77" s="87" t="s">
        <v>477</v>
      </c>
      <c r="H77" s="87" t="s">
        <v>478</v>
      </c>
      <c r="I77" s="87">
        <v>1</v>
      </c>
      <c r="J77" s="88" t="s">
        <v>479</v>
      </c>
      <c r="K77" s="87"/>
      <c r="M77" s="128" t="s">
        <v>1065</v>
      </c>
    </row>
    <row r="78" spans="1:13" ht="67.5" customHeight="1">
      <c r="A78" s="15">
        <v>75</v>
      </c>
      <c r="B78" s="87" t="s">
        <v>107</v>
      </c>
      <c r="C78" s="87" t="s">
        <v>109</v>
      </c>
      <c r="D78" s="88" t="s">
        <v>3640</v>
      </c>
      <c r="E78" s="87" t="s">
        <v>3641</v>
      </c>
      <c r="F78" s="87" t="s">
        <v>3642</v>
      </c>
      <c r="G78" s="87" t="s">
        <v>3643</v>
      </c>
      <c r="H78" s="87" t="s">
        <v>3644</v>
      </c>
      <c r="I78" s="87">
        <v>4</v>
      </c>
      <c r="J78" s="88" t="s">
        <v>3645</v>
      </c>
      <c r="K78" s="87"/>
      <c r="M78" s="128" t="s">
        <v>1065</v>
      </c>
    </row>
    <row r="79" spans="1:13" ht="84.5" customHeight="1">
      <c r="A79" s="15">
        <v>76</v>
      </c>
      <c r="B79" s="87" t="s">
        <v>107</v>
      </c>
      <c r="C79" s="87" t="s">
        <v>108</v>
      </c>
      <c r="D79" s="88" t="s">
        <v>3646</v>
      </c>
      <c r="E79" s="87" t="s">
        <v>3647</v>
      </c>
      <c r="F79" s="87" t="s">
        <v>3648</v>
      </c>
      <c r="G79" s="87" t="s">
        <v>3649</v>
      </c>
      <c r="H79" s="87" t="s">
        <v>3032</v>
      </c>
      <c r="I79" s="87">
        <v>4</v>
      </c>
      <c r="J79" s="88" t="s">
        <v>3650</v>
      </c>
      <c r="K79" s="87"/>
      <c r="M79" s="128" t="s">
        <v>1065</v>
      </c>
    </row>
    <row r="80" spans="1:13" ht="67.5" customHeight="1">
      <c r="A80" s="15">
        <v>77</v>
      </c>
      <c r="B80" s="87" t="s">
        <v>107</v>
      </c>
      <c r="C80" s="87" t="s">
        <v>109</v>
      </c>
      <c r="D80" s="88" t="s">
        <v>3651</v>
      </c>
      <c r="E80" s="87" t="s">
        <v>3652</v>
      </c>
      <c r="F80" s="87" t="s">
        <v>3653</v>
      </c>
      <c r="G80" s="87" t="s">
        <v>3654</v>
      </c>
      <c r="H80" s="87" t="s">
        <v>3655</v>
      </c>
      <c r="I80" s="87">
        <v>4</v>
      </c>
      <c r="J80" s="88" t="s">
        <v>3656</v>
      </c>
      <c r="K80" s="87"/>
      <c r="M80" s="128" t="s">
        <v>1065</v>
      </c>
    </row>
    <row r="81" spans="1:13" ht="101.25" customHeight="1">
      <c r="A81" s="15">
        <v>78</v>
      </c>
      <c r="B81" s="87" t="s">
        <v>107</v>
      </c>
      <c r="C81" s="87" t="s">
        <v>109</v>
      </c>
      <c r="D81" s="88" t="s">
        <v>3657</v>
      </c>
      <c r="E81" s="87" t="s">
        <v>3658</v>
      </c>
      <c r="F81" s="87" t="s">
        <v>3659</v>
      </c>
      <c r="G81" s="87" t="s">
        <v>3660</v>
      </c>
      <c r="H81" s="87" t="s">
        <v>3661</v>
      </c>
      <c r="I81" s="87">
        <v>1</v>
      </c>
      <c r="J81" s="88" t="s">
        <v>3662</v>
      </c>
      <c r="K81" s="87"/>
      <c r="M81" s="128" t="s">
        <v>1065</v>
      </c>
    </row>
    <row r="82" spans="1:13" ht="84.5" customHeight="1">
      <c r="A82" s="15">
        <v>79</v>
      </c>
      <c r="B82" s="87" t="s">
        <v>107</v>
      </c>
      <c r="C82" s="87" t="s">
        <v>108</v>
      </c>
      <c r="D82" s="88" t="s">
        <v>3663</v>
      </c>
      <c r="E82" s="87" t="s">
        <v>3664</v>
      </c>
      <c r="F82" s="87" t="s">
        <v>3665</v>
      </c>
      <c r="G82" s="87" t="s">
        <v>3666</v>
      </c>
      <c r="H82" s="87" t="s">
        <v>3667</v>
      </c>
      <c r="I82" s="87">
        <v>3</v>
      </c>
      <c r="J82" s="88" t="s">
        <v>3668</v>
      </c>
      <c r="K82" s="87"/>
      <c r="M82" s="128" t="s">
        <v>1065</v>
      </c>
    </row>
    <row r="83" spans="1:13" ht="67.5" customHeight="1">
      <c r="A83" s="15">
        <v>80</v>
      </c>
      <c r="B83" s="87" t="s">
        <v>113</v>
      </c>
      <c r="C83" s="87" t="s">
        <v>114</v>
      </c>
      <c r="D83" s="88" t="s">
        <v>3669</v>
      </c>
      <c r="E83" s="87" t="s">
        <v>471</v>
      </c>
      <c r="F83" s="87" t="s">
        <v>469</v>
      </c>
      <c r="G83" s="87" t="s">
        <v>472</v>
      </c>
      <c r="H83" s="87" t="s">
        <v>470</v>
      </c>
      <c r="I83" s="87">
        <v>2</v>
      </c>
      <c r="J83" s="88" t="s">
        <v>2809</v>
      </c>
      <c r="K83" s="87"/>
    </row>
    <row r="84" spans="1:13" ht="67.5" customHeight="1">
      <c r="A84" s="15">
        <v>81</v>
      </c>
      <c r="B84" s="87" t="s">
        <v>113</v>
      </c>
      <c r="C84" s="87" t="s">
        <v>114</v>
      </c>
      <c r="D84" s="88" t="s">
        <v>3670</v>
      </c>
      <c r="E84" s="87" t="s">
        <v>477</v>
      </c>
      <c r="F84" s="87" t="s">
        <v>478</v>
      </c>
      <c r="G84" s="87" t="s">
        <v>475</v>
      </c>
      <c r="H84" s="87" t="s">
        <v>476</v>
      </c>
      <c r="I84" s="87">
        <v>3</v>
      </c>
      <c r="J84" s="88" t="s">
        <v>1767</v>
      </c>
      <c r="K84" s="87"/>
    </row>
    <row r="85" spans="1:13" ht="67.5" customHeight="1">
      <c r="A85" s="15">
        <v>82</v>
      </c>
      <c r="B85" s="87" t="s">
        <v>113</v>
      </c>
      <c r="C85" s="87" t="s">
        <v>114</v>
      </c>
      <c r="D85" s="88" t="s">
        <v>3671</v>
      </c>
      <c r="E85" s="87" t="s">
        <v>1072</v>
      </c>
      <c r="F85" s="87" t="s">
        <v>1070</v>
      </c>
      <c r="G85" s="87" t="s">
        <v>1071</v>
      </c>
      <c r="H85" s="87" t="s">
        <v>1069</v>
      </c>
      <c r="I85" s="87">
        <v>2</v>
      </c>
      <c r="J85" s="88" t="s">
        <v>2812</v>
      </c>
      <c r="K85" s="87"/>
    </row>
    <row r="86" spans="1:13" ht="67.5" customHeight="1">
      <c r="A86" s="15">
        <v>83</v>
      </c>
      <c r="B86" s="87" t="s">
        <v>113</v>
      </c>
      <c r="C86" s="87" t="s">
        <v>114</v>
      </c>
      <c r="D86" s="88" t="s">
        <v>3672</v>
      </c>
      <c r="E86" s="87" t="s">
        <v>3673</v>
      </c>
      <c r="F86" s="87" t="s">
        <v>3674</v>
      </c>
      <c r="G86" s="87" t="s">
        <v>3675</v>
      </c>
      <c r="H86" s="87" t="s">
        <v>3676</v>
      </c>
      <c r="I86" s="87">
        <v>3</v>
      </c>
      <c r="J86" s="88" t="s">
        <v>3677</v>
      </c>
      <c r="K86" s="87"/>
    </row>
    <row r="87" spans="1:13" ht="67.5" customHeight="1">
      <c r="A87" s="15">
        <v>84</v>
      </c>
      <c r="B87" s="87" t="s">
        <v>113</v>
      </c>
      <c r="C87" s="87" t="s">
        <v>116</v>
      </c>
      <c r="D87" s="88" t="s">
        <v>3678</v>
      </c>
      <c r="E87" s="87" t="s">
        <v>3679</v>
      </c>
      <c r="F87" s="87" t="s">
        <v>1529</v>
      </c>
      <c r="G87" s="87" t="s">
        <v>1531</v>
      </c>
      <c r="H87" s="87" t="s">
        <v>3680</v>
      </c>
      <c r="I87" s="87">
        <v>2</v>
      </c>
      <c r="J87" s="88" t="s">
        <v>3681</v>
      </c>
      <c r="K87" s="87"/>
    </row>
    <row r="88" spans="1:13" ht="67.5" customHeight="1">
      <c r="A88" s="15">
        <v>85</v>
      </c>
      <c r="B88" s="87" t="s">
        <v>113</v>
      </c>
      <c r="C88" s="87" t="s">
        <v>117</v>
      </c>
      <c r="D88" s="88" t="s">
        <v>3682</v>
      </c>
      <c r="E88" s="87" t="s">
        <v>3683</v>
      </c>
      <c r="F88" s="87" t="s">
        <v>3684</v>
      </c>
      <c r="G88" s="87" t="s">
        <v>3685</v>
      </c>
      <c r="H88" s="87" t="s">
        <v>3686</v>
      </c>
      <c r="I88" s="87">
        <v>3</v>
      </c>
      <c r="J88" s="88" t="s">
        <v>3687</v>
      </c>
      <c r="K88" s="87"/>
    </row>
    <row r="89" spans="1:13" ht="50.75" customHeight="1">
      <c r="A89" s="15">
        <v>86</v>
      </c>
      <c r="B89" s="87" t="s">
        <v>113</v>
      </c>
      <c r="C89" s="87" t="s">
        <v>118</v>
      </c>
      <c r="D89" s="88" t="s">
        <v>3688</v>
      </c>
      <c r="E89" s="87" t="s">
        <v>3689</v>
      </c>
      <c r="F89" s="87" t="s">
        <v>3690</v>
      </c>
      <c r="G89" s="87" t="s">
        <v>3691</v>
      </c>
      <c r="H89" s="87" t="s">
        <v>3692</v>
      </c>
      <c r="I89" s="87">
        <v>3</v>
      </c>
      <c r="J89" s="88" t="s">
        <v>3693</v>
      </c>
      <c r="K89" s="87"/>
    </row>
    <row r="90" spans="1:13" ht="67.5" customHeight="1">
      <c r="A90" s="15">
        <v>87</v>
      </c>
      <c r="B90" s="87" t="s">
        <v>113</v>
      </c>
      <c r="C90" s="87" t="s">
        <v>117</v>
      </c>
      <c r="D90" s="88" t="s">
        <v>3694</v>
      </c>
      <c r="E90" s="87" t="s">
        <v>3695</v>
      </c>
      <c r="F90" s="87" t="s">
        <v>3696</v>
      </c>
      <c r="G90" s="87" t="s">
        <v>3697</v>
      </c>
      <c r="H90" s="87" t="s">
        <v>3698</v>
      </c>
      <c r="I90" s="87">
        <v>2</v>
      </c>
      <c r="J90" s="88" t="s">
        <v>3699</v>
      </c>
      <c r="K90" s="87"/>
    </row>
    <row r="91" spans="1:13" ht="50.75" customHeight="1">
      <c r="A91" s="15">
        <v>88</v>
      </c>
      <c r="B91" s="87" t="s">
        <v>113</v>
      </c>
      <c r="C91" s="87" t="s">
        <v>114</v>
      </c>
      <c r="D91" s="88" t="s">
        <v>3700</v>
      </c>
      <c r="E91" s="87" t="s">
        <v>3701</v>
      </c>
      <c r="F91" s="87" t="s">
        <v>3702</v>
      </c>
      <c r="G91" s="87" t="s">
        <v>3703</v>
      </c>
      <c r="H91" s="87" t="s">
        <v>3704</v>
      </c>
      <c r="I91" s="87">
        <v>2</v>
      </c>
      <c r="J91" s="88" t="s">
        <v>3705</v>
      </c>
      <c r="K91" s="87"/>
    </row>
    <row r="92" spans="1:13" ht="50.75" customHeight="1">
      <c r="A92" s="15">
        <v>89</v>
      </c>
      <c r="B92" s="87" t="s">
        <v>113</v>
      </c>
      <c r="C92" s="87" t="s">
        <v>114</v>
      </c>
      <c r="D92" s="88" t="s">
        <v>3706</v>
      </c>
      <c r="E92" s="87" t="s">
        <v>3707</v>
      </c>
      <c r="F92" s="87" t="s">
        <v>3708</v>
      </c>
      <c r="G92" s="87" t="s">
        <v>3709</v>
      </c>
      <c r="H92" s="87" t="s">
        <v>3710</v>
      </c>
      <c r="I92" s="87">
        <v>2</v>
      </c>
      <c r="J92" s="88" t="s">
        <v>3711</v>
      </c>
      <c r="K92" s="87"/>
    </row>
    <row r="93" spans="1:13" ht="67.5" customHeight="1">
      <c r="A93" s="15">
        <v>90</v>
      </c>
      <c r="B93" s="87" t="s">
        <v>113</v>
      </c>
      <c r="C93" s="87" t="s">
        <v>114</v>
      </c>
      <c r="D93" s="88" t="s">
        <v>3712</v>
      </c>
      <c r="E93" s="87" t="s">
        <v>3713</v>
      </c>
      <c r="F93" s="87" t="s">
        <v>3714</v>
      </c>
      <c r="G93" s="87" t="s">
        <v>3715</v>
      </c>
      <c r="H93" s="87" t="s">
        <v>3716</v>
      </c>
      <c r="I93" s="87">
        <v>3</v>
      </c>
      <c r="J93" s="88" t="s">
        <v>3717</v>
      </c>
      <c r="K93" s="87"/>
    </row>
    <row r="94" spans="1:13" ht="84.5" customHeight="1">
      <c r="A94" s="15">
        <v>91</v>
      </c>
      <c r="B94" s="87" t="s">
        <v>113</v>
      </c>
      <c r="C94" s="87" t="s">
        <v>114</v>
      </c>
      <c r="D94" s="88" t="s">
        <v>3718</v>
      </c>
      <c r="E94" s="87" t="s">
        <v>3719</v>
      </c>
      <c r="F94" s="87" t="s">
        <v>3720</v>
      </c>
      <c r="G94" s="87" t="s">
        <v>3721</v>
      </c>
      <c r="H94" s="87" t="s">
        <v>3722</v>
      </c>
      <c r="I94" s="87">
        <v>1</v>
      </c>
      <c r="J94" s="88" t="s">
        <v>3723</v>
      </c>
      <c r="K94" s="87"/>
    </row>
    <row r="95" spans="1:13" ht="84.5" customHeight="1">
      <c r="A95" s="15">
        <v>92</v>
      </c>
      <c r="B95" s="87" t="s">
        <v>113</v>
      </c>
      <c r="C95" s="87" t="s">
        <v>114</v>
      </c>
      <c r="D95" s="88" t="s">
        <v>3724</v>
      </c>
      <c r="E95" s="87" t="s">
        <v>3725</v>
      </c>
      <c r="F95" s="87" t="s">
        <v>1382</v>
      </c>
      <c r="G95" s="87" t="s">
        <v>3726</v>
      </c>
      <c r="H95" s="87" t="s">
        <v>3727</v>
      </c>
      <c r="I95" s="87">
        <v>4</v>
      </c>
      <c r="J95" s="88" t="s">
        <v>3728</v>
      </c>
      <c r="K95" s="87"/>
    </row>
    <row r="96" spans="1:13" ht="67.5" customHeight="1">
      <c r="A96" s="15">
        <v>93</v>
      </c>
      <c r="B96" s="87" t="s">
        <v>113</v>
      </c>
      <c r="C96" s="87" t="s">
        <v>114</v>
      </c>
      <c r="D96" s="88" t="s">
        <v>3729</v>
      </c>
      <c r="E96" s="87" t="s">
        <v>3730</v>
      </c>
      <c r="F96" s="87" t="s">
        <v>3731</v>
      </c>
      <c r="G96" s="87" t="s">
        <v>3732</v>
      </c>
      <c r="H96" s="87" t="s">
        <v>3733</v>
      </c>
      <c r="I96" s="87">
        <v>1</v>
      </c>
      <c r="J96" s="88" t="s">
        <v>3734</v>
      </c>
      <c r="K96" s="87"/>
    </row>
    <row r="97" spans="1:11" ht="84.5" customHeight="1">
      <c r="A97" s="15">
        <v>94</v>
      </c>
      <c r="B97" s="87" t="s">
        <v>113</v>
      </c>
      <c r="C97" s="87" t="s">
        <v>114</v>
      </c>
      <c r="D97" s="88" t="s">
        <v>3735</v>
      </c>
      <c r="E97" s="87" t="s">
        <v>3736</v>
      </c>
      <c r="F97" s="87" t="s">
        <v>3737</v>
      </c>
      <c r="G97" s="87" t="s">
        <v>3738</v>
      </c>
      <c r="H97" s="87" t="s">
        <v>3739</v>
      </c>
      <c r="I97" s="87">
        <v>4</v>
      </c>
      <c r="J97" s="88" t="s">
        <v>3740</v>
      </c>
      <c r="K97" s="87"/>
    </row>
    <row r="98" spans="1:11" ht="67.5" customHeight="1">
      <c r="A98" s="15">
        <v>95</v>
      </c>
      <c r="B98" s="87" t="s">
        <v>119</v>
      </c>
      <c r="C98" s="87" t="s">
        <v>120</v>
      </c>
      <c r="D98" s="88" t="s">
        <v>3741</v>
      </c>
      <c r="E98" s="87" t="s">
        <v>472</v>
      </c>
      <c r="F98" s="87" t="s">
        <v>470</v>
      </c>
      <c r="G98" s="87" t="s">
        <v>471</v>
      </c>
      <c r="H98" s="87" t="s">
        <v>469</v>
      </c>
      <c r="I98" s="87">
        <v>4</v>
      </c>
      <c r="J98" s="88" t="s">
        <v>3742</v>
      </c>
      <c r="K98" s="87"/>
    </row>
    <row r="99" spans="1:11" ht="67.5" customHeight="1">
      <c r="A99" s="15">
        <v>96</v>
      </c>
      <c r="B99" s="87" t="s">
        <v>119</v>
      </c>
      <c r="C99" s="87" t="s">
        <v>120</v>
      </c>
      <c r="D99" s="88" t="s">
        <v>3743</v>
      </c>
      <c r="E99" s="87" t="s">
        <v>475</v>
      </c>
      <c r="F99" s="87" t="s">
        <v>476</v>
      </c>
      <c r="G99" s="87" t="s">
        <v>478</v>
      </c>
      <c r="H99" s="87" t="s">
        <v>477</v>
      </c>
      <c r="I99" s="87">
        <v>1</v>
      </c>
      <c r="J99" s="88" t="s">
        <v>3744</v>
      </c>
      <c r="K99" s="87"/>
    </row>
    <row r="100" spans="1:11" ht="67.5" customHeight="1">
      <c r="A100" s="15">
        <v>97</v>
      </c>
      <c r="B100" s="87" t="s">
        <v>119</v>
      </c>
      <c r="C100" s="87" t="s">
        <v>120</v>
      </c>
      <c r="D100" s="88" t="s">
        <v>3745</v>
      </c>
      <c r="E100" s="87" t="s">
        <v>1072</v>
      </c>
      <c r="F100" s="87" t="s">
        <v>1070</v>
      </c>
      <c r="G100" s="87" t="s">
        <v>1071</v>
      </c>
      <c r="H100" s="87" t="s">
        <v>1069</v>
      </c>
      <c r="I100" s="87">
        <v>2</v>
      </c>
      <c r="J100" s="88" t="s">
        <v>3746</v>
      </c>
      <c r="K100" s="87"/>
    </row>
    <row r="101" spans="1:11" ht="67.5" customHeight="1">
      <c r="A101" s="15">
        <v>98</v>
      </c>
      <c r="B101" s="87" t="s">
        <v>119</v>
      </c>
      <c r="C101" s="87" t="s">
        <v>120</v>
      </c>
      <c r="D101" s="88" t="s">
        <v>3747</v>
      </c>
      <c r="E101" s="87" t="s">
        <v>3748</v>
      </c>
      <c r="F101" s="87" t="s">
        <v>3749</v>
      </c>
      <c r="G101" s="87" t="s">
        <v>3750</v>
      </c>
      <c r="H101" s="87" t="s">
        <v>3751</v>
      </c>
      <c r="I101" s="87">
        <v>3</v>
      </c>
      <c r="J101" s="88" t="s">
        <v>3752</v>
      </c>
      <c r="K101" s="87"/>
    </row>
    <row r="102" spans="1:11" ht="50.75" customHeight="1">
      <c r="A102" s="15">
        <v>99</v>
      </c>
      <c r="B102" s="87" t="s">
        <v>119</v>
      </c>
      <c r="C102" s="87" t="s">
        <v>121</v>
      </c>
      <c r="D102" s="88" t="s">
        <v>3753</v>
      </c>
      <c r="E102" s="87" t="s">
        <v>3754</v>
      </c>
      <c r="F102" s="87" t="s">
        <v>3755</v>
      </c>
      <c r="G102" s="87" t="s">
        <v>3756</v>
      </c>
      <c r="H102" s="87" t="s">
        <v>3757</v>
      </c>
      <c r="I102" s="87">
        <v>2</v>
      </c>
      <c r="J102" s="88" t="s">
        <v>3758</v>
      </c>
      <c r="K102" s="87"/>
    </row>
    <row r="103" spans="1:11" ht="50.75" customHeight="1">
      <c r="A103" s="15">
        <v>100</v>
      </c>
      <c r="B103" s="87" t="s">
        <v>119</v>
      </c>
      <c r="C103" s="87" t="s">
        <v>122</v>
      </c>
      <c r="D103" s="88" t="s">
        <v>3759</v>
      </c>
      <c r="E103" s="87" t="s">
        <v>3760</v>
      </c>
      <c r="F103" s="87" t="s">
        <v>3761</v>
      </c>
      <c r="G103" s="87" t="s">
        <v>3762</v>
      </c>
      <c r="H103" s="87" t="s">
        <v>3763</v>
      </c>
      <c r="I103" s="87">
        <v>3</v>
      </c>
      <c r="J103" s="88" t="s">
        <v>3764</v>
      </c>
      <c r="K103" s="87"/>
    </row>
    <row r="104" spans="1:11" ht="67.5" customHeight="1">
      <c r="A104" s="15">
        <v>101</v>
      </c>
      <c r="B104" s="87" t="s">
        <v>119</v>
      </c>
      <c r="C104" s="87" t="s">
        <v>123</v>
      </c>
      <c r="D104" s="88" t="s">
        <v>3765</v>
      </c>
      <c r="E104" s="87" t="s">
        <v>3766</v>
      </c>
      <c r="F104" s="87" t="s">
        <v>3767</v>
      </c>
      <c r="G104" s="87" t="s">
        <v>3768</v>
      </c>
      <c r="H104" s="87" t="s">
        <v>3769</v>
      </c>
      <c r="I104" s="87">
        <v>4</v>
      </c>
      <c r="J104" s="88" t="s">
        <v>3770</v>
      </c>
      <c r="K104" s="87"/>
    </row>
    <row r="105" spans="1:11" ht="50.75" customHeight="1">
      <c r="A105" s="15">
        <v>102</v>
      </c>
      <c r="B105" s="87" t="s">
        <v>119</v>
      </c>
      <c r="C105" s="87" t="s">
        <v>124</v>
      </c>
      <c r="D105" s="88" t="s">
        <v>3771</v>
      </c>
      <c r="E105" s="87" t="s">
        <v>3772</v>
      </c>
      <c r="F105" s="87" t="s">
        <v>3773</v>
      </c>
      <c r="G105" s="87" t="s">
        <v>3774</v>
      </c>
      <c r="H105" s="87" t="s">
        <v>3775</v>
      </c>
      <c r="I105" s="87">
        <v>3</v>
      </c>
      <c r="J105" s="88" t="s">
        <v>3776</v>
      </c>
      <c r="K105" s="87"/>
    </row>
    <row r="106" spans="1:11" ht="67.5" customHeight="1">
      <c r="A106" s="15">
        <v>103</v>
      </c>
      <c r="B106" s="87" t="s">
        <v>119</v>
      </c>
      <c r="C106" s="87" t="s">
        <v>121</v>
      </c>
      <c r="D106" s="88" t="s">
        <v>3777</v>
      </c>
      <c r="E106" s="87" t="s">
        <v>3778</v>
      </c>
      <c r="F106" s="87" t="s">
        <v>3779</v>
      </c>
      <c r="G106" s="87" t="s">
        <v>3780</v>
      </c>
      <c r="H106" s="87" t="s">
        <v>3781</v>
      </c>
      <c r="I106" s="87">
        <v>4</v>
      </c>
      <c r="J106" s="88" t="s">
        <v>3782</v>
      </c>
      <c r="K106" s="87"/>
    </row>
    <row r="107" spans="1:11" ht="84.5" customHeight="1">
      <c r="A107" s="15">
        <v>104</v>
      </c>
      <c r="B107" s="87" t="s">
        <v>119</v>
      </c>
      <c r="C107" s="87" t="s">
        <v>124</v>
      </c>
      <c r="D107" s="88" t="s">
        <v>3783</v>
      </c>
      <c r="E107" s="87" t="s">
        <v>3784</v>
      </c>
      <c r="F107" s="87" t="s">
        <v>3785</v>
      </c>
      <c r="G107" s="87" t="s">
        <v>3786</v>
      </c>
      <c r="H107" s="87" t="s">
        <v>3787</v>
      </c>
      <c r="I107" s="87">
        <v>1</v>
      </c>
      <c r="J107" s="88" t="s">
        <v>3788</v>
      </c>
      <c r="K107" s="87"/>
    </row>
    <row r="108" spans="1:11" ht="84.5" customHeight="1">
      <c r="A108" s="15">
        <v>105</v>
      </c>
      <c r="B108" s="87" t="s">
        <v>119</v>
      </c>
      <c r="C108" s="87" t="s">
        <v>123</v>
      </c>
      <c r="D108" s="88" t="s">
        <v>3789</v>
      </c>
      <c r="E108" s="87" t="s">
        <v>3790</v>
      </c>
      <c r="F108" s="87" t="s">
        <v>3791</v>
      </c>
      <c r="G108" s="87" t="s">
        <v>3792</v>
      </c>
      <c r="H108" s="87" t="s">
        <v>3793</v>
      </c>
      <c r="I108" s="87">
        <v>4</v>
      </c>
      <c r="J108" s="88" t="s">
        <v>3794</v>
      </c>
      <c r="K108" s="87"/>
    </row>
    <row r="109" spans="1:11" ht="84.5" customHeight="1">
      <c r="A109" s="15">
        <v>106</v>
      </c>
      <c r="B109" s="87" t="s">
        <v>119</v>
      </c>
      <c r="C109" s="87" t="s">
        <v>123</v>
      </c>
      <c r="D109" s="88" t="s">
        <v>3795</v>
      </c>
      <c r="E109" s="87" t="s">
        <v>3796</v>
      </c>
      <c r="F109" s="87" t="s">
        <v>3797</v>
      </c>
      <c r="G109" s="87" t="s">
        <v>3798</v>
      </c>
      <c r="H109" s="87" t="s">
        <v>3799</v>
      </c>
      <c r="I109" s="87">
        <v>1</v>
      </c>
      <c r="J109" s="88" t="s">
        <v>3800</v>
      </c>
      <c r="K109" s="87"/>
    </row>
    <row r="110" spans="1:11" ht="67.5" customHeight="1">
      <c r="A110" s="15">
        <v>107</v>
      </c>
      <c r="B110" s="87" t="s">
        <v>119</v>
      </c>
      <c r="C110" s="87" t="s">
        <v>121</v>
      </c>
      <c r="D110" s="88" t="s">
        <v>3801</v>
      </c>
      <c r="E110" s="87" t="s">
        <v>3802</v>
      </c>
      <c r="F110" s="87" t="s">
        <v>3803</v>
      </c>
      <c r="G110" s="87" t="s">
        <v>3804</v>
      </c>
      <c r="H110" s="87" t="s">
        <v>3754</v>
      </c>
      <c r="I110" s="87">
        <v>4</v>
      </c>
      <c r="J110" s="88" t="s">
        <v>3805</v>
      </c>
      <c r="K110" s="87"/>
    </row>
    <row r="111" spans="1:11" ht="67.5" customHeight="1">
      <c r="A111" s="15">
        <v>108</v>
      </c>
      <c r="B111" s="87" t="s">
        <v>125</v>
      </c>
      <c r="C111" s="87" t="s">
        <v>126</v>
      </c>
      <c r="D111" s="88" t="s">
        <v>3806</v>
      </c>
      <c r="E111" s="87" t="s">
        <v>469</v>
      </c>
      <c r="F111" s="87" t="s">
        <v>472</v>
      </c>
      <c r="G111" s="87" t="s">
        <v>470</v>
      </c>
      <c r="H111" s="87" t="s">
        <v>471</v>
      </c>
      <c r="I111" s="87">
        <v>1</v>
      </c>
      <c r="J111" s="88" t="s">
        <v>473</v>
      </c>
      <c r="K111" s="87"/>
    </row>
    <row r="112" spans="1:11" ht="67.5" customHeight="1">
      <c r="A112" s="15">
        <v>109</v>
      </c>
      <c r="B112" s="87" t="s">
        <v>125</v>
      </c>
      <c r="C112" s="87" t="s">
        <v>126</v>
      </c>
      <c r="D112" s="88" t="s">
        <v>3807</v>
      </c>
      <c r="E112" s="87" t="s">
        <v>478</v>
      </c>
      <c r="F112" s="87" t="s">
        <v>475</v>
      </c>
      <c r="G112" s="87" t="s">
        <v>477</v>
      </c>
      <c r="H112" s="87" t="s">
        <v>476</v>
      </c>
      <c r="I112" s="87">
        <v>2</v>
      </c>
      <c r="J112" s="88" t="s">
        <v>3808</v>
      </c>
      <c r="K112" s="87"/>
    </row>
    <row r="113" spans="1:11" ht="67.5" customHeight="1">
      <c r="A113" s="15">
        <v>110</v>
      </c>
      <c r="B113" s="87" t="s">
        <v>125</v>
      </c>
      <c r="C113" s="87" t="s">
        <v>126</v>
      </c>
      <c r="D113" s="88" t="s">
        <v>3809</v>
      </c>
      <c r="E113" s="87" t="s">
        <v>1070</v>
      </c>
      <c r="F113" s="87" t="s">
        <v>1071</v>
      </c>
      <c r="G113" s="87" t="s">
        <v>1072</v>
      </c>
      <c r="H113" s="87" t="s">
        <v>1069</v>
      </c>
      <c r="I113" s="87">
        <v>1</v>
      </c>
      <c r="J113" s="88" t="s">
        <v>2441</v>
      </c>
      <c r="K113" s="87"/>
    </row>
    <row r="114" spans="1:11" ht="67.5" customHeight="1">
      <c r="A114" s="15">
        <v>111</v>
      </c>
      <c r="B114" s="87" t="s">
        <v>125</v>
      </c>
      <c r="C114" s="87" t="s">
        <v>127</v>
      </c>
      <c r="D114" s="88" t="s">
        <v>3810</v>
      </c>
      <c r="E114" s="87" t="s">
        <v>3811</v>
      </c>
      <c r="F114" s="87" t="s">
        <v>3812</v>
      </c>
      <c r="G114" s="87" t="s">
        <v>3813</v>
      </c>
      <c r="H114" s="87" t="s">
        <v>3814</v>
      </c>
      <c r="I114" s="87">
        <v>4</v>
      </c>
      <c r="J114" s="88" t="s">
        <v>3815</v>
      </c>
      <c r="K114" s="87"/>
    </row>
    <row r="115" spans="1:11" ht="67.5" customHeight="1">
      <c r="A115" s="15">
        <v>112</v>
      </c>
      <c r="B115" s="87" t="s">
        <v>125</v>
      </c>
      <c r="C115" s="87" t="s">
        <v>128</v>
      </c>
      <c r="D115" s="88" t="s">
        <v>3816</v>
      </c>
      <c r="E115" s="87" t="s">
        <v>3817</v>
      </c>
      <c r="F115" s="87" t="s">
        <v>3818</v>
      </c>
      <c r="G115" s="87" t="s">
        <v>3819</v>
      </c>
      <c r="H115" s="87" t="s">
        <v>3820</v>
      </c>
      <c r="I115" s="87">
        <v>3</v>
      </c>
      <c r="J115" s="88" t="s">
        <v>3821</v>
      </c>
      <c r="K115" s="87"/>
    </row>
    <row r="116" spans="1:11" ht="84.5" customHeight="1">
      <c r="A116" s="15">
        <v>113</v>
      </c>
      <c r="B116" s="87" t="s">
        <v>125</v>
      </c>
      <c r="C116" s="87" t="s">
        <v>129</v>
      </c>
      <c r="D116" s="88" t="s">
        <v>3822</v>
      </c>
      <c r="E116" s="87" t="s">
        <v>3823</v>
      </c>
      <c r="F116" s="87" t="s">
        <v>3824</v>
      </c>
      <c r="G116" s="87" t="s">
        <v>3825</v>
      </c>
      <c r="H116" s="87" t="s">
        <v>3826</v>
      </c>
      <c r="I116" s="87">
        <v>4</v>
      </c>
      <c r="J116" s="88" t="s">
        <v>3827</v>
      </c>
      <c r="K116" s="87"/>
    </row>
    <row r="117" spans="1:11" ht="101.25" customHeight="1">
      <c r="A117" s="15">
        <v>114</v>
      </c>
      <c r="B117" s="87" t="s">
        <v>125</v>
      </c>
      <c r="C117" s="87" t="s">
        <v>130</v>
      </c>
      <c r="D117" s="88" t="s">
        <v>3828</v>
      </c>
      <c r="E117" s="87" t="s">
        <v>3829</v>
      </c>
      <c r="F117" s="87" t="s">
        <v>3830</v>
      </c>
      <c r="G117" s="87" t="s">
        <v>3831</v>
      </c>
      <c r="H117" s="87" t="s">
        <v>3832</v>
      </c>
      <c r="I117" s="87">
        <v>4</v>
      </c>
      <c r="J117" s="88" t="s">
        <v>3833</v>
      </c>
      <c r="K117" s="87"/>
    </row>
    <row r="118" spans="1:11" ht="84.5" customHeight="1">
      <c r="A118" s="15">
        <v>115</v>
      </c>
      <c r="B118" s="87" t="s">
        <v>125</v>
      </c>
      <c r="C118" s="87" t="s">
        <v>126</v>
      </c>
      <c r="D118" s="88" t="s">
        <v>3834</v>
      </c>
      <c r="E118" s="87" t="s">
        <v>3835</v>
      </c>
      <c r="F118" s="87" t="s">
        <v>3836</v>
      </c>
      <c r="G118" s="87" t="s">
        <v>3837</v>
      </c>
      <c r="H118" s="87" t="s">
        <v>3838</v>
      </c>
      <c r="I118" s="87">
        <v>3</v>
      </c>
      <c r="J118" s="88" t="s">
        <v>3839</v>
      </c>
      <c r="K118" s="87"/>
    </row>
    <row r="119" spans="1:11" ht="84.5" customHeight="1">
      <c r="A119" s="15">
        <v>116</v>
      </c>
      <c r="B119" s="87" t="s">
        <v>125</v>
      </c>
      <c r="C119" s="87" t="s">
        <v>127</v>
      </c>
      <c r="D119" s="88" t="s">
        <v>3840</v>
      </c>
      <c r="E119" s="87" t="s">
        <v>3841</v>
      </c>
      <c r="F119" s="87" t="s">
        <v>3842</v>
      </c>
      <c r="G119" s="87" t="s">
        <v>3843</v>
      </c>
      <c r="H119" s="87" t="s">
        <v>3844</v>
      </c>
      <c r="I119" s="87">
        <v>1</v>
      </c>
      <c r="J119" s="88" t="s">
        <v>3845</v>
      </c>
      <c r="K119" s="87"/>
    </row>
    <row r="120" spans="1:11" ht="67.5" customHeight="1">
      <c r="A120" s="15">
        <v>117</v>
      </c>
      <c r="B120" s="87" t="s">
        <v>125</v>
      </c>
      <c r="C120" s="87" t="s">
        <v>128</v>
      </c>
      <c r="D120" s="88" t="s">
        <v>3846</v>
      </c>
      <c r="E120" s="87" t="s">
        <v>3847</v>
      </c>
      <c r="F120" s="87" t="s">
        <v>3848</v>
      </c>
      <c r="G120" s="87" t="s">
        <v>3849</v>
      </c>
      <c r="H120" s="87" t="s">
        <v>3850</v>
      </c>
      <c r="I120" s="87">
        <v>4</v>
      </c>
      <c r="J120" s="88" t="s">
        <v>3851</v>
      </c>
      <c r="K120" s="87"/>
    </row>
    <row r="121" spans="1:11" ht="84.5" customHeight="1">
      <c r="A121" s="15">
        <v>118</v>
      </c>
      <c r="B121" s="87" t="s">
        <v>125</v>
      </c>
      <c r="C121" s="87" t="s">
        <v>129</v>
      </c>
      <c r="D121" s="88" t="s">
        <v>3852</v>
      </c>
      <c r="E121" s="87" t="s">
        <v>3853</v>
      </c>
      <c r="F121" s="87" t="s">
        <v>3854</v>
      </c>
      <c r="G121" s="87" t="s">
        <v>3855</v>
      </c>
      <c r="H121" s="87" t="s">
        <v>3856</v>
      </c>
      <c r="I121" s="87">
        <v>1</v>
      </c>
      <c r="J121" s="88" t="s">
        <v>3857</v>
      </c>
      <c r="K121" s="87"/>
    </row>
    <row r="122" spans="1:11" ht="84.5" customHeight="1">
      <c r="A122" s="15">
        <v>119</v>
      </c>
      <c r="B122" s="87" t="s">
        <v>125</v>
      </c>
      <c r="C122" s="87" t="s">
        <v>130</v>
      </c>
      <c r="D122" s="88" t="s">
        <v>3858</v>
      </c>
      <c r="E122" s="87" t="s">
        <v>3859</v>
      </c>
      <c r="F122" s="87" t="s">
        <v>3860</v>
      </c>
      <c r="G122" s="87" t="s">
        <v>3861</v>
      </c>
      <c r="H122" s="87" t="s">
        <v>3862</v>
      </c>
      <c r="I122" s="87">
        <v>4</v>
      </c>
      <c r="J122" s="88" t="s">
        <v>3863</v>
      </c>
      <c r="K122" s="87"/>
    </row>
    <row r="123" spans="1:11" ht="84.5" customHeight="1">
      <c r="A123" s="15">
        <v>120</v>
      </c>
      <c r="B123" s="87" t="s">
        <v>131</v>
      </c>
      <c r="C123" s="87" t="s">
        <v>132</v>
      </c>
      <c r="D123" s="88" t="s">
        <v>3864</v>
      </c>
      <c r="E123" s="87" t="s">
        <v>3865</v>
      </c>
      <c r="F123" s="87" t="s">
        <v>3866</v>
      </c>
      <c r="G123" s="87" t="s">
        <v>3867</v>
      </c>
      <c r="H123" s="87" t="s">
        <v>3868</v>
      </c>
      <c r="I123" s="87">
        <v>3</v>
      </c>
      <c r="J123" s="88" t="s">
        <v>3869</v>
      </c>
      <c r="K123" s="87"/>
    </row>
    <row r="124" spans="1:11" ht="84.5" customHeight="1">
      <c r="A124" s="15">
        <v>121</v>
      </c>
      <c r="B124" s="87" t="s">
        <v>131</v>
      </c>
      <c r="C124" s="87" t="s">
        <v>133</v>
      </c>
      <c r="D124" s="88" t="s">
        <v>3870</v>
      </c>
      <c r="E124" s="87" t="s">
        <v>3871</v>
      </c>
      <c r="F124" s="87" t="s">
        <v>3872</v>
      </c>
      <c r="G124" s="87" t="s">
        <v>3873</v>
      </c>
      <c r="H124" s="87" t="s">
        <v>3874</v>
      </c>
      <c r="I124" s="87">
        <v>4</v>
      </c>
      <c r="J124" s="88" t="s">
        <v>3875</v>
      </c>
      <c r="K124" s="87"/>
    </row>
    <row r="125" spans="1:11" ht="84.5" customHeight="1">
      <c r="A125" s="15">
        <v>122</v>
      </c>
      <c r="B125" s="87" t="s">
        <v>131</v>
      </c>
      <c r="C125" s="87" t="s">
        <v>134</v>
      </c>
      <c r="D125" s="88" t="s">
        <v>3876</v>
      </c>
      <c r="E125" s="87" t="s">
        <v>3877</v>
      </c>
      <c r="F125" s="87" t="s">
        <v>3878</v>
      </c>
      <c r="G125" s="87" t="s">
        <v>3879</v>
      </c>
      <c r="H125" s="87" t="s">
        <v>3880</v>
      </c>
      <c r="I125" s="87">
        <v>4</v>
      </c>
      <c r="J125" s="88" t="s">
        <v>3881</v>
      </c>
      <c r="K125" s="87"/>
    </row>
    <row r="126" spans="1:11" ht="101.25" customHeight="1">
      <c r="A126" s="15">
        <v>123</v>
      </c>
      <c r="B126" s="87" t="s">
        <v>131</v>
      </c>
      <c r="C126" s="87" t="s">
        <v>135</v>
      </c>
      <c r="D126" s="88" t="s">
        <v>3882</v>
      </c>
      <c r="E126" s="87" t="s">
        <v>3883</v>
      </c>
      <c r="F126" s="87" t="s">
        <v>3884</v>
      </c>
      <c r="G126" s="87" t="s">
        <v>3885</v>
      </c>
      <c r="H126" s="87" t="s">
        <v>3886</v>
      </c>
      <c r="I126" s="87">
        <v>2</v>
      </c>
      <c r="J126" s="88" t="s">
        <v>3887</v>
      </c>
      <c r="K126" s="87"/>
    </row>
    <row r="127" spans="1:11" ht="67.5" customHeight="1">
      <c r="A127" s="15">
        <v>124</v>
      </c>
      <c r="B127" s="87" t="s">
        <v>131</v>
      </c>
      <c r="C127" s="87" t="s">
        <v>136</v>
      </c>
      <c r="D127" s="88" t="s">
        <v>3888</v>
      </c>
      <c r="E127" s="87" t="s">
        <v>3889</v>
      </c>
      <c r="F127" s="87" t="s">
        <v>3890</v>
      </c>
      <c r="G127" s="87" t="s">
        <v>3891</v>
      </c>
      <c r="H127" s="87" t="s">
        <v>3892</v>
      </c>
      <c r="I127" s="87">
        <v>2</v>
      </c>
      <c r="J127" s="88" t="s">
        <v>3893</v>
      </c>
      <c r="K127" s="87"/>
    </row>
    <row r="128" spans="1:11" ht="84.5" customHeight="1">
      <c r="A128" s="15">
        <v>125</v>
      </c>
      <c r="B128" s="87" t="s">
        <v>131</v>
      </c>
      <c r="C128" s="87" t="s">
        <v>134</v>
      </c>
      <c r="D128" s="88" t="s">
        <v>3894</v>
      </c>
      <c r="E128" s="87" t="s">
        <v>3895</v>
      </c>
      <c r="F128" s="87" t="s">
        <v>3896</v>
      </c>
      <c r="G128" s="87" t="s">
        <v>3897</v>
      </c>
      <c r="H128" s="87" t="s">
        <v>3898</v>
      </c>
      <c r="I128" s="87">
        <v>4</v>
      </c>
      <c r="J128" s="88" t="s">
        <v>3899</v>
      </c>
      <c r="K128" s="87"/>
    </row>
    <row r="129" spans="1:13" ht="84.5" customHeight="1">
      <c r="A129" s="15">
        <v>126</v>
      </c>
      <c r="B129" s="87" t="s">
        <v>131</v>
      </c>
      <c r="C129" s="87" t="s">
        <v>132</v>
      </c>
      <c r="D129" s="88" t="s">
        <v>3900</v>
      </c>
      <c r="E129" s="87" t="s">
        <v>3901</v>
      </c>
      <c r="F129" s="87" t="s">
        <v>3902</v>
      </c>
      <c r="G129" s="87" t="s">
        <v>3903</v>
      </c>
      <c r="H129" s="87" t="s">
        <v>3904</v>
      </c>
      <c r="I129" s="87">
        <v>4</v>
      </c>
      <c r="J129" s="88" t="s">
        <v>3905</v>
      </c>
      <c r="K129" s="87"/>
    </row>
    <row r="130" spans="1:13" ht="67.5" customHeight="1">
      <c r="A130" s="15">
        <v>127</v>
      </c>
      <c r="B130" s="87" t="s">
        <v>131</v>
      </c>
      <c r="C130" s="87" t="s">
        <v>132</v>
      </c>
      <c r="D130" s="88" t="s">
        <v>3906</v>
      </c>
      <c r="E130" s="87" t="s">
        <v>3907</v>
      </c>
      <c r="F130" s="87" t="s">
        <v>3908</v>
      </c>
      <c r="G130" s="87" t="s">
        <v>3909</v>
      </c>
      <c r="H130" s="87" t="s">
        <v>3910</v>
      </c>
      <c r="I130" s="87">
        <v>1</v>
      </c>
      <c r="J130" s="88" t="s">
        <v>3911</v>
      </c>
      <c r="K130" s="87"/>
    </row>
    <row r="131" spans="1:13" ht="67.5" customHeight="1">
      <c r="A131" s="15">
        <v>128</v>
      </c>
      <c r="B131" s="87" t="s">
        <v>131</v>
      </c>
      <c r="C131" s="87" t="s">
        <v>132</v>
      </c>
      <c r="D131" s="88" t="s">
        <v>3912</v>
      </c>
      <c r="E131" s="87" t="s">
        <v>3913</v>
      </c>
      <c r="F131" s="87" t="s">
        <v>3914</v>
      </c>
      <c r="G131" s="87" t="s">
        <v>3915</v>
      </c>
      <c r="H131" s="87" t="s">
        <v>3916</v>
      </c>
      <c r="I131" s="87">
        <v>4</v>
      </c>
      <c r="J131" s="88" t="s">
        <v>3917</v>
      </c>
      <c r="K131" s="87"/>
    </row>
    <row r="132" spans="1:13" ht="84.5" customHeight="1">
      <c r="A132" s="15">
        <v>129</v>
      </c>
      <c r="B132" s="87" t="s">
        <v>131</v>
      </c>
      <c r="C132" s="87" t="s">
        <v>132</v>
      </c>
      <c r="D132" s="88" t="s">
        <v>3918</v>
      </c>
      <c r="E132" s="87" t="s">
        <v>3919</v>
      </c>
      <c r="F132" s="87" t="s">
        <v>3920</v>
      </c>
      <c r="G132" s="87" t="s">
        <v>3921</v>
      </c>
      <c r="H132" s="87" t="s">
        <v>3922</v>
      </c>
      <c r="I132" s="87">
        <v>1</v>
      </c>
      <c r="J132" s="88" t="s">
        <v>3923</v>
      </c>
      <c r="K132" s="87"/>
    </row>
    <row r="133" spans="1:13" ht="67.5" customHeight="1">
      <c r="A133" s="15">
        <v>130</v>
      </c>
      <c r="B133" s="87" t="s">
        <v>131</v>
      </c>
      <c r="C133" s="87" t="s">
        <v>132</v>
      </c>
      <c r="D133" s="88" t="s">
        <v>3924</v>
      </c>
      <c r="E133" s="87" t="s">
        <v>3925</v>
      </c>
      <c r="F133" s="87" t="s">
        <v>3926</v>
      </c>
      <c r="G133" s="87" t="s">
        <v>3927</v>
      </c>
      <c r="H133" s="87" t="s">
        <v>3928</v>
      </c>
      <c r="I133" s="87">
        <v>4</v>
      </c>
      <c r="J133" s="88" t="s">
        <v>3929</v>
      </c>
      <c r="K133" s="87"/>
    </row>
    <row r="134" spans="1:13" ht="84.5" customHeight="1">
      <c r="A134" s="15">
        <v>131</v>
      </c>
      <c r="B134" s="87" t="s">
        <v>131</v>
      </c>
      <c r="C134" s="87" t="s">
        <v>132</v>
      </c>
      <c r="D134" s="88" t="s">
        <v>3930</v>
      </c>
      <c r="E134" s="87" t="s">
        <v>3931</v>
      </c>
      <c r="F134" s="87" t="s">
        <v>3932</v>
      </c>
      <c r="G134" s="87" t="s">
        <v>3933</v>
      </c>
      <c r="H134" s="87" t="s">
        <v>3934</v>
      </c>
      <c r="I134" s="87">
        <v>1</v>
      </c>
      <c r="J134" s="88" t="s">
        <v>3935</v>
      </c>
      <c r="K134" s="87"/>
    </row>
    <row r="135" spans="1:13" ht="72">
      <c r="A135" s="129">
        <v>132</v>
      </c>
      <c r="B135" s="129" t="s">
        <v>107</v>
      </c>
      <c r="C135" s="129" t="s">
        <v>110</v>
      </c>
      <c r="D135" s="129" t="s">
        <v>3936</v>
      </c>
      <c r="E135" s="129" t="s">
        <v>3937</v>
      </c>
      <c r="F135" s="129" t="s">
        <v>3938</v>
      </c>
      <c r="G135" s="129" t="s">
        <v>3939</v>
      </c>
      <c r="H135" s="129" t="s">
        <v>3940</v>
      </c>
      <c r="I135" s="129">
        <v>2</v>
      </c>
      <c r="J135" s="129" t="s">
        <v>3941</v>
      </c>
      <c r="K135" s="129" t="s">
        <v>2114</v>
      </c>
    </row>
    <row r="136" spans="1:13" ht="90">
      <c r="A136" s="129">
        <v>133</v>
      </c>
      <c r="B136" s="129" t="s">
        <v>107</v>
      </c>
      <c r="C136" s="129" t="s">
        <v>112</v>
      </c>
      <c r="D136" s="129" t="s">
        <v>3942</v>
      </c>
      <c r="E136" s="129" t="s">
        <v>3943</v>
      </c>
      <c r="F136" s="129" t="s">
        <v>3944</v>
      </c>
      <c r="G136" s="129" t="s">
        <v>3945</v>
      </c>
      <c r="H136" s="129" t="s">
        <v>3946</v>
      </c>
      <c r="I136" s="129">
        <v>2</v>
      </c>
      <c r="J136" s="129" t="s">
        <v>3947</v>
      </c>
      <c r="K136" s="129" t="s">
        <v>3948</v>
      </c>
      <c r="L136" s="129" t="s">
        <v>3140</v>
      </c>
    </row>
    <row r="137" spans="1:13" ht="90">
      <c r="A137" s="129">
        <v>134</v>
      </c>
      <c r="B137" s="129" t="s">
        <v>107</v>
      </c>
      <c r="C137" s="129" t="s">
        <v>112</v>
      </c>
      <c r="D137" s="129" t="s">
        <v>3949</v>
      </c>
      <c r="E137" s="129" t="s">
        <v>3950</v>
      </c>
      <c r="F137" s="129" t="s">
        <v>3951</v>
      </c>
      <c r="G137" s="129" t="s">
        <v>3952</v>
      </c>
      <c r="H137" s="129" t="s">
        <v>3953</v>
      </c>
      <c r="I137" s="129">
        <v>3</v>
      </c>
      <c r="J137" s="129" t="s">
        <v>3954</v>
      </c>
      <c r="K137" s="129" t="s">
        <v>3955</v>
      </c>
      <c r="L137" s="129" t="s">
        <v>3140</v>
      </c>
    </row>
    <row r="138" spans="1:13" ht="72">
      <c r="A138" s="129">
        <v>135</v>
      </c>
      <c r="B138" s="129" t="s">
        <v>107</v>
      </c>
      <c r="C138" s="129" t="s">
        <v>112</v>
      </c>
      <c r="D138" s="129" t="s">
        <v>3956</v>
      </c>
      <c r="E138" s="129" t="s">
        <v>3957</v>
      </c>
      <c r="F138" s="129" t="s">
        <v>3958</v>
      </c>
      <c r="G138" s="129" t="s">
        <v>3959</v>
      </c>
      <c r="H138" s="129" t="s">
        <v>3960</v>
      </c>
      <c r="I138" s="129">
        <v>3</v>
      </c>
      <c r="J138" s="129" t="s">
        <v>3961</v>
      </c>
      <c r="K138" s="129" t="s">
        <v>3962</v>
      </c>
      <c r="L138" s="129" t="s">
        <v>3140</v>
      </c>
    </row>
    <row r="139" spans="1:13" ht="90">
      <c r="A139" s="129">
        <v>136</v>
      </c>
      <c r="B139" s="129" t="s">
        <v>119</v>
      </c>
      <c r="C139" s="129" t="s">
        <v>120</v>
      </c>
      <c r="D139" s="129" t="s">
        <v>3963</v>
      </c>
      <c r="E139" s="129" t="s">
        <v>3964</v>
      </c>
      <c r="F139" s="129" t="s">
        <v>3965</v>
      </c>
      <c r="G139" s="129" t="s">
        <v>3966</v>
      </c>
      <c r="H139" s="129" t="s">
        <v>3967</v>
      </c>
      <c r="I139" s="129">
        <v>2</v>
      </c>
      <c r="J139" s="129" t="s">
        <v>3968</v>
      </c>
      <c r="L139" s="129" t="s">
        <v>3140</v>
      </c>
    </row>
    <row r="140" spans="1:13" ht="90">
      <c r="A140" s="96">
        <v>137</v>
      </c>
      <c r="B140" s="96" t="s">
        <v>119</v>
      </c>
      <c r="C140" s="96" t="s">
        <v>120</v>
      </c>
      <c r="D140" s="97" t="s">
        <v>3969</v>
      </c>
      <c r="E140" s="97" t="s">
        <v>3970</v>
      </c>
      <c r="F140" s="97" t="s">
        <v>3971</v>
      </c>
      <c r="G140" s="97" t="s">
        <v>3972</v>
      </c>
      <c r="H140" s="97" t="s">
        <v>3973</v>
      </c>
      <c r="I140" s="97">
        <v>3</v>
      </c>
      <c r="J140" s="97" t="s">
        <v>3974</v>
      </c>
      <c r="K140" s="97" t="s">
        <v>3975</v>
      </c>
      <c r="L140" s="97" t="s">
        <v>3140</v>
      </c>
    </row>
    <row r="141" spans="1:13" ht="72">
      <c r="A141" s="129">
        <v>138</v>
      </c>
      <c r="B141" s="129" t="s">
        <v>119</v>
      </c>
      <c r="C141" s="129" t="s">
        <v>120</v>
      </c>
      <c r="D141" s="129" t="s">
        <v>3976</v>
      </c>
      <c r="E141" s="129" t="s">
        <v>3977</v>
      </c>
      <c r="F141" s="129" t="s">
        <v>3978</v>
      </c>
      <c r="G141" s="129" t="s">
        <v>3979</v>
      </c>
      <c r="H141" s="129" t="s">
        <v>3980</v>
      </c>
      <c r="I141" s="129">
        <v>2</v>
      </c>
      <c r="J141" s="129" t="s">
        <v>3981</v>
      </c>
      <c r="K141" s="129" t="s">
        <v>3982</v>
      </c>
      <c r="L141" s="129" t="s">
        <v>3140</v>
      </c>
    </row>
    <row r="142" spans="1:13" s="131" customFormat="1" ht="90">
      <c r="A142" s="130">
        <v>139</v>
      </c>
      <c r="B142" s="130" t="s">
        <v>119</v>
      </c>
      <c r="C142" s="130" t="s">
        <v>121</v>
      </c>
      <c r="D142" s="130" t="s">
        <v>3983</v>
      </c>
      <c r="E142" s="130" t="s">
        <v>3984</v>
      </c>
      <c r="F142" s="130" t="s">
        <v>3985</v>
      </c>
      <c r="G142" s="132" t="s">
        <v>9664</v>
      </c>
      <c r="H142" s="130" t="s">
        <v>3986</v>
      </c>
      <c r="I142" s="130">
        <v>2</v>
      </c>
      <c r="J142" s="130" t="s">
        <v>3987</v>
      </c>
      <c r="K142" s="130" t="s">
        <v>3988</v>
      </c>
      <c r="L142" s="130" t="s">
        <v>3140</v>
      </c>
      <c r="M142" s="130" t="s">
        <v>2760</v>
      </c>
    </row>
    <row r="143" spans="1:13" ht="90">
      <c r="A143" s="129">
        <v>140</v>
      </c>
      <c r="B143" s="129" t="s">
        <v>119</v>
      </c>
      <c r="C143" s="129" t="s">
        <v>121</v>
      </c>
      <c r="D143" s="129" t="s">
        <v>3989</v>
      </c>
      <c r="E143" s="129" t="s">
        <v>3990</v>
      </c>
      <c r="F143" s="129" t="s">
        <v>3991</v>
      </c>
      <c r="G143" s="129" t="s">
        <v>3992</v>
      </c>
      <c r="H143" s="129" t="s">
        <v>3993</v>
      </c>
      <c r="I143" s="129">
        <v>3</v>
      </c>
      <c r="J143" s="129" t="s">
        <v>3994</v>
      </c>
      <c r="K143" s="129" t="s">
        <v>3995</v>
      </c>
      <c r="L143" s="129" t="s">
        <v>3140</v>
      </c>
    </row>
    <row r="144" spans="1:13" ht="90">
      <c r="A144" s="129">
        <v>141</v>
      </c>
      <c r="B144" s="129" t="s">
        <v>119</v>
      </c>
      <c r="C144" s="129" t="s">
        <v>121</v>
      </c>
      <c r="D144" s="129" t="s">
        <v>3996</v>
      </c>
      <c r="E144" s="129" t="s">
        <v>3997</v>
      </c>
      <c r="F144" s="129" t="s">
        <v>3998</v>
      </c>
      <c r="G144" s="129" t="s">
        <v>3999</v>
      </c>
      <c r="H144" s="129" t="s">
        <v>4000</v>
      </c>
      <c r="I144" s="129">
        <v>3</v>
      </c>
      <c r="J144" s="129" t="s">
        <v>4001</v>
      </c>
      <c r="K144" s="129" t="s">
        <v>4002</v>
      </c>
      <c r="L144" s="129" t="s">
        <v>3140</v>
      </c>
    </row>
    <row r="145" spans="1:13" ht="72">
      <c r="A145" s="129">
        <v>142</v>
      </c>
      <c r="B145" s="129" t="s">
        <v>119</v>
      </c>
      <c r="C145" s="129" t="s">
        <v>123</v>
      </c>
      <c r="D145" s="129" t="s">
        <v>4003</v>
      </c>
      <c r="E145" s="129" t="s">
        <v>4004</v>
      </c>
      <c r="F145" s="129" t="s">
        <v>4005</v>
      </c>
      <c r="G145" s="129" t="s">
        <v>4006</v>
      </c>
      <c r="H145" s="129" t="s">
        <v>4007</v>
      </c>
      <c r="I145" s="129">
        <v>3</v>
      </c>
      <c r="J145" s="129" t="s">
        <v>4008</v>
      </c>
      <c r="K145" s="129" t="s">
        <v>4009</v>
      </c>
      <c r="L145" s="129" t="s">
        <v>3140</v>
      </c>
    </row>
    <row r="146" spans="1:13" ht="72">
      <c r="A146" s="129">
        <v>143</v>
      </c>
      <c r="B146" s="129" t="s">
        <v>119</v>
      </c>
      <c r="C146" s="129" t="s">
        <v>123</v>
      </c>
      <c r="D146" s="129" t="s">
        <v>4010</v>
      </c>
      <c r="E146" s="129" t="s">
        <v>4011</v>
      </c>
      <c r="F146" s="129" t="s">
        <v>4012</v>
      </c>
      <c r="G146" s="129" t="s">
        <v>4013</v>
      </c>
      <c r="H146" s="129" t="s">
        <v>4014</v>
      </c>
      <c r="I146" s="129">
        <v>3</v>
      </c>
      <c r="J146" s="129" t="s">
        <v>4015</v>
      </c>
      <c r="K146" s="129" t="s">
        <v>4016</v>
      </c>
      <c r="L146" s="129" t="s">
        <v>3140</v>
      </c>
    </row>
    <row r="147" spans="1:13" ht="72">
      <c r="A147" s="129">
        <v>144</v>
      </c>
      <c r="B147" s="129" t="s">
        <v>119</v>
      </c>
      <c r="C147" s="129" t="s">
        <v>123</v>
      </c>
      <c r="D147" s="129" t="s">
        <v>4017</v>
      </c>
      <c r="E147" s="129" t="s">
        <v>4018</v>
      </c>
      <c r="F147" s="129" t="s">
        <v>4019</v>
      </c>
      <c r="G147" s="129" t="s">
        <v>4020</v>
      </c>
      <c r="H147" s="129" t="s">
        <v>4021</v>
      </c>
      <c r="I147" s="129">
        <v>4</v>
      </c>
      <c r="J147" s="129" t="s">
        <v>4022</v>
      </c>
      <c r="K147" s="129" t="s">
        <v>4023</v>
      </c>
      <c r="L147" s="129" t="s">
        <v>3140</v>
      </c>
    </row>
    <row r="148" spans="1:13" ht="90">
      <c r="A148" s="129">
        <v>145</v>
      </c>
      <c r="B148" s="129" t="s">
        <v>119</v>
      </c>
      <c r="C148" s="129" t="s">
        <v>124</v>
      </c>
      <c r="D148" s="129" t="s">
        <v>4024</v>
      </c>
      <c r="E148" s="129" t="s">
        <v>4025</v>
      </c>
      <c r="F148" s="129" t="s">
        <v>4026</v>
      </c>
      <c r="G148" s="129" t="s">
        <v>4027</v>
      </c>
      <c r="H148" s="129" t="s">
        <v>4028</v>
      </c>
      <c r="I148" s="129">
        <v>3</v>
      </c>
      <c r="J148" s="129" t="s">
        <v>4029</v>
      </c>
      <c r="K148" s="129" t="s">
        <v>4030</v>
      </c>
      <c r="L148" s="129" t="s">
        <v>3140</v>
      </c>
    </row>
    <row r="149" spans="1:13" ht="72">
      <c r="A149" s="129">
        <v>146</v>
      </c>
      <c r="B149" s="129" t="s">
        <v>119</v>
      </c>
      <c r="C149" s="129" t="s">
        <v>124</v>
      </c>
      <c r="D149" s="129" t="s">
        <v>4031</v>
      </c>
      <c r="E149" s="129" t="s">
        <v>4032</v>
      </c>
      <c r="F149" s="129" t="s">
        <v>4033</v>
      </c>
      <c r="G149" s="129" t="s">
        <v>4034</v>
      </c>
      <c r="H149" s="129" t="s">
        <v>4035</v>
      </c>
      <c r="I149" s="129">
        <v>2</v>
      </c>
      <c r="J149" s="129" t="s">
        <v>4036</v>
      </c>
      <c r="K149" s="129" t="s">
        <v>4037</v>
      </c>
      <c r="L149" s="129" t="s">
        <v>3140</v>
      </c>
    </row>
    <row r="150" spans="1:13" s="131" customFormat="1" ht="90">
      <c r="A150" s="130">
        <v>147</v>
      </c>
      <c r="B150" s="130" t="s">
        <v>119</v>
      </c>
      <c r="C150" s="130" t="s">
        <v>124</v>
      </c>
      <c r="D150" s="130" t="s">
        <v>4038</v>
      </c>
      <c r="E150" s="132" t="s">
        <v>9660</v>
      </c>
      <c r="F150" s="132" t="s">
        <v>9661</v>
      </c>
      <c r="G150" s="132" t="s">
        <v>9662</v>
      </c>
      <c r="H150" s="132" t="s">
        <v>9663</v>
      </c>
      <c r="I150" s="130">
        <v>2</v>
      </c>
      <c r="J150" s="130" t="s">
        <v>4039</v>
      </c>
      <c r="K150" s="130" t="s">
        <v>4040</v>
      </c>
      <c r="L150" s="130" t="s">
        <v>3140</v>
      </c>
    </row>
    <row r="151" spans="1:13" ht="72">
      <c r="A151" s="129">
        <v>148</v>
      </c>
      <c r="B151" s="129" t="s">
        <v>125</v>
      </c>
      <c r="C151" s="129" t="s">
        <v>128</v>
      </c>
      <c r="D151" s="129" t="s">
        <v>4041</v>
      </c>
      <c r="E151" s="129" t="s">
        <v>4042</v>
      </c>
      <c r="F151" s="129" t="s">
        <v>4043</v>
      </c>
      <c r="G151" s="129" t="s">
        <v>4044</v>
      </c>
      <c r="H151" s="129" t="s">
        <v>4045</v>
      </c>
      <c r="I151" s="129">
        <v>3</v>
      </c>
      <c r="J151" s="129" t="s">
        <v>4046</v>
      </c>
      <c r="K151" s="129" t="s">
        <v>4047</v>
      </c>
      <c r="L151" s="129" t="s">
        <v>3140</v>
      </c>
    </row>
    <row r="152" spans="1:13" ht="72">
      <c r="A152" s="129">
        <v>149</v>
      </c>
      <c r="B152" s="129" t="s">
        <v>125</v>
      </c>
      <c r="C152" s="129" t="s">
        <v>128</v>
      </c>
      <c r="D152" s="129" t="s">
        <v>4048</v>
      </c>
      <c r="E152" s="129" t="s">
        <v>4049</v>
      </c>
      <c r="F152" s="129" t="s">
        <v>4050</v>
      </c>
      <c r="G152" s="129" t="s">
        <v>4051</v>
      </c>
      <c r="H152" s="129" t="s">
        <v>4052</v>
      </c>
      <c r="I152" s="129">
        <v>2</v>
      </c>
      <c r="J152" s="129" t="s">
        <v>4053</v>
      </c>
      <c r="K152" s="129" t="s">
        <v>4054</v>
      </c>
      <c r="L152" s="129" t="s">
        <v>3140</v>
      </c>
    </row>
    <row r="153" spans="1:13" ht="90">
      <c r="A153" s="129">
        <v>150</v>
      </c>
      <c r="B153" s="129" t="s">
        <v>125</v>
      </c>
      <c r="C153" s="129" t="s">
        <v>128</v>
      </c>
      <c r="D153" s="129" t="s">
        <v>4055</v>
      </c>
      <c r="E153" s="129" t="s">
        <v>4056</v>
      </c>
      <c r="F153" s="129" t="s">
        <v>4057</v>
      </c>
      <c r="G153" s="129" t="s">
        <v>4058</v>
      </c>
      <c r="H153" s="129" t="s">
        <v>4059</v>
      </c>
      <c r="I153" s="129">
        <v>2</v>
      </c>
      <c r="J153" s="129" t="s">
        <v>4060</v>
      </c>
      <c r="K153" s="129" t="s">
        <v>4061</v>
      </c>
      <c r="L153" s="129" t="s">
        <v>3140</v>
      </c>
    </row>
    <row r="154" spans="1:13" ht="72">
      <c r="A154" s="129">
        <v>151</v>
      </c>
      <c r="B154" s="129" t="s">
        <v>125</v>
      </c>
      <c r="C154" s="129" t="s">
        <v>129</v>
      </c>
      <c r="D154" s="129" t="s">
        <v>4062</v>
      </c>
      <c r="E154" s="129" t="s">
        <v>4063</v>
      </c>
      <c r="F154" s="129" t="s">
        <v>4064</v>
      </c>
      <c r="G154" s="129" t="s">
        <v>4065</v>
      </c>
      <c r="H154" s="129" t="s">
        <v>4066</v>
      </c>
      <c r="I154" s="129">
        <v>3</v>
      </c>
      <c r="J154" s="129" t="s">
        <v>4067</v>
      </c>
      <c r="K154" s="129" t="s">
        <v>4068</v>
      </c>
      <c r="L154" s="129" t="s">
        <v>3140</v>
      </c>
    </row>
    <row r="155" spans="1:13" ht="108">
      <c r="A155" s="129">
        <v>152</v>
      </c>
      <c r="B155" s="129" t="s">
        <v>125</v>
      </c>
      <c r="C155" s="129" t="s">
        <v>129</v>
      </c>
      <c r="D155" s="129" t="s">
        <v>4069</v>
      </c>
      <c r="E155" s="129" t="s">
        <v>4070</v>
      </c>
      <c r="F155" s="129" t="s">
        <v>4071</v>
      </c>
      <c r="G155" s="129" t="s">
        <v>4072</v>
      </c>
      <c r="H155" s="129" t="s">
        <v>4073</v>
      </c>
      <c r="I155" s="129">
        <v>2</v>
      </c>
      <c r="J155" s="129" t="s">
        <v>4074</v>
      </c>
      <c r="K155" s="129" t="s">
        <v>4075</v>
      </c>
      <c r="L155" s="129" t="s">
        <v>3140</v>
      </c>
      <c r="M155" s="129" t="s">
        <v>2760</v>
      </c>
    </row>
    <row r="156" spans="1:13" ht="72">
      <c r="A156" s="129">
        <v>153</v>
      </c>
      <c r="B156" s="129" t="s">
        <v>125</v>
      </c>
      <c r="C156" s="129" t="s">
        <v>129</v>
      </c>
      <c r="D156" s="129" t="s">
        <v>4076</v>
      </c>
      <c r="E156" s="129" t="s">
        <v>4077</v>
      </c>
      <c r="F156" s="129" t="s">
        <v>4078</v>
      </c>
      <c r="G156" s="129" t="s">
        <v>4079</v>
      </c>
      <c r="H156" s="129" t="s">
        <v>4080</v>
      </c>
      <c r="I156" s="129">
        <v>2</v>
      </c>
      <c r="J156" s="129" t="s">
        <v>4081</v>
      </c>
      <c r="K156" s="129" t="s">
        <v>4082</v>
      </c>
      <c r="L156" s="129" t="s">
        <v>3140</v>
      </c>
    </row>
    <row r="157" spans="1:13" s="131" customFormat="1" ht="108">
      <c r="A157" s="130">
        <v>154</v>
      </c>
      <c r="B157" s="130" t="s">
        <v>131</v>
      </c>
      <c r="C157" s="130" t="s">
        <v>133</v>
      </c>
      <c r="D157" s="130" t="s">
        <v>4083</v>
      </c>
      <c r="E157" s="130" t="s">
        <v>4084</v>
      </c>
      <c r="F157" s="130" t="s">
        <v>4085</v>
      </c>
      <c r="G157" s="132" t="s">
        <v>9658</v>
      </c>
      <c r="H157" s="130" t="s">
        <v>4086</v>
      </c>
      <c r="I157" s="130">
        <v>3</v>
      </c>
      <c r="J157" s="132" t="s">
        <v>9659</v>
      </c>
      <c r="K157" s="130" t="s">
        <v>4087</v>
      </c>
      <c r="L157" s="130" t="s">
        <v>3140</v>
      </c>
    </row>
    <row r="158" spans="1:13" ht="72">
      <c r="A158" s="129">
        <v>155</v>
      </c>
      <c r="B158" s="129" t="s">
        <v>131</v>
      </c>
      <c r="C158" s="129" t="s">
        <v>133</v>
      </c>
      <c r="D158" s="129" t="s">
        <v>4088</v>
      </c>
      <c r="E158" s="129" t="s">
        <v>4089</v>
      </c>
      <c r="F158" s="129" t="s">
        <v>4090</v>
      </c>
      <c r="G158" s="129" t="s">
        <v>4091</v>
      </c>
      <c r="H158" s="129" t="s">
        <v>4092</v>
      </c>
      <c r="I158" s="129">
        <v>4</v>
      </c>
      <c r="J158" s="129" t="s">
        <v>4093</v>
      </c>
      <c r="K158" s="129" t="s">
        <v>4094</v>
      </c>
      <c r="L158" s="129" t="s">
        <v>3140</v>
      </c>
    </row>
    <row r="159" spans="1:13" ht="72">
      <c r="A159" s="129">
        <v>156</v>
      </c>
      <c r="B159" s="129" t="s">
        <v>131</v>
      </c>
      <c r="C159" s="129" t="s">
        <v>133</v>
      </c>
      <c r="D159" s="129" t="s">
        <v>4095</v>
      </c>
      <c r="E159" s="129" t="s">
        <v>4096</v>
      </c>
      <c r="F159" s="129" t="s">
        <v>4097</v>
      </c>
      <c r="G159" s="129" t="s">
        <v>4098</v>
      </c>
      <c r="H159" s="129" t="s">
        <v>4099</v>
      </c>
      <c r="I159" s="129">
        <v>2</v>
      </c>
      <c r="J159" s="129" t="s">
        <v>4100</v>
      </c>
      <c r="K159" s="129" t="s">
        <v>4101</v>
      </c>
      <c r="L159" s="129" t="s">
        <v>3140</v>
      </c>
    </row>
    <row r="160" spans="1:13" ht="90">
      <c r="A160" s="129">
        <v>157</v>
      </c>
      <c r="B160" s="129" t="s">
        <v>131</v>
      </c>
      <c r="C160" s="129" t="s">
        <v>135</v>
      </c>
      <c r="D160" s="129" t="s">
        <v>4102</v>
      </c>
      <c r="E160" s="129" t="s">
        <v>4103</v>
      </c>
      <c r="F160" s="129" t="s">
        <v>4104</v>
      </c>
      <c r="G160" s="129" t="s">
        <v>4105</v>
      </c>
      <c r="H160" s="129" t="s">
        <v>4106</v>
      </c>
      <c r="I160" s="129">
        <v>1</v>
      </c>
      <c r="J160" s="129" t="s">
        <v>4107</v>
      </c>
      <c r="K160" s="129" t="s">
        <v>4108</v>
      </c>
      <c r="L160" s="129" t="s">
        <v>3140</v>
      </c>
    </row>
  </sheetData>
  <mergeCells count="2">
    <mergeCell ref="A2:L2"/>
    <mergeCell ref="A1:L1"/>
  </mergeCells>
  <phoneticPr fontId="58" type="noConversion"/>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M51"/>
  <sheetViews>
    <sheetView zoomScale="85" zoomScaleNormal="85" workbookViewId="0">
      <pane xSplit="3" ySplit="3" topLeftCell="D4" activePane="bottomRight" state="frozen"/>
      <selection pane="topRight" activeCell="D1" sqref="D1"/>
      <selection pane="bottomLeft" activeCell="A4" sqref="A4"/>
      <selection pane="bottomRight" activeCell="E7" sqref="E7"/>
    </sheetView>
  </sheetViews>
  <sheetFormatPr baseColWidth="10" defaultColWidth="8.5" defaultRowHeight="17"/>
  <cols>
    <col min="1" max="1" width="6" style="12" customWidth="1"/>
    <col min="2" max="2" width="24" style="13" customWidth="1"/>
    <col min="3" max="3" width="28" style="12" customWidth="1"/>
    <col min="4" max="4" width="42" style="13" customWidth="1"/>
    <col min="5" max="8" width="20" style="13" customWidth="1"/>
    <col min="9" max="9" width="10" style="13" customWidth="1"/>
    <col min="10" max="10" width="44" style="13" customWidth="1"/>
    <col min="11" max="11" width="26" style="13" customWidth="1"/>
    <col min="12" max="12" width="8" style="13" customWidth="1"/>
    <col min="13" max="14" width="8.5" style="2" customWidth="1"/>
    <col min="15" max="16384" width="8.5" style="2"/>
  </cols>
  <sheetData>
    <row r="1" spans="1:13">
      <c r="A1" s="156"/>
      <c r="B1" s="155"/>
      <c r="C1" s="154"/>
      <c r="D1" s="155"/>
      <c r="E1" s="155"/>
      <c r="F1" s="155"/>
      <c r="G1" s="155"/>
      <c r="H1" s="155"/>
      <c r="I1" s="155"/>
      <c r="J1" s="155"/>
      <c r="K1" s="155"/>
      <c r="L1" s="155"/>
    </row>
    <row r="2" spans="1:13" ht="17.25" customHeight="1">
      <c r="A2" s="153"/>
      <c r="B2" s="155"/>
      <c r="C2" s="154"/>
      <c r="D2" s="155"/>
      <c r="E2" s="155"/>
      <c r="F2" s="155"/>
      <c r="G2" s="155"/>
      <c r="H2" s="155"/>
      <c r="I2" s="155"/>
      <c r="J2" s="155"/>
      <c r="K2" s="155"/>
      <c r="L2" s="155"/>
    </row>
    <row r="3" spans="1:13" ht="19.5" customHeight="1">
      <c r="A3" s="14" t="s">
        <v>0</v>
      </c>
      <c r="B3" s="14" t="s">
        <v>1</v>
      </c>
      <c r="C3" s="14" t="s">
        <v>2</v>
      </c>
      <c r="D3" s="14" t="s">
        <v>3</v>
      </c>
      <c r="E3" s="14" t="s">
        <v>4</v>
      </c>
      <c r="F3" s="14" t="s">
        <v>5</v>
      </c>
      <c r="G3" s="14" t="s">
        <v>6</v>
      </c>
      <c r="H3" s="14" t="s">
        <v>7</v>
      </c>
      <c r="I3" s="14" t="s">
        <v>8</v>
      </c>
      <c r="J3" s="14" t="s">
        <v>9</v>
      </c>
      <c r="K3" s="14" t="s">
        <v>10</v>
      </c>
      <c r="L3" s="14" t="s">
        <v>11</v>
      </c>
    </row>
    <row r="4" spans="1:13" s="125" customFormat="1" ht="67.5" customHeight="1">
      <c r="A4" s="126"/>
      <c r="B4" s="126"/>
      <c r="C4" s="126"/>
      <c r="D4" s="126"/>
      <c r="E4" s="126"/>
      <c r="F4" s="126"/>
      <c r="G4" s="126"/>
      <c r="H4" s="126"/>
      <c r="I4" s="126"/>
      <c r="J4" s="126"/>
      <c r="K4" s="126"/>
      <c r="L4" s="126"/>
      <c r="M4" s="126"/>
    </row>
    <row r="5" spans="1:13" s="125" customFormat="1" ht="67.5" customHeight="1">
      <c r="A5" s="126"/>
      <c r="B5" s="126"/>
      <c r="C5" s="126"/>
      <c r="D5" s="126"/>
      <c r="E5" s="126"/>
      <c r="F5" s="126"/>
      <c r="G5" s="126"/>
      <c r="H5" s="126"/>
      <c r="I5" s="126"/>
      <c r="J5" s="126"/>
      <c r="K5" s="126"/>
      <c r="L5" s="126"/>
      <c r="M5" s="126"/>
    </row>
    <row r="6" spans="1:13" s="125" customFormat="1" ht="54" customHeight="1">
      <c r="A6" s="126"/>
      <c r="B6" s="126"/>
      <c r="C6" s="126"/>
      <c r="D6" s="126"/>
      <c r="E6" s="126"/>
      <c r="F6" s="126"/>
      <c r="G6" s="126"/>
      <c r="H6" s="126"/>
      <c r="I6" s="126"/>
      <c r="J6" s="126"/>
      <c r="K6" s="126"/>
      <c r="L6" s="126"/>
      <c r="M6" s="126"/>
    </row>
    <row r="7" spans="1:13" s="125" customFormat="1" ht="80.25" customHeight="1">
      <c r="A7" s="126"/>
      <c r="B7" s="126"/>
      <c r="C7" s="126"/>
      <c r="D7" s="126"/>
      <c r="E7" s="126"/>
      <c r="F7" s="126"/>
      <c r="G7" s="126"/>
      <c r="H7" s="126"/>
      <c r="I7" s="126"/>
      <c r="J7" s="126"/>
      <c r="K7" s="126"/>
      <c r="L7" s="126"/>
      <c r="M7" s="126"/>
    </row>
    <row r="8" spans="1:13" s="125" customFormat="1" ht="54" customHeight="1">
      <c r="A8" s="126"/>
      <c r="B8" s="126"/>
      <c r="C8" s="126"/>
      <c r="D8" s="126"/>
      <c r="E8" s="126"/>
      <c r="F8" s="126"/>
      <c r="G8" s="126"/>
      <c r="H8" s="126"/>
      <c r="I8" s="126"/>
      <c r="J8" s="126"/>
      <c r="K8" s="126"/>
      <c r="L8" s="126"/>
      <c r="M8" s="126"/>
    </row>
    <row r="9" spans="1:13" s="125" customFormat="1" ht="54" customHeight="1">
      <c r="A9" s="126"/>
      <c r="B9" s="126"/>
      <c r="C9" s="126"/>
      <c r="D9" s="126"/>
      <c r="E9" s="126"/>
      <c r="F9" s="126"/>
      <c r="G9" s="126"/>
      <c r="H9" s="126"/>
      <c r="I9" s="126"/>
      <c r="J9" s="126"/>
      <c r="K9" s="126"/>
      <c r="L9" s="126"/>
      <c r="M9" s="126"/>
    </row>
    <row r="10" spans="1:13" s="125" customFormat="1" ht="54" customHeight="1">
      <c r="A10" s="126"/>
      <c r="B10" s="126"/>
      <c r="C10" s="126"/>
      <c r="D10" s="126"/>
      <c r="E10" s="126"/>
      <c r="F10" s="126"/>
      <c r="G10" s="126"/>
      <c r="H10" s="126"/>
      <c r="I10" s="126"/>
      <c r="J10" s="126"/>
      <c r="K10" s="126"/>
      <c r="L10" s="126"/>
      <c r="M10" s="126"/>
    </row>
    <row r="11" spans="1:13" s="125" customFormat="1" ht="55.5" customHeight="1">
      <c r="A11" s="126"/>
      <c r="B11" s="126"/>
      <c r="C11" s="126"/>
      <c r="D11" s="126"/>
      <c r="E11" s="126"/>
      <c r="F11" s="126"/>
      <c r="G11" s="126"/>
      <c r="H11" s="126"/>
      <c r="I11" s="126"/>
      <c r="J11" s="126"/>
      <c r="K11" s="126"/>
      <c r="L11" s="126"/>
      <c r="M11" s="126"/>
    </row>
    <row r="12" spans="1:13" s="125" customFormat="1" ht="54" customHeight="1">
      <c r="A12" s="126"/>
      <c r="B12" s="126"/>
      <c r="C12" s="126"/>
      <c r="D12" s="126"/>
      <c r="E12" s="126"/>
      <c r="F12" s="126"/>
      <c r="G12" s="126"/>
      <c r="H12" s="126"/>
      <c r="I12" s="126"/>
      <c r="J12" s="126"/>
      <c r="K12" s="126"/>
      <c r="L12" s="126"/>
      <c r="M12" s="126"/>
    </row>
    <row r="13" spans="1:13" s="125" customFormat="1" ht="54" customHeight="1">
      <c r="A13" s="126"/>
      <c r="B13" s="126"/>
      <c r="C13" s="126"/>
      <c r="D13" s="126"/>
      <c r="E13" s="126"/>
      <c r="F13" s="126"/>
      <c r="G13" s="126"/>
      <c r="H13" s="126"/>
      <c r="I13" s="126"/>
      <c r="J13" s="126"/>
      <c r="K13" s="126"/>
      <c r="L13" s="126"/>
      <c r="M13" s="126"/>
    </row>
    <row r="14" spans="1:13" s="125" customFormat="1" ht="54" customHeight="1">
      <c r="A14" s="126"/>
      <c r="B14" s="126"/>
      <c r="C14" s="126"/>
      <c r="D14" s="126"/>
      <c r="E14" s="126"/>
      <c r="F14" s="126"/>
      <c r="G14" s="126"/>
      <c r="H14" s="126"/>
      <c r="I14" s="126"/>
      <c r="J14" s="126"/>
      <c r="K14" s="126"/>
      <c r="L14" s="126"/>
      <c r="M14" s="126"/>
    </row>
    <row r="15" spans="1:13" s="125" customFormat="1" ht="54" customHeight="1">
      <c r="A15" s="126"/>
      <c r="B15" s="126"/>
      <c r="C15" s="126"/>
      <c r="D15" s="126"/>
      <c r="E15" s="126"/>
      <c r="F15" s="126"/>
      <c r="G15" s="126"/>
      <c r="H15" s="126"/>
      <c r="I15" s="126"/>
      <c r="J15" s="126"/>
      <c r="K15" s="126"/>
      <c r="L15" s="126"/>
      <c r="M15" s="126"/>
    </row>
    <row r="16" spans="1:13" s="125" customFormat="1" ht="54" customHeight="1">
      <c r="A16" s="126"/>
      <c r="B16" s="126"/>
      <c r="C16" s="126"/>
      <c r="D16" s="126"/>
      <c r="E16" s="126"/>
      <c r="F16" s="126"/>
      <c r="G16" s="126"/>
      <c r="H16" s="126"/>
      <c r="I16" s="126"/>
      <c r="J16" s="126"/>
      <c r="K16" s="126"/>
      <c r="L16" s="126"/>
      <c r="M16" s="126"/>
    </row>
    <row r="17" spans="1:13" s="125" customFormat="1" ht="54" customHeight="1">
      <c r="A17" s="126"/>
      <c r="B17" s="126"/>
      <c r="C17" s="126"/>
      <c r="D17" s="126"/>
      <c r="E17" s="126"/>
      <c r="F17" s="126"/>
      <c r="G17" s="126"/>
      <c r="H17" s="126"/>
      <c r="I17" s="126"/>
      <c r="J17" s="126"/>
      <c r="K17" s="126"/>
      <c r="L17" s="126"/>
      <c r="M17" s="126"/>
    </row>
    <row r="18" spans="1:13" s="125" customFormat="1" ht="64.5" customHeight="1">
      <c r="A18" s="126"/>
      <c r="B18" s="126"/>
      <c r="C18" s="126"/>
      <c r="D18" s="126"/>
      <c r="E18" s="126"/>
      <c r="F18" s="126"/>
      <c r="G18" s="126"/>
      <c r="H18" s="126"/>
      <c r="I18" s="126"/>
      <c r="J18" s="126"/>
      <c r="K18" s="126"/>
      <c r="L18" s="126"/>
      <c r="M18" s="126"/>
    </row>
    <row r="19" spans="1:13" s="125" customFormat="1" ht="67.5" customHeight="1">
      <c r="A19" s="126"/>
      <c r="B19" s="126"/>
      <c r="C19" s="126"/>
      <c r="D19" s="126"/>
      <c r="E19" s="126"/>
      <c r="F19" s="126"/>
      <c r="G19" s="126"/>
      <c r="H19" s="126"/>
      <c r="I19" s="126"/>
      <c r="J19" s="126"/>
      <c r="K19" s="126"/>
      <c r="L19" s="126"/>
      <c r="M19" s="126"/>
    </row>
    <row r="20" spans="1:13" s="125" customFormat="1" ht="54" customHeight="1">
      <c r="A20" s="126"/>
      <c r="B20" s="126"/>
      <c r="C20" s="126"/>
      <c r="D20" s="126"/>
      <c r="E20" s="126"/>
      <c r="F20" s="126"/>
      <c r="G20" s="126"/>
      <c r="H20" s="126"/>
      <c r="I20" s="126"/>
      <c r="J20" s="126"/>
      <c r="K20" s="126"/>
      <c r="L20" s="126"/>
      <c r="M20" s="126"/>
    </row>
    <row r="21" spans="1:13" s="125" customFormat="1" ht="85.5" customHeight="1">
      <c r="A21" s="126"/>
      <c r="B21" s="126"/>
      <c r="C21" s="126"/>
      <c r="D21" s="126"/>
      <c r="E21" s="126"/>
      <c r="F21" s="126"/>
      <c r="G21" s="126"/>
      <c r="H21" s="126"/>
      <c r="I21" s="126"/>
      <c r="J21" s="126"/>
      <c r="K21" s="126"/>
      <c r="L21" s="126"/>
      <c r="M21" s="126"/>
    </row>
    <row r="22" spans="1:13" s="125" customFormat="1" ht="67.5" customHeight="1">
      <c r="A22" s="126"/>
      <c r="B22" s="126"/>
      <c r="C22" s="126"/>
      <c r="D22" s="126"/>
      <c r="E22" s="126"/>
      <c r="F22" s="126"/>
      <c r="G22" s="126"/>
      <c r="H22" s="126"/>
      <c r="I22" s="126"/>
      <c r="J22" s="126"/>
      <c r="K22" s="126"/>
      <c r="L22" s="126"/>
      <c r="M22" s="126"/>
    </row>
    <row r="23" spans="1:13" s="125" customFormat="1" ht="67.5" customHeight="1">
      <c r="A23" s="126"/>
      <c r="B23" s="126"/>
      <c r="C23" s="126"/>
      <c r="D23" s="126"/>
      <c r="E23" s="126"/>
      <c r="F23" s="126"/>
      <c r="G23" s="126"/>
      <c r="H23" s="126"/>
      <c r="I23" s="126"/>
      <c r="J23" s="126"/>
      <c r="K23" s="126"/>
      <c r="L23" s="126"/>
      <c r="M23" s="126"/>
    </row>
    <row r="24" spans="1:13" s="125" customFormat="1" ht="40.5" customHeight="1">
      <c r="A24" s="126"/>
      <c r="B24" s="126"/>
      <c r="C24" s="126"/>
      <c r="D24" s="126"/>
      <c r="E24" s="126"/>
      <c r="F24" s="126"/>
      <c r="G24" s="126"/>
      <c r="H24" s="126"/>
      <c r="I24" s="126"/>
      <c r="J24" s="126"/>
      <c r="K24" s="126"/>
      <c r="L24" s="126"/>
      <c r="M24" s="126"/>
    </row>
    <row r="25" spans="1:13" s="125" customFormat="1" ht="33.75" customHeight="1">
      <c r="A25" s="126"/>
      <c r="B25" s="126"/>
      <c r="C25" s="126"/>
      <c r="D25" s="126"/>
      <c r="E25" s="126"/>
      <c r="F25" s="126"/>
      <c r="G25" s="126"/>
      <c r="H25" s="126"/>
      <c r="I25" s="126"/>
      <c r="J25" s="126"/>
      <c r="K25" s="126"/>
      <c r="L25" s="126"/>
      <c r="M25" s="126"/>
    </row>
    <row r="26" spans="1:13" s="125" customFormat="1" ht="36.75" customHeight="1">
      <c r="A26" s="126"/>
      <c r="B26" s="126"/>
      <c r="C26" s="126"/>
      <c r="D26" s="126"/>
      <c r="E26" s="126"/>
      <c r="F26" s="126"/>
      <c r="G26" s="126"/>
      <c r="H26" s="126"/>
      <c r="I26" s="126"/>
      <c r="J26" s="126"/>
      <c r="K26" s="126"/>
      <c r="L26" s="126"/>
      <c r="M26" s="126"/>
    </row>
    <row r="27" spans="1:13" s="125" customFormat="1" ht="40.5" customHeight="1">
      <c r="A27" s="126"/>
      <c r="B27" s="126"/>
      <c r="C27" s="126"/>
      <c r="D27" s="126"/>
      <c r="E27" s="126"/>
      <c r="F27" s="126"/>
      <c r="G27" s="126"/>
      <c r="H27" s="126"/>
      <c r="I27" s="126"/>
      <c r="J27" s="126"/>
      <c r="K27" s="126"/>
      <c r="L27" s="126"/>
      <c r="M27" s="126"/>
    </row>
    <row r="28" spans="1:13" s="125" customFormat="1" ht="42.75" customHeight="1">
      <c r="A28" s="126"/>
      <c r="B28" s="126"/>
      <c r="C28" s="126"/>
      <c r="D28" s="126"/>
      <c r="E28" s="126"/>
      <c r="F28" s="126"/>
      <c r="G28" s="126"/>
      <c r="H28" s="126"/>
      <c r="I28" s="126"/>
      <c r="J28" s="126"/>
      <c r="K28" s="126"/>
      <c r="L28" s="126"/>
      <c r="M28" s="126"/>
    </row>
    <row r="29" spans="1:13" s="125" customFormat="1" ht="81" customHeight="1">
      <c r="A29" s="126"/>
      <c r="B29" s="126"/>
      <c r="C29" s="126"/>
      <c r="D29" s="126"/>
      <c r="E29" s="126"/>
      <c r="F29" s="126"/>
      <c r="G29" s="126"/>
      <c r="H29" s="126"/>
      <c r="I29" s="126"/>
      <c r="J29" s="126"/>
      <c r="K29" s="127"/>
      <c r="L29" s="126"/>
      <c r="M29" s="126"/>
    </row>
    <row r="30" spans="1:13" s="125" customFormat="1" ht="94.5" customHeight="1">
      <c r="A30" s="126"/>
      <c r="B30" s="126"/>
      <c r="C30" s="126"/>
      <c r="D30" s="126"/>
      <c r="E30" s="126"/>
      <c r="F30" s="126"/>
      <c r="G30" s="126"/>
      <c r="H30" s="126"/>
      <c r="I30" s="126"/>
      <c r="J30" s="126"/>
      <c r="K30" s="126"/>
      <c r="L30" s="126"/>
      <c r="M30" s="126"/>
    </row>
    <row r="31" spans="1:13" s="125" customFormat="1" ht="94.5" customHeight="1">
      <c r="A31" s="126"/>
      <c r="B31" s="126"/>
      <c r="C31" s="126"/>
      <c r="D31" s="126"/>
      <c r="E31" s="126"/>
      <c r="F31" s="126"/>
      <c r="G31" s="126"/>
      <c r="H31" s="126"/>
      <c r="I31" s="126"/>
      <c r="J31" s="126"/>
      <c r="K31" s="127"/>
      <c r="L31" s="126"/>
      <c r="M31" s="126"/>
    </row>
    <row r="32" spans="1:13" s="125" customFormat="1" ht="81" customHeight="1">
      <c r="A32" s="126"/>
      <c r="B32" s="126"/>
      <c r="C32" s="126"/>
      <c r="D32" s="126"/>
      <c r="E32" s="126"/>
      <c r="F32" s="126"/>
      <c r="G32" s="126"/>
      <c r="H32" s="126"/>
      <c r="I32" s="126"/>
      <c r="J32" s="126"/>
      <c r="K32" s="126"/>
      <c r="L32" s="126"/>
      <c r="M32" s="126"/>
    </row>
    <row r="33" spans="1:13" s="125" customFormat="1" ht="67.5" customHeight="1">
      <c r="A33" s="126"/>
      <c r="B33" s="126"/>
      <c r="C33" s="126"/>
      <c r="D33" s="126"/>
      <c r="E33" s="126"/>
      <c r="F33" s="126"/>
      <c r="G33" s="126"/>
      <c r="H33" s="126"/>
      <c r="I33" s="126"/>
      <c r="J33" s="126"/>
      <c r="K33" s="127"/>
      <c r="L33" s="126"/>
      <c r="M33" s="126"/>
    </row>
    <row r="34" spans="1:13" s="122" customFormat="1" ht="54" customHeight="1">
      <c r="A34" s="123"/>
      <c r="B34" s="123"/>
      <c r="C34" s="123"/>
      <c r="D34" s="123"/>
      <c r="E34" s="124"/>
      <c r="F34" s="123"/>
      <c r="G34" s="123"/>
      <c r="H34" s="123"/>
      <c r="I34" s="123"/>
      <c r="J34" s="123"/>
      <c r="K34" s="124"/>
      <c r="L34" s="123"/>
      <c r="M34" s="123"/>
    </row>
    <row r="35" spans="1:13" ht="135.75" customHeight="1"/>
    <row r="36" spans="1:13" ht="108" customHeight="1"/>
    <row r="37" spans="1:13" ht="108" customHeight="1"/>
    <row r="38" spans="1:13" ht="121.5" customHeight="1"/>
    <row r="39" spans="1:13" ht="94.5" customHeight="1"/>
    <row r="40" spans="1:13" ht="94.5" customHeight="1"/>
    <row r="41" spans="1:13" ht="108" customHeight="1"/>
    <row r="42" spans="1:13" ht="151.5" customHeight="1"/>
    <row r="43" spans="1:13" ht="121.5" customHeight="1"/>
    <row r="44" spans="1:13" ht="108" customHeight="1"/>
    <row r="45" spans="1:13" ht="135" customHeight="1"/>
    <row r="46" spans="1:13" ht="108" customHeight="1"/>
    <row r="47" spans="1:13" ht="108" customHeight="1"/>
    <row r="48" spans="1:13" ht="68.25" customHeight="1"/>
    <row r="49" ht="68.25" customHeight="1"/>
    <row r="50" ht="68.25" customHeight="1"/>
    <row r="51" ht="84" customHeight="1"/>
  </sheetData>
  <mergeCells count="2">
    <mergeCell ref="A2:L2"/>
    <mergeCell ref="A1:L1"/>
  </mergeCells>
  <phoneticPr fontId="58" type="noConversion"/>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81"/>
  <sheetViews>
    <sheetView zoomScale="85" zoomScaleNormal="85" workbookViewId="0">
      <pane xSplit="3" ySplit="3" topLeftCell="E76" activePane="bottomRight" state="frozen"/>
      <selection pane="topRight" activeCell="D1" sqref="D1"/>
      <selection pane="bottomLeft" activeCell="A4" sqref="A4"/>
      <selection pane="bottomRight" activeCell="K77" sqref="K77"/>
    </sheetView>
  </sheetViews>
  <sheetFormatPr baseColWidth="10" defaultColWidth="8.5" defaultRowHeight="17"/>
  <cols>
    <col min="1" max="1" width="6" style="12" customWidth="1"/>
    <col min="2" max="2" width="23.6640625" style="13" customWidth="1"/>
    <col min="3" max="3" width="16.1640625" style="13" customWidth="1"/>
    <col min="4" max="4" width="42" style="13" customWidth="1"/>
    <col min="5" max="8" width="20" style="13" customWidth="1"/>
    <col min="9" max="9" width="10" style="13" customWidth="1"/>
    <col min="10" max="10" width="44" style="13" customWidth="1"/>
    <col min="11" max="11" width="26" style="13" customWidth="1"/>
    <col min="12" max="12" width="8" style="13" customWidth="1"/>
    <col min="13" max="14" width="8.5" style="2" customWidth="1"/>
    <col min="15" max="16384" width="8.5" style="2"/>
  </cols>
  <sheetData>
    <row r="1" spans="1:13" ht="15" customHeight="1">
      <c r="A1" s="155"/>
      <c r="B1" s="155"/>
      <c r="C1" s="155"/>
      <c r="D1" s="155"/>
      <c r="E1" s="155"/>
      <c r="F1" s="155"/>
      <c r="G1" s="155"/>
      <c r="H1" s="155"/>
      <c r="I1" s="155"/>
      <c r="J1" s="155"/>
      <c r="K1" s="155"/>
      <c r="L1" s="155"/>
    </row>
    <row r="2" spans="1:13" ht="19.5" customHeight="1">
      <c r="A2" s="176" t="s">
        <v>4109</v>
      </c>
      <c r="B2" s="155"/>
      <c r="C2" s="155"/>
      <c r="D2" s="155"/>
      <c r="E2" s="155"/>
      <c r="F2" s="155"/>
      <c r="G2" s="155"/>
      <c r="H2" s="155"/>
      <c r="I2" s="155"/>
      <c r="J2" s="155"/>
      <c r="K2" s="155"/>
      <c r="L2" s="155"/>
    </row>
    <row r="3" spans="1:13" ht="19.5" customHeight="1">
      <c r="A3" s="14" t="s">
        <v>0</v>
      </c>
      <c r="B3" s="14" t="s">
        <v>1</v>
      </c>
      <c r="C3" s="14" t="s">
        <v>2</v>
      </c>
      <c r="D3" s="14" t="s">
        <v>3</v>
      </c>
      <c r="E3" s="14" t="s">
        <v>4</v>
      </c>
      <c r="F3" s="14" t="s">
        <v>5</v>
      </c>
      <c r="G3" s="14" t="s">
        <v>6</v>
      </c>
      <c r="H3" s="14" t="s">
        <v>7</v>
      </c>
      <c r="I3" s="14" t="s">
        <v>8</v>
      </c>
      <c r="J3" s="14" t="s">
        <v>9</v>
      </c>
      <c r="K3" s="14" t="s">
        <v>10</v>
      </c>
      <c r="L3" s="93" t="s">
        <v>737</v>
      </c>
      <c r="M3" s="94" t="s">
        <v>738</v>
      </c>
    </row>
    <row r="4" spans="1:13" ht="43.5" customHeight="1">
      <c r="A4" s="15">
        <v>1</v>
      </c>
      <c r="B4" s="44" t="s">
        <v>151</v>
      </c>
      <c r="C4" s="47" t="s">
        <v>152</v>
      </c>
      <c r="D4" s="18" t="s">
        <v>4110</v>
      </c>
      <c r="E4" s="18" t="s">
        <v>4111</v>
      </c>
      <c r="F4" s="18" t="s">
        <v>4112</v>
      </c>
      <c r="G4" s="18" t="s">
        <v>4113</v>
      </c>
      <c r="H4" s="18" t="s">
        <v>4114</v>
      </c>
      <c r="I4" s="18">
        <v>1</v>
      </c>
      <c r="J4" s="19" t="s">
        <v>4115</v>
      </c>
      <c r="K4" s="18"/>
      <c r="L4" s="18"/>
    </row>
    <row r="5" spans="1:13" ht="38.25" customHeight="1">
      <c r="A5" s="48">
        <v>2</v>
      </c>
      <c r="B5" s="44" t="s">
        <v>151</v>
      </c>
      <c r="C5" s="47" t="s">
        <v>152</v>
      </c>
      <c r="D5" s="19" t="s">
        <v>4116</v>
      </c>
      <c r="E5" s="18" t="s">
        <v>4117</v>
      </c>
      <c r="F5" s="18" t="s">
        <v>4112</v>
      </c>
      <c r="G5" s="18" t="s">
        <v>4118</v>
      </c>
      <c r="H5" s="18" t="s">
        <v>4114</v>
      </c>
      <c r="I5" s="18">
        <v>1</v>
      </c>
      <c r="J5" s="19" t="s">
        <v>4119</v>
      </c>
      <c r="K5" s="18"/>
      <c r="L5" s="18"/>
    </row>
    <row r="6" spans="1:13" ht="43.5" customHeight="1">
      <c r="A6" s="48">
        <v>3</v>
      </c>
      <c r="B6" s="44" t="s">
        <v>151</v>
      </c>
      <c r="C6" s="47" t="s">
        <v>154</v>
      </c>
      <c r="D6" s="18" t="s">
        <v>4120</v>
      </c>
      <c r="E6" s="18" t="s">
        <v>4121</v>
      </c>
      <c r="F6" s="18" t="s">
        <v>4122</v>
      </c>
      <c r="G6" s="18" t="s">
        <v>4123</v>
      </c>
      <c r="H6" s="18" t="s">
        <v>4124</v>
      </c>
      <c r="I6" s="18">
        <v>3</v>
      </c>
      <c r="J6" s="19" t="s">
        <v>4125</v>
      </c>
      <c r="K6" s="18"/>
      <c r="L6" s="18"/>
    </row>
    <row r="7" spans="1:13" ht="70.5" customHeight="1">
      <c r="A7" s="15">
        <v>4</v>
      </c>
      <c r="B7" s="45" t="s">
        <v>151</v>
      </c>
      <c r="C7" s="49" t="s">
        <v>154</v>
      </c>
      <c r="D7" s="50" t="s">
        <v>4126</v>
      </c>
      <c r="E7" s="18" t="s">
        <v>4127</v>
      </c>
      <c r="F7" s="18" t="s">
        <v>4128</v>
      </c>
      <c r="G7" s="18" t="s">
        <v>4129</v>
      </c>
      <c r="H7" s="18" t="s">
        <v>4130</v>
      </c>
      <c r="I7" s="18">
        <v>1</v>
      </c>
      <c r="J7" s="19" t="s">
        <v>4131</v>
      </c>
      <c r="K7" s="18"/>
      <c r="L7" s="18"/>
    </row>
    <row r="8" spans="1:13" ht="63.75" customHeight="1">
      <c r="A8" s="48">
        <v>5</v>
      </c>
      <c r="B8" s="45" t="s">
        <v>151</v>
      </c>
      <c r="C8" s="49" t="s">
        <v>154</v>
      </c>
      <c r="D8" s="50" t="s">
        <v>4132</v>
      </c>
      <c r="E8" s="18" t="s">
        <v>4133</v>
      </c>
      <c r="F8" s="18" t="s">
        <v>4134</v>
      </c>
      <c r="G8" s="18" t="s">
        <v>4135</v>
      </c>
      <c r="H8" s="18" t="s">
        <v>4136</v>
      </c>
      <c r="I8" s="18">
        <v>2</v>
      </c>
      <c r="J8" s="19" t="s">
        <v>4137</v>
      </c>
      <c r="K8" s="18"/>
      <c r="L8" s="18"/>
    </row>
    <row r="9" spans="1:13" ht="51" customHeight="1">
      <c r="A9" s="48">
        <v>6</v>
      </c>
      <c r="B9" s="44" t="s">
        <v>156</v>
      </c>
      <c r="C9" s="47" t="s">
        <v>157</v>
      </c>
      <c r="D9" s="50" t="s">
        <v>4138</v>
      </c>
      <c r="E9" s="18" t="s">
        <v>4139</v>
      </c>
      <c r="F9" s="18" t="s">
        <v>4140</v>
      </c>
      <c r="G9" s="18" t="s">
        <v>4141</v>
      </c>
      <c r="H9" s="18" t="s">
        <v>4142</v>
      </c>
      <c r="I9" s="18">
        <v>3</v>
      </c>
      <c r="J9" s="19" t="s">
        <v>4143</v>
      </c>
      <c r="K9" s="18" t="s">
        <v>4144</v>
      </c>
      <c r="L9" s="18"/>
    </row>
    <row r="10" spans="1:13" ht="76.5" customHeight="1">
      <c r="A10" s="15">
        <v>7</v>
      </c>
      <c r="B10" s="44" t="s">
        <v>156</v>
      </c>
      <c r="C10" s="47" t="s">
        <v>157</v>
      </c>
      <c r="D10" s="50" t="s">
        <v>4145</v>
      </c>
      <c r="E10" s="18" t="s">
        <v>4146</v>
      </c>
      <c r="F10" s="18" t="s">
        <v>4147</v>
      </c>
      <c r="G10" s="18" t="s">
        <v>4148</v>
      </c>
      <c r="H10" s="18" t="s">
        <v>4149</v>
      </c>
      <c r="I10" s="18">
        <v>3</v>
      </c>
      <c r="J10" s="19" t="s">
        <v>4150</v>
      </c>
      <c r="K10" s="18" t="s">
        <v>4144</v>
      </c>
      <c r="L10" s="18"/>
    </row>
    <row r="11" spans="1:13" ht="76.5" customHeight="1">
      <c r="A11" s="48">
        <v>8</v>
      </c>
      <c r="B11" s="44" t="s">
        <v>156</v>
      </c>
      <c r="C11" s="47" t="s">
        <v>157</v>
      </c>
      <c r="D11" s="50" t="s">
        <v>4151</v>
      </c>
      <c r="E11" s="18" t="s">
        <v>4152</v>
      </c>
      <c r="F11" s="18" t="s">
        <v>4153</v>
      </c>
      <c r="G11" s="18" t="s">
        <v>4154</v>
      </c>
      <c r="H11" s="18" t="s">
        <v>4155</v>
      </c>
      <c r="I11" s="18">
        <v>4</v>
      </c>
      <c r="J11" s="19" t="s">
        <v>4156</v>
      </c>
      <c r="K11" s="18" t="s">
        <v>4144</v>
      </c>
      <c r="L11" s="18"/>
    </row>
    <row r="12" spans="1:13" ht="110.25" customHeight="1">
      <c r="A12" s="48">
        <v>9</v>
      </c>
      <c r="B12" s="44" t="s">
        <v>156</v>
      </c>
      <c r="C12" s="47" t="s">
        <v>157</v>
      </c>
      <c r="D12" s="18" t="s">
        <v>4157</v>
      </c>
      <c r="E12" s="51" t="s">
        <v>4158</v>
      </c>
      <c r="F12" s="51" t="s">
        <v>4159</v>
      </c>
      <c r="G12" s="51" t="s">
        <v>4160</v>
      </c>
      <c r="H12" s="51" t="s">
        <v>4161</v>
      </c>
      <c r="I12" s="18">
        <v>4</v>
      </c>
      <c r="J12" s="19" t="s">
        <v>4162</v>
      </c>
      <c r="K12" s="50" t="s">
        <v>4163</v>
      </c>
      <c r="L12" s="18"/>
    </row>
    <row r="13" spans="1:13" ht="48.75" customHeight="1">
      <c r="A13" s="15">
        <v>10</v>
      </c>
      <c r="B13" s="44" t="s">
        <v>156</v>
      </c>
      <c r="C13" s="47" t="s">
        <v>157</v>
      </c>
      <c r="D13" s="18" t="s">
        <v>4164</v>
      </c>
      <c r="E13" s="51" t="s">
        <v>4165</v>
      </c>
      <c r="F13" s="51" t="s">
        <v>4166</v>
      </c>
      <c r="G13" s="51" t="s">
        <v>4167</v>
      </c>
      <c r="H13" s="51" t="s">
        <v>4168</v>
      </c>
      <c r="I13" s="18">
        <v>3</v>
      </c>
      <c r="J13" s="19" t="s">
        <v>4169</v>
      </c>
      <c r="K13" s="50" t="s">
        <v>4170</v>
      </c>
      <c r="L13" s="18"/>
    </row>
    <row r="14" spans="1:13" ht="61.5" customHeight="1">
      <c r="A14" s="48">
        <v>11</v>
      </c>
      <c r="B14" s="44" t="s">
        <v>156</v>
      </c>
      <c r="C14" s="47" t="s">
        <v>159</v>
      </c>
      <c r="D14" s="19" t="s">
        <v>4171</v>
      </c>
      <c r="E14" s="18" t="s">
        <v>4172</v>
      </c>
      <c r="F14" s="18" t="s">
        <v>4173</v>
      </c>
      <c r="G14" s="18" t="s">
        <v>4174</v>
      </c>
      <c r="H14" s="18" t="s">
        <v>4175</v>
      </c>
      <c r="I14" s="18">
        <v>2</v>
      </c>
      <c r="J14" s="19" t="s">
        <v>4176</v>
      </c>
      <c r="K14" s="19"/>
      <c r="L14" s="18"/>
    </row>
    <row r="15" spans="1:13" ht="43.5" customHeight="1">
      <c r="A15" s="48">
        <v>12</v>
      </c>
      <c r="B15" s="44" t="s">
        <v>156</v>
      </c>
      <c r="C15" s="47" t="s">
        <v>159</v>
      </c>
      <c r="D15" s="18" t="s">
        <v>4177</v>
      </c>
      <c r="E15" s="18" t="s">
        <v>4178</v>
      </c>
      <c r="F15" s="18" t="s">
        <v>4179</v>
      </c>
      <c r="G15" s="18" t="s">
        <v>4180</v>
      </c>
      <c r="H15" s="18" t="s">
        <v>4181</v>
      </c>
      <c r="I15" s="18">
        <v>4</v>
      </c>
      <c r="J15" s="19" t="s">
        <v>4182</v>
      </c>
      <c r="K15" s="18"/>
      <c r="L15" s="18"/>
    </row>
    <row r="16" spans="1:13" ht="76.5" customHeight="1">
      <c r="A16" s="15">
        <v>13</v>
      </c>
      <c r="B16" s="44" t="s">
        <v>161</v>
      </c>
      <c r="C16" s="47" t="s">
        <v>162</v>
      </c>
      <c r="D16" s="18" t="s">
        <v>4183</v>
      </c>
      <c r="E16" s="51" t="s">
        <v>4184</v>
      </c>
      <c r="F16" s="51" t="s">
        <v>4185</v>
      </c>
      <c r="G16" s="51" t="s">
        <v>4186</v>
      </c>
      <c r="H16" s="51" t="s">
        <v>4187</v>
      </c>
      <c r="I16" s="18">
        <v>2</v>
      </c>
      <c r="J16" s="19" t="s">
        <v>4188</v>
      </c>
      <c r="K16" s="50" t="s">
        <v>4189</v>
      </c>
      <c r="L16" s="18"/>
    </row>
    <row r="17" spans="1:12" ht="79.5" customHeight="1">
      <c r="A17" s="48">
        <v>14</v>
      </c>
      <c r="B17" s="44" t="s">
        <v>161</v>
      </c>
      <c r="C17" s="47" t="s">
        <v>162</v>
      </c>
      <c r="D17" s="18" t="s">
        <v>4190</v>
      </c>
      <c r="E17" s="51" t="s">
        <v>4191</v>
      </c>
      <c r="F17" s="51" t="s">
        <v>4192</v>
      </c>
      <c r="G17" s="51" t="s">
        <v>4193</v>
      </c>
      <c r="H17" s="51" t="s">
        <v>4194</v>
      </c>
      <c r="I17" s="18">
        <v>3</v>
      </c>
      <c r="J17" s="19" t="s">
        <v>4195</v>
      </c>
      <c r="K17" s="50" t="s">
        <v>4189</v>
      </c>
      <c r="L17" s="18"/>
    </row>
    <row r="18" spans="1:12" ht="79.5" customHeight="1">
      <c r="A18" s="48">
        <v>15</v>
      </c>
      <c r="B18" s="44" t="s">
        <v>161</v>
      </c>
      <c r="C18" s="47" t="s">
        <v>163</v>
      </c>
      <c r="D18" s="18" t="s">
        <v>4196</v>
      </c>
      <c r="E18" s="18" t="s">
        <v>4197</v>
      </c>
      <c r="F18" s="18" t="s">
        <v>4198</v>
      </c>
      <c r="G18" s="18" t="s">
        <v>4199</v>
      </c>
      <c r="H18" s="18" t="s">
        <v>4200</v>
      </c>
      <c r="I18" s="18">
        <v>3</v>
      </c>
      <c r="J18" s="19" t="s">
        <v>4201</v>
      </c>
      <c r="K18" s="18" t="s">
        <v>3233</v>
      </c>
      <c r="L18" s="18"/>
    </row>
    <row r="19" spans="1:12" ht="79.5" customHeight="1">
      <c r="A19" s="15">
        <v>16</v>
      </c>
      <c r="B19" s="44" t="s">
        <v>161</v>
      </c>
      <c r="C19" s="47" t="s">
        <v>163</v>
      </c>
      <c r="D19" s="18" t="s">
        <v>4202</v>
      </c>
      <c r="E19" s="51" t="s">
        <v>4203</v>
      </c>
      <c r="F19" s="51" t="s">
        <v>4204</v>
      </c>
      <c r="G19" s="51" t="s">
        <v>4205</v>
      </c>
      <c r="H19" s="51" t="s">
        <v>4206</v>
      </c>
      <c r="I19" s="18">
        <v>2</v>
      </c>
      <c r="J19" s="19" t="s">
        <v>4207</v>
      </c>
      <c r="K19" s="50" t="s">
        <v>4208</v>
      </c>
      <c r="L19" s="18"/>
    </row>
    <row r="20" spans="1:12" ht="67.5" customHeight="1">
      <c r="A20" s="48">
        <v>17</v>
      </c>
      <c r="B20" s="44" t="s">
        <v>161</v>
      </c>
      <c r="C20" s="47" t="s">
        <v>163</v>
      </c>
      <c r="D20" s="18" t="s">
        <v>4209</v>
      </c>
      <c r="E20" s="51" t="s">
        <v>4210</v>
      </c>
      <c r="F20" s="51" t="s">
        <v>4211</v>
      </c>
      <c r="G20" s="51" t="s">
        <v>4212</v>
      </c>
      <c r="H20" s="51" t="s">
        <v>4213</v>
      </c>
      <c r="I20" s="18">
        <v>3</v>
      </c>
      <c r="J20" s="19" t="s">
        <v>4214</v>
      </c>
      <c r="K20" s="50" t="s">
        <v>4208</v>
      </c>
      <c r="L20" s="18"/>
    </row>
    <row r="21" spans="1:12" ht="43.5" customHeight="1">
      <c r="A21" s="48">
        <v>18</v>
      </c>
      <c r="B21" s="44" t="s">
        <v>161</v>
      </c>
      <c r="C21" s="47" t="s">
        <v>163</v>
      </c>
      <c r="D21" s="18" t="s">
        <v>4215</v>
      </c>
      <c r="E21" s="51" t="s">
        <v>4216</v>
      </c>
      <c r="F21" s="51" t="s">
        <v>4217</v>
      </c>
      <c r="G21" s="51" t="s">
        <v>4218</v>
      </c>
      <c r="H21" s="51" t="s">
        <v>3245</v>
      </c>
      <c r="I21" s="18">
        <v>3</v>
      </c>
      <c r="J21" s="19" t="s">
        <v>4219</v>
      </c>
      <c r="K21" s="50" t="s">
        <v>4220</v>
      </c>
      <c r="L21" s="18"/>
    </row>
    <row r="22" spans="1:12" ht="46.5" customHeight="1">
      <c r="A22" s="15">
        <v>19</v>
      </c>
      <c r="B22" s="44" t="s">
        <v>164</v>
      </c>
      <c r="C22" s="47" t="s">
        <v>167</v>
      </c>
      <c r="D22" s="18" t="s">
        <v>4221</v>
      </c>
      <c r="E22" s="18" t="s">
        <v>4222</v>
      </c>
      <c r="F22" s="18" t="s">
        <v>4223</v>
      </c>
      <c r="G22" s="18" t="s">
        <v>4224</v>
      </c>
      <c r="H22" s="18" t="s">
        <v>4225</v>
      </c>
      <c r="I22" s="18">
        <v>1</v>
      </c>
      <c r="J22" s="19" t="s">
        <v>4226</v>
      </c>
      <c r="K22" s="18" t="s">
        <v>4227</v>
      </c>
      <c r="L22" s="18"/>
    </row>
    <row r="23" spans="1:12" ht="46.5" customHeight="1">
      <c r="A23" s="48">
        <v>20</v>
      </c>
      <c r="B23" s="44" t="s">
        <v>164</v>
      </c>
      <c r="C23" s="47" t="s">
        <v>167</v>
      </c>
      <c r="D23" s="19" t="s">
        <v>4228</v>
      </c>
      <c r="E23" s="18" t="s">
        <v>4229</v>
      </c>
      <c r="F23" s="18" t="s">
        <v>4230</v>
      </c>
      <c r="G23" s="18" t="s">
        <v>4231</v>
      </c>
      <c r="H23" s="18" t="s">
        <v>4232</v>
      </c>
      <c r="I23" s="18">
        <v>2</v>
      </c>
      <c r="J23" s="19" t="s">
        <v>4233</v>
      </c>
      <c r="K23" s="50" t="s">
        <v>4234</v>
      </c>
      <c r="L23" s="18"/>
    </row>
    <row r="24" spans="1:12" ht="46.5" customHeight="1">
      <c r="A24" s="48">
        <v>21</v>
      </c>
      <c r="B24" s="44" t="s">
        <v>164</v>
      </c>
      <c r="C24" s="47" t="s">
        <v>167</v>
      </c>
      <c r="D24" s="50" t="s">
        <v>4235</v>
      </c>
      <c r="E24" s="18" t="s">
        <v>4236</v>
      </c>
      <c r="F24" s="18" t="s">
        <v>4237</v>
      </c>
      <c r="G24" s="18" t="s">
        <v>4238</v>
      </c>
      <c r="H24" s="18" t="s">
        <v>4239</v>
      </c>
      <c r="I24" s="18">
        <v>2</v>
      </c>
      <c r="J24" s="19" t="s">
        <v>4240</v>
      </c>
      <c r="K24" s="18" t="s">
        <v>4241</v>
      </c>
      <c r="L24" s="18"/>
    </row>
    <row r="25" spans="1:12" ht="63" customHeight="1">
      <c r="A25" s="48">
        <v>22</v>
      </c>
      <c r="B25" s="90" t="s">
        <v>151</v>
      </c>
      <c r="C25" s="90" t="s">
        <v>152</v>
      </c>
      <c r="D25" s="91" t="s">
        <v>4242</v>
      </c>
      <c r="E25" s="90" t="s">
        <v>471</v>
      </c>
      <c r="F25" s="90" t="s">
        <v>470</v>
      </c>
      <c r="G25" s="90" t="s">
        <v>472</v>
      </c>
      <c r="H25" s="90" t="s">
        <v>469</v>
      </c>
      <c r="I25" s="90">
        <v>4</v>
      </c>
      <c r="J25" s="91" t="s">
        <v>4243</v>
      </c>
      <c r="K25" s="90"/>
      <c r="L25" s="18"/>
    </row>
    <row r="26" spans="1:12" ht="43.5" customHeight="1">
      <c r="A26" s="15">
        <v>23</v>
      </c>
      <c r="B26" s="90" t="s">
        <v>151</v>
      </c>
      <c r="C26" s="90" t="s">
        <v>152</v>
      </c>
      <c r="D26" s="91" t="s">
        <v>4244</v>
      </c>
      <c r="E26" s="90" t="s">
        <v>477</v>
      </c>
      <c r="F26" s="90" t="s">
        <v>476</v>
      </c>
      <c r="G26" s="90" t="s">
        <v>478</v>
      </c>
      <c r="H26" s="90" t="s">
        <v>475</v>
      </c>
      <c r="I26" s="90">
        <v>4</v>
      </c>
      <c r="J26" s="91" t="s">
        <v>4245</v>
      </c>
      <c r="K26" s="90"/>
      <c r="L26" s="18"/>
    </row>
    <row r="27" spans="1:12" ht="63.75" customHeight="1">
      <c r="A27" s="48">
        <v>24</v>
      </c>
      <c r="B27" s="90" t="s">
        <v>151</v>
      </c>
      <c r="C27" s="90" t="s">
        <v>152</v>
      </c>
      <c r="D27" s="91" t="s">
        <v>4246</v>
      </c>
      <c r="E27" s="90" t="s">
        <v>1070</v>
      </c>
      <c r="F27" s="90" t="s">
        <v>1072</v>
      </c>
      <c r="G27" s="90" t="s">
        <v>1071</v>
      </c>
      <c r="H27" s="90" t="s">
        <v>1069</v>
      </c>
      <c r="I27" s="90">
        <v>1</v>
      </c>
      <c r="J27" s="91" t="s">
        <v>4247</v>
      </c>
      <c r="K27" s="90"/>
      <c r="L27" s="18"/>
    </row>
    <row r="28" spans="1:12" ht="51" customHeight="1">
      <c r="A28" s="48">
        <v>25</v>
      </c>
      <c r="B28" s="90" t="s">
        <v>151</v>
      </c>
      <c r="C28" s="90" t="s">
        <v>152</v>
      </c>
      <c r="D28" s="91" t="s">
        <v>4248</v>
      </c>
      <c r="E28" s="90" t="s">
        <v>4249</v>
      </c>
      <c r="F28" s="90" t="s">
        <v>4250</v>
      </c>
      <c r="G28" s="90" t="s">
        <v>4251</v>
      </c>
      <c r="H28" s="90" t="s">
        <v>4252</v>
      </c>
      <c r="I28" s="90">
        <v>3</v>
      </c>
      <c r="J28" s="91" t="s">
        <v>4253</v>
      </c>
      <c r="K28" s="90"/>
      <c r="L28" s="18"/>
    </row>
    <row r="29" spans="1:12" ht="63" customHeight="1">
      <c r="A29" s="48">
        <v>26</v>
      </c>
      <c r="B29" s="90" t="s">
        <v>151</v>
      </c>
      <c r="C29" s="90" t="s">
        <v>154</v>
      </c>
      <c r="D29" s="91" t="s">
        <v>4254</v>
      </c>
      <c r="E29" s="90" t="s">
        <v>4255</v>
      </c>
      <c r="F29" s="90" t="s">
        <v>4256</v>
      </c>
      <c r="G29" s="90" t="s">
        <v>4257</v>
      </c>
      <c r="H29" s="90" t="s">
        <v>4258</v>
      </c>
      <c r="I29" s="90">
        <v>2</v>
      </c>
      <c r="J29" s="91" t="s">
        <v>4259</v>
      </c>
      <c r="K29" s="90"/>
      <c r="L29" s="18"/>
    </row>
    <row r="30" spans="1:12" ht="79.5" customHeight="1">
      <c r="A30" s="15">
        <v>27</v>
      </c>
      <c r="B30" s="90" t="s">
        <v>156</v>
      </c>
      <c r="C30" s="90" t="s">
        <v>159</v>
      </c>
      <c r="D30" s="91" t="s">
        <v>4260</v>
      </c>
      <c r="E30" s="90" t="s">
        <v>4261</v>
      </c>
      <c r="F30" s="90" t="s">
        <v>4262</v>
      </c>
      <c r="G30" s="90" t="s">
        <v>4263</v>
      </c>
      <c r="H30" s="90" t="s">
        <v>4264</v>
      </c>
      <c r="I30" s="90">
        <v>2</v>
      </c>
      <c r="J30" s="91" t="s">
        <v>4265</v>
      </c>
      <c r="K30" s="90"/>
      <c r="L30" s="18"/>
    </row>
    <row r="31" spans="1:12" ht="63.75" customHeight="1">
      <c r="A31" s="48">
        <v>28</v>
      </c>
      <c r="B31" s="90" t="s">
        <v>151</v>
      </c>
      <c r="C31" s="90" t="s">
        <v>155</v>
      </c>
      <c r="D31" s="91" t="s">
        <v>4266</v>
      </c>
      <c r="E31" s="90" t="s">
        <v>4267</v>
      </c>
      <c r="F31" s="90" t="s">
        <v>4268</v>
      </c>
      <c r="G31" s="90" t="s">
        <v>4269</v>
      </c>
      <c r="H31" s="90" t="s">
        <v>4270</v>
      </c>
      <c r="I31" s="90">
        <v>3</v>
      </c>
      <c r="J31" s="91" t="s">
        <v>4271</v>
      </c>
      <c r="K31" s="90"/>
      <c r="L31" s="18"/>
    </row>
    <row r="32" spans="1:12" ht="68.25" customHeight="1">
      <c r="A32" s="48">
        <v>29</v>
      </c>
      <c r="B32" s="90" t="s">
        <v>151</v>
      </c>
      <c r="C32" s="90" t="s">
        <v>152</v>
      </c>
      <c r="D32" s="91" t="s">
        <v>4272</v>
      </c>
      <c r="E32" s="90" t="s">
        <v>4273</v>
      </c>
      <c r="F32" s="90" t="s">
        <v>4274</v>
      </c>
      <c r="G32" s="90" t="s">
        <v>4275</v>
      </c>
      <c r="H32" s="90" t="s">
        <v>4276</v>
      </c>
      <c r="I32" s="90">
        <v>4</v>
      </c>
      <c r="J32" s="91" t="s">
        <v>4277</v>
      </c>
      <c r="K32" s="90"/>
      <c r="L32" s="18"/>
    </row>
    <row r="33" spans="1:12" ht="49.5" customHeight="1">
      <c r="A33" s="48">
        <v>30</v>
      </c>
      <c r="B33" s="90" t="s">
        <v>151</v>
      </c>
      <c r="C33" s="90" t="s">
        <v>153</v>
      </c>
      <c r="D33" s="91" t="s">
        <v>4278</v>
      </c>
      <c r="E33" s="90" t="s">
        <v>4279</v>
      </c>
      <c r="F33" s="90" t="s">
        <v>4280</v>
      </c>
      <c r="G33" s="90" t="s">
        <v>4281</v>
      </c>
      <c r="H33" s="90" t="s">
        <v>4282</v>
      </c>
      <c r="I33" s="90">
        <v>1</v>
      </c>
      <c r="J33" s="91" t="s">
        <v>4283</v>
      </c>
      <c r="K33" s="90"/>
      <c r="L33" s="18"/>
    </row>
    <row r="34" spans="1:12" ht="54.75" customHeight="1">
      <c r="A34" s="15">
        <v>31</v>
      </c>
      <c r="B34" s="90" t="s">
        <v>156</v>
      </c>
      <c r="C34" s="90" t="s">
        <v>159</v>
      </c>
      <c r="D34" s="91" t="s">
        <v>4284</v>
      </c>
      <c r="E34" s="90" t="s">
        <v>4285</v>
      </c>
      <c r="F34" s="90" t="s">
        <v>4286</v>
      </c>
      <c r="G34" s="90" t="s">
        <v>4287</v>
      </c>
      <c r="H34" s="90" t="s">
        <v>4288</v>
      </c>
      <c r="I34" s="90">
        <v>4</v>
      </c>
      <c r="J34" s="91" t="s">
        <v>4289</v>
      </c>
      <c r="K34" s="90"/>
      <c r="L34" s="18"/>
    </row>
    <row r="35" spans="1:12" ht="54.75" customHeight="1">
      <c r="A35" s="48">
        <v>32</v>
      </c>
      <c r="B35" s="90" t="s">
        <v>151</v>
      </c>
      <c r="C35" s="90" t="s">
        <v>154</v>
      </c>
      <c r="D35" s="91" t="s">
        <v>4290</v>
      </c>
      <c r="E35" s="90" t="s">
        <v>4256</v>
      </c>
      <c r="F35" s="90" t="s">
        <v>4291</v>
      </c>
      <c r="G35" s="90" t="s">
        <v>4255</v>
      </c>
      <c r="H35" s="90" t="s">
        <v>4292</v>
      </c>
      <c r="I35" s="90">
        <v>1</v>
      </c>
      <c r="J35" s="91" t="s">
        <v>4293</v>
      </c>
      <c r="K35" s="90"/>
      <c r="L35" s="18"/>
    </row>
    <row r="36" spans="1:12" ht="48" customHeight="1">
      <c r="A36" s="48">
        <v>33</v>
      </c>
      <c r="B36" s="90" t="s">
        <v>151</v>
      </c>
      <c r="C36" s="90" t="s">
        <v>153</v>
      </c>
      <c r="D36" s="91" t="s">
        <v>4294</v>
      </c>
      <c r="E36" s="90" t="s">
        <v>4295</v>
      </c>
      <c r="F36" s="90" t="s">
        <v>4296</v>
      </c>
      <c r="G36" s="90" t="s">
        <v>4297</v>
      </c>
      <c r="H36" s="90" t="s">
        <v>4298</v>
      </c>
      <c r="I36" s="90">
        <v>4</v>
      </c>
      <c r="J36" s="91" t="s">
        <v>4299</v>
      </c>
      <c r="K36" s="90"/>
      <c r="L36" s="18"/>
    </row>
    <row r="37" spans="1:12" ht="67.5" customHeight="1">
      <c r="A37" s="48">
        <v>34</v>
      </c>
      <c r="B37" s="87" t="s">
        <v>156</v>
      </c>
      <c r="C37" s="87" t="s">
        <v>159</v>
      </c>
      <c r="D37" s="88" t="s">
        <v>4300</v>
      </c>
      <c r="E37" s="87" t="s">
        <v>4301</v>
      </c>
      <c r="F37" s="87" t="s">
        <v>4302</v>
      </c>
      <c r="G37" s="87" t="s">
        <v>4303</v>
      </c>
      <c r="H37" s="87" t="s">
        <v>4304</v>
      </c>
      <c r="I37" s="87">
        <v>3</v>
      </c>
      <c r="J37" s="88" t="s">
        <v>4305</v>
      </c>
      <c r="K37" s="87"/>
    </row>
    <row r="38" spans="1:12" ht="84.5" customHeight="1">
      <c r="A38" s="15">
        <v>35</v>
      </c>
      <c r="B38" s="87" t="s">
        <v>156</v>
      </c>
      <c r="C38" s="87" t="s">
        <v>159</v>
      </c>
      <c r="D38" s="88" t="s">
        <v>4306</v>
      </c>
      <c r="E38" s="87" t="s">
        <v>4307</v>
      </c>
      <c r="F38" s="87" t="s">
        <v>4308</v>
      </c>
      <c r="G38" s="87" t="s">
        <v>4309</v>
      </c>
      <c r="H38" s="87" t="s">
        <v>4310</v>
      </c>
      <c r="I38" s="87">
        <v>3</v>
      </c>
      <c r="J38" s="88" t="s">
        <v>4311</v>
      </c>
      <c r="K38" s="87"/>
    </row>
    <row r="39" spans="1:12" ht="84.5" customHeight="1">
      <c r="A39" s="48">
        <v>36</v>
      </c>
      <c r="B39" s="87" t="s">
        <v>156</v>
      </c>
      <c r="C39" s="87" t="s">
        <v>157</v>
      </c>
      <c r="D39" s="88" t="s">
        <v>4312</v>
      </c>
      <c r="E39" s="87" t="s">
        <v>4313</v>
      </c>
      <c r="F39" s="87" t="s">
        <v>4314</v>
      </c>
      <c r="G39" s="87" t="s">
        <v>4315</v>
      </c>
      <c r="H39" s="87" t="s">
        <v>4316</v>
      </c>
      <c r="I39" s="87">
        <v>3</v>
      </c>
      <c r="J39" s="88" t="s">
        <v>4317</v>
      </c>
      <c r="K39" s="87"/>
    </row>
    <row r="40" spans="1:12" ht="67.5" customHeight="1">
      <c r="A40" s="48">
        <v>37</v>
      </c>
      <c r="B40" s="87" t="s">
        <v>151</v>
      </c>
      <c r="C40" s="87" t="s">
        <v>154</v>
      </c>
      <c r="D40" s="88" t="s">
        <v>4318</v>
      </c>
      <c r="E40" s="87" t="s">
        <v>4319</v>
      </c>
      <c r="F40" s="87" t="s">
        <v>4320</v>
      </c>
      <c r="G40" s="87" t="s">
        <v>4321</v>
      </c>
      <c r="H40" s="87" t="s">
        <v>4322</v>
      </c>
      <c r="I40" s="87">
        <v>2</v>
      </c>
      <c r="J40" s="88" t="s">
        <v>4323</v>
      </c>
      <c r="K40" s="87"/>
    </row>
    <row r="41" spans="1:12" ht="101.25" customHeight="1">
      <c r="A41" s="48">
        <v>38</v>
      </c>
      <c r="B41" s="87" t="s">
        <v>156</v>
      </c>
      <c r="C41" s="87" t="s">
        <v>157</v>
      </c>
      <c r="D41" s="88" t="s">
        <v>4324</v>
      </c>
      <c r="E41" s="87" t="s">
        <v>4325</v>
      </c>
      <c r="F41" s="87" t="s">
        <v>4326</v>
      </c>
      <c r="G41" s="87" t="s">
        <v>4327</v>
      </c>
      <c r="H41" s="87" t="s">
        <v>4328</v>
      </c>
      <c r="I41" s="87">
        <v>2</v>
      </c>
      <c r="J41" s="88" t="s">
        <v>4329</v>
      </c>
      <c r="K41" s="87"/>
    </row>
    <row r="42" spans="1:12" ht="101.25" customHeight="1">
      <c r="A42" s="15">
        <v>39</v>
      </c>
      <c r="B42" s="87" t="s">
        <v>156</v>
      </c>
      <c r="C42" s="87" t="s">
        <v>158</v>
      </c>
      <c r="D42" s="88" t="s">
        <v>4330</v>
      </c>
      <c r="E42" s="87" t="s">
        <v>4331</v>
      </c>
      <c r="F42" s="87" t="s">
        <v>4332</v>
      </c>
      <c r="G42" s="87" t="s">
        <v>4333</v>
      </c>
      <c r="H42" s="87" t="s">
        <v>4334</v>
      </c>
      <c r="I42" s="87">
        <v>3</v>
      </c>
      <c r="J42" s="88" t="s">
        <v>4335</v>
      </c>
      <c r="K42" s="87"/>
    </row>
    <row r="43" spans="1:12" ht="101.25" customHeight="1">
      <c r="A43" s="48">
        <v>40</v>
      </c>
      <c r="B43" s="87" t="s">
        <v>156</v>
      </c>
      <c r="C43" s="87" t="s">
        <v>157</v>
      </c>
      <c r="D43" s="88" t="s">
        <v>4336</v>
      </c>
      <c r="E43" s="87" t="s">
        <v>4337</v>
      </c>
      <c r="F43" s="87" t="s">
        <v>4338</v>
      </c>
      <c r="G43" s="87" t="s">
        <v>4339</v>
      </c>
      <c r="H43" s="87" t="s">
        <v>4340</v>
      </c>
      <c r="I43" s="87">
        <v>2</v>
      </c>
      <c r="J43" s="88" t="s">
        <v>4341</v>
      </c>
      <c r="K43" s="87"/>
    </row>
    <row r="44" spans="1:12" ht="101.25" customHeight="1">
      <c r="A44" s="48">
        <v>41</v>
      </c>
      <c r="B44" s="87" t="s">
        <v>156</v>
      </c>
      <c r="C44" s="87" t="s">
        <v>159</v>
      </c>
      <c r="D44" s="88" t="s">
        <v>4342</v>
      </c>
      <c r="E44" s="87" t="s">
        <v>4343</v>
      </c>
      <c r="F44" s="87" t="s">
        <v>4344</v>
      </c>
      <c r="G44" s="87" t="s">
        <v>4345</v>
      </c>
      <c r="H44" s="87" t="s">
        <v>4346</v>
      </c>
      <c r="I44" s="87">
        <v>3</v>
      </c>
      <c r="J44" s="88" t="s">
        <v>4347</v>
      </c>
      <c r="K44" s="87"/>
    </row>
    <row r="45" spans="1:12" ht="118.25" customHeight="1">
      <c r="A45" s="48">
        <v>42</v>
      </c>
      <c r="B45" s="87" t="s">
        <v>156</v>
      </c>
      <c r="C45" s="87" t="s">
        <v>157</v>
      </c>
      <c r="D45" s="88" t="s">
        <v>4348</v>
      </c>
      <c r="E45" s="87" t="s">
        <v>4349</v>
      </c>
      <c r="F45" s="87" t="s">
        <v>4350</v>
      </c>
      <c r="G45" s="87" t="s">
        <v>4351</v>
      </c>
      <c r="H45" s="87" t="s">
        <v>4352</v>
      </c>
      <c r="I45" s="87">
        <v>4</v>
      </c>
      <c r="J45" s="88" t="s">
        <v>4353</v>
      </c>
      <c r="K45" s="87"/>
    </row>
    <row r="46" spans="1:12" ht="84.5" customHeight="1">
      <c r="A46" s="15">
        <v>43</v>
      </c>
      <c r="B46" s="87" t="s">
        <v>156</v>
      </c>
      <c r="C46" s="87" t="s">
        <v>160</v>
      </c>
      <c r="D46" s="88" t="s">
        <v>4354</v>
      </c>
      <c r="E46" s="87" t="s">
        <v>4355</v>
      </c>
      <c r="F46" s="87" t="s">
        <v>4356</v>
      </c>
      <c r="G46" s="87" t="s">
        <v>4357</v>
      </c>
      <c r="H46" s="87" t="s">
        <v>4358</v>
      </c>
      <c r="I46" s="87">
        <v>3</v>
      </c>
      <c r="J46" s="88" t="s">
        <v>4359</v>
      </c>
      <c r="K46" s="87"/>
    </row>
    <row r="47" spans="1:12" ht="84.5" customHeight="1">
      <c r="A47" s="48">
        <v>44</v>
      </c>
      <c r="B47" s="87" t="s">
        <v>156</v>
      </c>
      <c r="C47" s="87" t="s">
        <v>158</v>
      </c>
      <c r="D47" s="88" t="s">
        <v>4360</v>
      </c>
      <c r="E47" s="87" t="s">
        <v>4361</v>
      </c>
      <c r="F47" s="87" t="s">
        <v>4362</v>
      </c>
      <c r="G47" s="87" t="s">
        <v>4363</v>
      </c>
      <c r="H47" s="87" t="s">
        <v>4364</v>
      </c>
      <c r="I47" s="87">
        <v>4</v>
      </c>
      <c r="J47" s="88" t="s">
        <v>4365</v>
      </c>
      <c r="K47" s="87"/>
    </row>
    <row r="48" spans="1:12" ht="67.5" customHeight="1">
      <c r="A48" s="48">
        <v>45</v>
      </c>
      <c r="B48" s="87" t="s">
        <v>156</v>
      </c>
      <c r="C48" s="87" t="s">
        <v>157</v>
      </c>
      <c r="D48" s="88" t="s">
        <v>4366</v>
      </c>
      <c r="E48" s="87" t="s">
        <v>4367</v>
      </c>
      <c r="F48" s="87" t="s">
        <v>4368</v>
      </c>
      <c r="G48" s="87" t="s">
        <v>4369</v>
      </c>
      <c r="H48" s="87" t="s">
        <v>4370</v>
      </c>
      <c r="I48" s="87">
        <v>1</v>
      </c>
      <c r="J48" s="88" t="s">
        <v>4371</v>
      </c>
      <c r="K48" s="87"/>
    </row>
    <row r="49" spans="1:11" ht="84.5" customHeight="1">
      <c r="A49" s="48">
        <v>46</v>
      </c>
      <c r="B49" s="87" t="s">
        <v>156</v>
      </c>
      <c r="C49" s="87" t="s">
        <v>159</v>
      </c>
      <c r="D49" s="88" t="s">
        <v>4372</v>
      </c>
      <c r="E49" s="87" t="s">
        <v>4373</v>
      </c>
      <c r="F49" s="87" t="s">
        <v>4310</v>
      </c>
      <c r="G49" s="87" t="s">
        <v>4374</v>
      </c>
      <c r="H49" s="87" t="s">
        <v>4375</v>
      </c>
      <c r="I49" s="87">
        <v>4</v>
      </c>
      <c r="J49" s="88" t="s">
        <v>4376</v>
      </c>
      <c r="K49" s="87"/>
    </row>
    <row r="50" spans="1:11" ht="67.5" customHeight="1">
      <c r="A50" s="15">
        <v>47</v>
      </c>
      <c r="B50" s="87" t="s">
        <v>156</v>
      </c>
      <c r="C50" s="87" t="s">
        <v>157</v>
      </c>
      <c r="D50" s="88" t="s">
        <v>4377</v>
      </c>
      <c r="E50" s="87" t="s">
        <v>4378</v>
      </c>
      <c r="F50" s="87" t="s">
        <v>4379</v>
      </c>
      <c r="G50" s="87" t="s">
        <v>4380</v>
      </c>
      <c r="H50" s="87" t="s">
        <v>4381</v>
      </c>
      <c r="I50" s="87">
        <v>1</v>
      </c>
      <c r="J50" s="88" t="s">
        <v>4382</v>
      </c>
      <c r="K50" s="87"/>
    </row>
    <row r="51" spans="1:11" ht="84.5" customHeight="1">
      <c r="A51" s="48">
        <v>48</v>
      </c>
      <c r="B51" s="87" t="s">
        <v>156</v>
      </c>
      <c r="C51" s="87" t="s">
        <v>157</v>
      </c>
      <c r="D51" s="88" t="s">
        <v>4383</v>
      </c>
      <c r="E51" s="87" t="s">
        <v>4384</v>
      </c>
      <c r="F51" s="87" t="s">
        <v>4385</v>
      </c>
      <c r="G51" s="87" t="s">
        <v>4386</v>
      </c>
      <c r="H51" s="87" t="s">
        <v>4387</v>
      </c>
      <c r="I51" s="87">
        <v>3</v>
      </c>
      <c r="J51" s="88" t="s">
        <v>4388</v>
      </c>
      <c r="K51" s="87"/>
    </row>
    <row r="52" spans="1:11" ht="84.5" customHeight="1">
      <c r="A52" s="48">
        <v>49</v>
      </c>
      <c r="B52" s="90" t="s">
        <v>161</v>
      </c>
      <c r="C52" s="90" t="s">
        <v>162</v>
      </c>
      <c r="D52" s="91" t="s">
        <v>4389</v>
      </c>
      <c r="E52" s="90" t="s">
        <v>4390</v>
      </c>
      <c r="F52" s="90" t="s">
        <v>4391</v>
      </c>
      <c r="G52" s="90" t="s">
        <v>4392</v>
      </c>
      <c r="H52" s="90" t="s">
        <v>4393</v>
      </c>
      <c r="I52" s="90">
        <v>3</v>
      </c>
      <c r="J52" s="91" t="s">
        <v>4394</v>
      </c>
      <c r="K52" s="90"/>
    </row>
    <row r="53" spans="1:11" ht="67.5" customHeight="1">
      <c r="A53" s="48">
        <v>50</v>
      </c>
      <c r="B53" s="90" t="s">
        <v>161</v>
      </c>
      <c r="C53" s="90" t="s">
        <v>163</v>
      </c>
      <c r="D53" s="91" t="s">
        <v>4395</v>
      </c>
      <c r="E53" s="90" t="s">
        <v>4396</v>
      </c>
      <c r="F53" s="90" t="s">
        <v>4397</v>
      </c>
      <c r="G53" s="90" t="s">
        <v>4398</v>
      </c>
      <c r="H53" s="90" t="s">
        <v>4399</v>
      </c>
      <c r="I53" s="90">
        <v>2</v>
      </c>
      <c r="J53" s="91" t="s">
        <v>4400</v>
      </c>
      <c r="K53" s="90"/>
    </row>
    <row r="54" spans="1:11" ht="67.5" customHeight="1">
      <c r="A54" s="15">
        <v>51</v>
      </c>
      <c r="B54" s="90" t="s">
        <v>161</v>
      </c>
      <c r="C54" s="90" t="s">
        <v>163</v>
      </c>
      <c r="D54" s="91" t="s">
        <v>4401</v>
      </c>
      <c r="E54" s="90" t="s">
        <v>4402</v>
      </c>
      <c r="F54" s="90" t="s">
        <v>4403</v>
      </c>
      <c r="G54" s="90" t="s">
        <v>4404</v>
      </c>
      <c r="H54" s="90" t="s">
        <v>4405</v>
      </c>
      <c r="I54" s="90">
        <v>1</v>
      </c>
      <c r="J54" s="91" t="s">
        <v>4406</v>
      </c>
      <c r="K54" s="90"/>
    </row>
    <row r="55" spans="1:11" ht="67.5" customHeight="1">
      <c r="A55" s="48">
        <v>52</v>
      </c>
      <c r="B55" s="90" t="s">
        <v>161</v>
      </c>
      <c r="C55" s="90" t="s">
        <v>163</v>
      </c>
      <c r="D55" s="91" t="s">
        <v>4407</v>
      </c>
      <c r="E55" s="90" t="s">
        <v>4408</v>
      </c>
      <c r="F55" s="90" t="s">
        <v>4409</v>
      </c>
      <c r="G55" s="90" t="s">
        <v>4410</v>
      </c>
      <c r="H55" s="90" t="s">
        <v>4411</v>
      </c>
      <c r="I55" s="90">
        <v>4</v>
      </c>
      <c r="J55" s="91" t="s">
        <v>4412</v>
      </c>
      <c r="K55" s="90"/>
    </row>
    <row r="56" spans="1:11" ht="27" customHeight="1">
      <c r="A56" s="48">
        <v>53</v>
      </c>
      <c r="B56" s="90" t="s">
        <v>161</v>
      </c>
      <c r="C56" s="90" t="s">
        <v>162</v>
      </c>
      <c r="D56" s="91" t="s">
        <v>4413</v>
      </c>
      <c r="E56" s="90" t="s">
        <v>4414</v>
      </c>
      <c r="F56" s="90" t="s">
        <v>4415</v>
      </c>
      <c r="G56" s="90" t="s">
        <v>4416</v>
      </c>
      <c r="H56" s="90" t="s">
        <v>4417</v>
      </c>
      <c r="I56" s="90">
        <v>4</v>
      </c>
      <c r="J56" s="91" t="s">
        <v>4418</v>
      </c>
      <c r="K56" s="90"/>
    </row>
    <row r="57" spans="1:11" ht="101.25" customHeight="1">
      <c r="A57" s="48">
        <v>54</v>
      </c>
      <c r="B57" s="90" t="s">
        <v>161</v>
      </c>
      <c r="C57" s="90" t="s">
        <v>163</v>
      </c>
      <c r="D57" s="91" t="s">
        <v>4419</v>
      </c>
      <c r="E57" s="90" t="s">
        <v>4420</v>
      </c>
      <c r="F57" s="90" t="s">
        <v>4421</v>
      </c>
      <c r="G57" s="90" t="s">
        <v>4422</v>
      </c>
      <c r="H57" s="90" t="s">
        <v>4423</v>
      </c>
      <c r="I57" s="90">
        <v>3</v>
      </c>
      <c r="J57" s="91" t="s">
        <v>4424</v>
      </c>
      <c r="K57" s="90"/>
    </row>
    <row r="58" spans="1:11" ht="101.25" customHeight="1">
      <c r="A58" s="15">
        <v>55</v>
      </c>
      <c r="B58" s="90" t="s">
        <v>161</v>
      </c>
      <c r="C58" s="90" t="s">
        <v>163</v>
      </c>
      <c r="D58" s="91" t="s">
        <v>4425</v>
      </c>
      <c r="E58" s="90" t="s">
        <v>4408</v>
      </c>
      <c r="F58" s="90" t="s">
        <v>4426</v>
      </c>
      <c r="G58" s="90" t="s">
        <v>4427</v>
      </c>
      <c r="H58" s="90" t="s">
        <v>4428</v>
      </c>
      <c r="I58" s="90">
        <v>2</v>
      </c>
      <c r="J58" s="91" t="s">
        <v>4429</v>
      </c>
      <c r="K58" s="90"/>
    </row>
    <row r="59" spans="1:11" ht="101.25" customHeight="1">
      <c r="A59" s="48">
        <v>56</v>
      </c>
      <c r="B59" s="90" t="s">
        <v>161</v>
      </c>
      <c r="C59" s="90" t="s">
        <v>163</v>
      </c>
      <c r="D59" s="91" t="s">
        <v>4430</v>
      </c>
      <c r="E59" s="90" t="s">
        <v>4431</v>
      </c>
      <c r="F59" s="90" t="s">
        <v>4432</v>
      </c>
      <c r="G59" s="90" t="s">
        <v>4433</v>
      </c>
      <c r="H59" s="90" t="s">
        <v>4434</v>
      </c>
      <c r="I59" s="90">
        <v>3</v>
      </c>
      <c r="J59" s="91" t="s">
        <v>4435</v>
      </c>
      <c r="K59" s="90"/>
    </row>
    <row r="60" spans="1:11" ht="101.25" customHeight="1">
      <c r="A60" s="48">
        <v>57</v>
      </c>
      <c r="B60" s="90" t="s">
        <v>161</v>
      </c>
      <c r="C60" s="90" t="s">
        <v>163</v>
      </c>
      <c r="D60" s="91" t="s">
        <v>4436</v>
      </c>
      <c r="E60" s="90" t="s">
        <v>4437</v>
      </c>
      <c r="F60" s="90" t="s">
        <v>4438</v>
      </c>
      <c r="G60" s="90" t="s">
        <v>4439</v>
      </c>
      <c r="H60" s="90" t="s">
        <v>4440</v>
      </c>
      <c r="I60" s="90">
        <v>3</v>
      </c>
      <c r="J60" s="91" t="s">
        <v>4441</v>
      </c>
      <c r="K60" s="90"/>
    </row>
    <row r="61" spans="1:11" ht="135" customHeight="1">
      <c r="A61" s="48">
        <v>58</v>
      </c>
      <c r="B61" s="90" t="s">
        <v>161</v>
      </c>
      <c r="C61" s="90" t="s">
        <v>162</v>
      </c>
      <c r="D61" s="91" t="s">
        <v>4442</v>
      </c>
      <c r="E61" s="90" t="s">
        <v>4443</v>
      </c>
      <c r="F61" s="90" t="s">
        <v>4444</v>
      </c>
      <c r="G61" s="90" t="s">
        <v>4445</v>
      </c>
      <c r="H61" s="90" t="s">
        <v>4446</v>
      </c>
      <c r="I61" s="90">
        <v>3</v>
      </c>
      <c r="J61" s="91" t="s">
        <v>4447</v>
      </c>
      <c r="K61" s="90"/>
    </row>
    <row r="62" spans="1:11" ht="67.5" customHeight="1">
      <c r="A62" s="15">
        <v>59</v>
      </c>
      <c r="B62" s="90" t="s">
        <v>161</v>
      </c>
      <c r="C62" s="90" t="s">
        <v>163</v>
      </c>
      <c r="D62" s="91" t="s">
        <v>4448</v>
      </c>
      <c r="E62" s="90" t="s">
        <v>4449</v>
      </c>
      <c r="F62" s="90" t="s">
        <v>4450</v>
      </c>
      <c r="G62" s="90" t="s">
        <v>4451</v>
      </c>
      <c r="H62" s="90" t="s">
        <v>4452</v>
      </c>
      <c r="I62" s="90">
        <v>4</v>
      </c>
      <c r="J62" s="91" t="s">
        <v>4453</v>
      </c>
      <c r="K62" s="90"/>
    </row>
    <row r="63" spans="1:11" ht="84.5" customHeight="1">
      <c r="A63" s="48">
        <v>60</v>
      </c>
      <c r="B63" s="90" t="s">
        <v>161</v>
      </c>
      <c r="C63" s="90" t="s">
        <v>163</v>
      </c>
      <c r="D63" s="91" t="s">
        <v>4454</v>
      </c>
      <c r="E63" s="90" t="s">
        <v>4455</v>
      </c>
      <c r="F63" s="90" t="s">
        <v>4456</v>
      </c>
      <c r="G63" s="90" t="s">
        <v>4457</v>
      </c>
      <c r="H63" s="90" t="s">
        <v>4458</v>
      </c>
      <c r="I63" s="90">
        <v>4</v>
      </c>
      <c r="J63" s="91" t="s">
        <v>4459</v>
      </c>
      <c r="K63" s="90"/>
    </row>
    <row r="64" spans="1:11" ht="84.5" customHeight="1">
      <c r="A64" s="48">
        <v>61</v>
      </c>
      <c r="B64" s="90" t="s">
        <v>161</v>
      </c>
      <c r="C64" s="90" t="s">
        <v>162</v>
      </c>
      <c r="D64" s="91" t="s">
        <v>4460</v>
      </c>
      <c r="E64" s="90" t="s">
        <v>4461</v>
      </c>
      <c r="F64" s="90" t="s">
        <v>4462</v>
      </c>
      <c r="G64" s="90" t="s">
        <v>4463</v>
      </c>
      <c r="H64" s="90" t="s">
        <v>4464</v>
      </c>
      <c r="I64" s="90">
        <v>2</v>
      </c>
      <c r="J64" s="91" t="s">
        <v>4465</v>
      </c>
      <c r="K64" s="90"/>
    </row>
    <row r="65" spans="1:11" ht="84.5" customHeight="1">
      <c r="A65" s="48">
        <v>62</v>
      </c>
      <c r="B65" s="90" t="s">
        <v>161</v>
      </c>
      <c r="C65" s="90" t="s">
        <v>163</v>
      </c>
      <c r="D65" s="91" t="s">
        <v>4466</v>
      </c>
      <c r="E65" s="90" t="s">
        <v>4467</v>
      </c>
      <c r="F65" s="90" t="s">
        <v>4468</v>
      </c>
      <c r="G65" s="90" t="s">
        <v>4469</v>
      </c>
      <c r="H65" s="90" t="s">
        <v>4470</v>
      </c>
      <c r="I65" s="90">
        <v>1</v>
      </c>
      <c r="J65" s="91" t="s">
        <v>4471</v>
      </c>
      <c r="K65" s="90"/>
    </row>
    <row r="66" spans="1:11" ht="84.5" customHeight="1">
      <c r="A66" s="15">
        <v>63</v>
      </c>
      <c r="B66" s="90" t="s">
        <v>161</v>
      </c>
      <c r="C66" s="90" t="s">
        <v>163</v>
      </c>
      <c r="D66" s="91" t="s">
        <v>4472</v>
      </c>
      <c r="E66" s="90" t="s">
        <v>4473</v>
      </c>
      <c r="F66" s="90" t="s">
        <v>4474</v>
      </c>
      <c r="G66" s="90" t="s">
        <v>4475</v>
      </c>
      <c r="H66" s="90" t="s">
        <v>4476</v>
      </c>
      <c r="I66" s="90">
        <v>3</v>
      </c>
      <c r="J66" s="91" t="s">
        <v>4477</v>
      </c>
      <c r="K66" s="90"/>
    </row>
    <row r="67" spans="1:11" ht="84.5" customHeight="1">
      <c r="A67" s="48">
        <v>64</v>
      </c>
      <c r="B67" s="90" t="s">
        <v>164</v>
      </c>
      <c r="C67" s="90" t="s">
        <v>165</v>
      </c>
      <c r="D67" s="91" t="s">
        <v>4478</v>
      </c>
      <c r="E67" s="90" t="s">
        <v>4479</v>
      </c>
      <c r="F67" s="90" t="s">
        <v>4480</v>
      </c>
      <c r="G67" s="90" t="s">
        <v>4481</v>
      </c>
      <c r="H67" s="90" t="s">
        <v>4482</v>
      </c>
      <c r="I67" s="90">
        <v>3</v>
      </c>
      <c r="J67" s="91" t="s">
        <v>4483</v>
      </c>
      <c r="K67" s="90"/>
    </row>
    <row r="68" spans="1:11" ht="67.5" customHeight="1">
      <c r="A68" s="48">
        <v>65</v>
      </c>
      <c r="B68" s="90" t="s">
        <v>164</v>
      </c>
      <c r="C68" s="90" t="s">
        <v>166</v>
      </c>
      <c r="D68" s="91" t="s">
        <v>4484</v>
      </c>
      <c r="E68" s="90" t="s">
        <v>4485</v>
      </c>
      <c r="F68" s="90" t="s">
        <v>4486</v>
      </c>
      <c r="G68" s="90" t="s">
        <v>4487</v>
      </c>
      <c r="H68" s="90" t="s">
        <v>4488</v>
      </c>
      <c r="I68" s="90">
        <v>3</v>
      </c>
      <c r="J68" s="91" t="s">
        <v>4489</v>
      </c>
      <c r="K68" s="90"/>
    </row>
    <row r="69" spans="1:11" ht="67.5" customHeight="1">
      <c r="A69" s="48">
        <v>66</v>
      </c>
      <c r="B69" s="90" t="s">
        <v>164</v>
      </c>
      <c r="C69" s="90" t="s">
        <v>167</v>
      </c>
      <c r="D69" s="91" t="s">
        <v>4490</v>
      </c>
      <c r="E69" s="90" t="s">
        <v>4491</v>
      </c>
      <c r="F69" s="90" t="s">
        <v>4492</v>
      </c>
      <c r="G69" s="90" t="s">
        <v>4493</v>
      </c>
      <c r="H69" s="90" t="s">
        <v>4494</v>
      </c>
      <c r="I69" s="90">
        <v>3</v>
      </c>
      <c r="J69" s="91" t="s">
        <v>4495</v>
      </c>
      <c r="K69" s="90"/>
    </row>
    <row r="70" spans="1:11" ht="67.5" customHeight="1">
      <c r="A70" s="15">
        <v>67</v>
      </c>
      <c r="B70" s="90" t="s">
        <v>164</v>
      </c>
      <c r="C70" s="90" t="s">
        <v>167</v>
      </c>
      <c r="D70" s="91" t="s">
        <v>4496</v>
      </c>
      <c r="E70" s="90" t="s">
        <v>4497</v>
      </c>
      <c r="F70" s="90" t="s">
        <v>4498</v>
      </c>
      <c r="G70" s="90" t="s">
        <v>4499</v>
      </c>
      <c r="H70" s="90" t="s">
        <v>4500</v>
      </c>
      <c r="I70" s="90">
        <v>1</v>
      </c>
      <c r="J70" s="91" t="s">
        <v>4501</v>
      </c>
      <c r="K70" s="90"/>
    </row>
    <row r="71" spans="1:11" ht="84.5" customHeight="1">
      <c r="A71" s="48">
        <v>68</v>
      </c>
      <c r="B71" s="90" t="s">
        <v>164</v>
      </c>
      <c r="C71" s="90" t="s">
        <v>167</v>
      </c>
      <c r="D71" s="91" t="s">
        <v>4502</v>
      </c>
      <c r="E71" s="90" t="s">
        <v>4497</v>
      </c>
      <c r="F71" s="90" t="s">
        <v>4498</v>
      </c>
      <c r="G71" s="90" t="s">
        <v>4499</v>
      </c>
      <c r="H71" s="90" t="s">
        <v>4500</v>
      </c>
      <c r="I71" s="90">
        <v>4</v>
      </c>
      <c r="J71" s="91" t="s">
        <v>4503</v>
      </c>
      <c r="K71" s="90"/>
    </row>
    <row r="72" spans="1:11" ht="101.25" customHeight="1">
      <c r="A72" s="48">
        <v>69</v>
      </c>
      <c r="B72" s="90" t="s">
        <v>156</v>
      </c>
      <c r="C72" s="90" t="s">
        <v>157</v>
      </c>
      <c r="D72" s="91" t="s">
        <v>4504</v>
      </c>
      <c r="E72" s="90" t="s">
        <v>4505</v>
      </c>
      <c r="F72" s="90" t="s">
        <v>4506</v>
      </c>
      <c r="G72" s="90" t="s">
        <v>4507</v>
      </c>
      <c r="H72" s="90" t="s">
        <v>4508</v>
      </c>
      <c r="I72" s="90">
        <v>3</v>
      </c>
      <c r="J72" s="91" t="s">
        <v>4509</v>
      </c>
      <c r="K72" s="90"/>
    </row>
    <row r="73" spans="1:11" ht="118.25" customHeight="1">
      <c r="A73" s="48">
        <v>70</v>
      </c>
      <c r="B73" s="90" t="s">
        <v>164</v>
      </c>
      <c r="C73" s="90" t="s">
        <v>167</v>
      </c>
      <c r="D73" s="91" t="s">
        <v>4510</v>
      </c>
      <c r="E73" s="90" t="s">
        <v>4511</v>
      </c>
      <c r="F73" s="90" t="s">
        <v>4512</v>
      </c>
      <c r="G73" s="90" t="s">
        <v>4513</v>
      </c>
      <c r="H73" s="90" t="s">
        <v>4514</v>
      </c>
      <c r="I73" s="90">
        <v>2</v>
      </c>
      <c r="J73" s="91" t="s">
        <v>4515</v>
      </c>
      <c r="K73" s="90"/>
    </row>
    <row r="74" spans="1:11" ht="118.25" customHeight="1">
      <c r="A74" s="15">
        <v>71</v>
      </c>
      <c r="B74" s="90" t="s">
        <v>164</v>
      </c>
      <c r="C74" s="90" t="s">
        <v>167</v>
      </c>
      <c r="D74" s="91" t="s">
        <v>4516</v>
      </c>
      <c r="E74" s="90" t="s">
        <v>4517</v>
      </c>
      <c r="F74" s="90" t="s">
        <v>4518</v>
      </c>
      <c r="G74" s="90" t="s">
        <v>4519</v>
      </c>
      <c r="H74" s="90" t="s">
        <v>4520</v>
      </c>
      <c r="I74" s="90">
        <v>3</v>
      </c>
      <c r="J74" s="91" t="s">
        <v>4521</v>
      </c>
      <c r="K74" s="90"/>
    </row>
    <row r="75" spans="1:11" ht="101.25" customHeight="1">
      <c r="A75" s="48">
        <v>72</v>
      </c>
      <c r="B75" s="90" t="s">
        <v>164</v>
      </c>
      <c r="C75" s="90" t="s">
        <v>167</v>
      </c>
      <c r="D75" s="91" t="s">
        <v>4522</v>
      </c>
      <c r="E75" s="90" t="s">
        <v>4523</v>
      </c>
      <c r="F75" s="90" t="s">
        <v>4524</v>
      </c>
      <c r="G75" s="90" t="s">
        <v>4525</v>
      </c>
      <c r="H75" s="90" t="s">
        <v>4526</v>
      </c>
      <c r="I75" s="90">
        <v>4</v>
      </c>
      <c r="J75" s="91" t="s">
        <v>4527</v>
      </c>
      <c r="K75" s="90"/>
    </row>
    <row r="76" spans="1:11" ht="101.25" customHeight="1">
      <c r="A76" s="48">
        <v>73</v>
      </c>
      <c r="B76" s="90" t="s">
        <v>164</v>
      </c>
      <c r="C76" s="90" t="s">
        <v>165</v>
      </c>
      <c r="D76" s="91" t="s">
        <v>4528</v>
      </c>
      <c r="E76" s="90" t="s">
        <v>4529</v>
      </c>
      <c r="F76" s="90" t="s">
        <v>4530</v>
      </c>
      <c r="G76" s="90" t="s">
        <v>4531</v>
      </c>
      <c r="H76" s="90" t="s">
        <v>4532</v>
      </c>
      <c r="I76" s="90">
        <v>2</v>
      </c>
      <c r="J76" s="91" t="s">
        <v>4533</v>
      </c>
      <c r="K76" s="90"/>
    </row>
    <row r="77" spans="1:11" ht="67.5" customHeight="1">
      <c r="A77" s="48">
        <v>74</v>
      </c>
      <c r="B77" s="90" t="s">
        <v>164</v>
      </c>
      <c r="C77" s="90" t="s">
        <v>165</v>
      </c>
      <c r="D77" s="91" t="s">
        <v>4534</v>
      </c>
      <c r="E77" s="90" t="s">
        <v>4535</v>
      </c>
      <c r="F77" s="90" t="s">
        <v>4536</v>
      </c>
      <c r="G77" s="90" t="s">
        <v>4537</v>
      </c>
      <c r="H77" s="90" t="s">
        <v>4538</v>
      </c>
      <c r="I77" s="90">
        <v>4</v>
      </c>
      <c r="J77" s="91" t="s">
        <v>4539</v>
      </c>
      <c r="K77" s="90"/>
    </row>
    <row r="78" spans="1:11" ht="67.5" customHeight="1">
      <c r="A78" s="15">
        <v>75</v>
      </c>
      <c r="B78" s="90" t="s">
        <v>164</v>
      </c>
      <c r="C78" s="90" t="s">
        <v>167</v>
      </c>
      <c r="D78" s="91" t="s">
        <v>4540</v>
      </c>
      <c r="E78" s="90" t="s">
        <v>4541</v>
      </c>
      <c r="F78" s="90" t="s">
        <v>4542</v>
      </c>
      <c r="G78" s="90" t="s">
        <v>4543</v>
      </c>
      <c r="H78" s="90" t="s">
        <v>4544</v>
      </c>
      <c r="I78" s="90">
        <v>1</v>
      </c>
      <c r="J78" s="91" t="s">
        <v>4545</v>
      </c>
      <c r="K78" s="90"/>
    </row>
    <row r="79" spans="1:11" ht="67.5" customHeight="1">
      <c r="A79" s="48">
        <v>76</v>
      </c>
      <c r="B79" s="90" t="s">
        <v>164</v>
      </c>
      <c r="C79" s="90" t="s">
        <v>166</v>
      </c>
      <c r="D79" s="91" t="s">
        <v>4546</v>
      </c>
      <c r="E79" s="90" t="s">
        <v>4547</v>
      </c>
      <c r="F79" s="90" t="s">
        <v>4548</v>
      </c>
      <c r="G79" s="90" t="s">
        <v>4549</v>
      </c>
      <c r="H79" s="90" t="s">
        <v>4550</v>
      </c>
      <c r="I79" s="90">
        <v>4</v>
      </c>
      <c r="J79" s="91" t="s">
        <v>4551</v>
      </c>
      <c r="K79" s="90"/>
    </row>
    <row r="80" spans="1:11" ht="84.5" customHeight="1">
      <c r="A80" s="48">
        <v>77</v>
      </c>
      <c r="B80" s="90" t="s">
        <v>164</v>
      </c>
      <c r="C80" s="90" t="s">
        <v>167</v>
      </c>
      <c r="D80" s="91" t="s">
        <v>4552</v>
      </c>
      <c r="E80" s="90" t="s">
        <v>4553</v>
      </c>
      <c r="F80" s="90" t="s">
        <v>4554</v>
      </c>
      <c r="G80" s="90" t="s">
        <v>4555</v>
      </c>
      <c r="H80" s="90" t="s">
        <v>4556</v>
      </c>
      <c r="I80" s="90">
        <v>4</v>
      </c>
      <c r="J80" s="91" t="s">
        <v>4557</v>
      </c>
      <c r="K80" s="90"/>
    </row>
    <row r="81" spans="1:11" ht="84.5" customHeight="1">
      <c r="A81" s="48">
        <v>78</v>
      </c>
      <c r="B81" s="90" t="s">
        <v>164</v>
      </c>
      <c r="C81" s="90" t="s">
        <v>167</v>
      </c>
      <c r="D81" s="91" t="s">
        <v>4558</v>
      </c>
      <c r="E81" s="90" t="s">
        <v>4559</v>
      </c>
      <c r="F81" s="90" t="s">
        <v>4560</v>
      </c>
      <c r="G81" s="90" t="s">
        <v>4561</v>
      </c>
      <c r="H81" s="90" t="s">
        <v>4562</v>
      </c>
      <c r="I81" s="90">
        <v>2</v>
      </c>
      <c r="J81" s="91" t="s">
        <v>4563</v>
      </c>
      <c r="K81" s="90"/>
    </row>
  </sheetData>
  <mergeCells count="2">
    <mergeCell ref="A2:L2"/>
    <mergeCell ref="A1:L1"/>
  </mergeCells>
  <phoneticPr fontId="58" type="noConversion"/>
  <pageMargins left="0.75" right="0.75" top="1" bottom="1" header="0.511811023622047" footer="0.511811023622047"/>
  <pageSetup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M154"/>
  <sheetViews>
    <sheetView zoomScaleNormal="100" workbookViewId="0">
      <pane xSplit="3" ySplit="3" topLeftCell="G149" activePane="bottomRight" state="frozen"/>
      <selection pane="topRight" activeCell="D1" sqref="D1"/>
      <selection pane="bottomLeft" activeCell="A31" sqref="A31"/>
      <selection pane="bottomRight" activeCell="L3" sqref="L3:M3"/>
    </sheetView>
  </sheetViews>
  <sheetFormatPr baseColWidth="10" defaultColWidth="8.5" defaultRowHeight="17"/>
  <cols>
    <col min="1" max="1" width="6" style="12" customWidth="1"/>
    <col min="2" max="2" width="22" style="12" customWidth="1"/>
    <col min="3" max="3" width="24.6640625" style="12" customWidth="1"/>
    <col min="4" max="4" width="42" style="13" customWidth="1"/>
    <col min="5" max="8" width="20" style="13" customWidth="1"/>
    <col min="9" max="9" width="10" style="13" customWidth="1"/>
    <col min="10" max="10" width="44" style="13" customWidth="1"/>
    <col min="11" max="11" width="26" style="13" customWidth="1"/>
    <col min="12" max="12" width="8" style="13" customWidth="1"/>
    <col min="13" max="14" width="8.5" style="2" customWidth="1"/>
    <col min="15" max="16384" width="8.5" style="2"/>
  </cols>
  <sheetData>
    <row r="1" spans="1:13">
      <c r="A1" s="155"/>
      <c r="B1" s="154"/>
      <c r="C1" s="154"/>
      <c r="D1" s="155"/>
      <c r="E1" s="155"/>
      <c r="F1" s="155"/>
      <c r="G1" s="155"/>
      <c r="H1" s="155"/>
      <c r="I1" s="155"/>
      <c r="J1" s="155"/>
      <c r="K1" s="155"/>
      <c r="L1" s="155"/>
    </row>
    <row r="2" spans="1:13" ht="19.5" customHeight="1">
      <c r="A2" s="153" t="s">
        <v>4564</v>
      </c>
      <c r="B2" s="154"/>
      <c r="C2" s="154"/>
      <c r="D2" s="155"/>
      <c r="E2" s="155"/>
      <c r="F2" s="155"/>
      <c r="G2" s="155"/>
      <c r="H2" s="155"/>
      <c r="I2" s="155"/>
      <c r="J2" s="155"/>
      <c r="K2" s="155"/>
      <c r="L2" s="155"/>
    </row>
    <row r="3" spans="1:13" ht="19.5" customHeight="1">
      <c r="A3" s="14" t="s">
        <v>0</v>
      </c>
      <c r="B3" s="14" t="s">
        <v>1</v>
      </c>
      <c r="C3" s="14" t="s">
        <v>2</v>
      </c>
      <c r="D3" s="14" t="s">
        <v>3</v>
      </c>
      <c r="E3" s="14" t="s">
        <v>4</v>
      </c>
      <c r="F3" s="14" t="s">
        <v>5</v>
      </c>
      <c r="G3" s="14" t="s">
        <v>6</v>
      </c>
      <c r="H3" s="14" t="s">
        <v>7</v>
      </c>
      <c r="I3" s="14" t="s">
        <v>8</v>
      </c>
      <c r="J3" s="14" t="s">
        <v>9</v>
      </c>
      <c r="K3" s="14" t="s">
        <v>10</v>
      </c>
      <c r="L3" s="93" t="s">
        <v>737</v>
      </c>
      <c r="M3" s="94" t="s">
        <v>738</v>
      </c>
    </row>
    <row r="4" spans="1:13" ht="29.25" customHeight="1">
      <c r="A4" s="15">
        <v>1</v>
      </c>
      <c r="B4" s="16" t="s">
        <v>169</v>
      </c>
      <c r="C4" s="17" t="s">
        <v>170</v>
      </c>
      <c r="D4" s="18" t="s">
        <v>4565</v>
      </c>
      <c r="E4" s="18" t="s">
        <v>4566</v>
      </c>
      <c r="F4" s="18" t="s">
        <v>4567</v>
      </c>
      <c r="G4" s="18" t="s">
        <v>4568</v>
      </c>
      <c r="H4" s="18" t="s">
        <v>4569</v>
      </c>
      <c r="I4" s="19">
        <v>4</v>
      </c>
      <c r="J4" s="19" t="s">
        <v>4570</v>
      </c>
      <c r="K4" s="18"/>
      <c r="L4" s="19"/>
    </row>
    <row r="5" spans="1:13" ht="25.5" customHeight="1">
      <c r="A5" s="15">
        <v>2</v>
      </c>
      <c r="B5" s="16" t="s">
        <v>169</v>
      </c>
      <c r="C5" s="17" t="s">
        <v>170</v>
      </c>
      <c r="D5" s="19" t="s">
        <v>4571</v>
      </c>
      <c r="E5" s="18" t="s">
        <v>4572</v>
      </c>
      <c r="F5" s="18" t="s">
        <v>4573</v>
      </c>
      <c r="G5" s="18" t="s">
        <v>4574</v>
      </c>
      <c r="H5" s="18" t="s">
        <v>4575</v>
      </c>
      <c r="I5" s="19">
        <v>2</v>
      </c>
      <c r="J5" s="19" t="s">
        <v>4576</v>
      </c>
      <c r="K5" s="18"/>
      <c r="L5" s="19"/>
    </row>
    <row r="6" spans="1:13" ht="25.5" customHeight="1">
      <c r="A6" s="15">
        <v>3</v>
      </c>
      <c r="B6" s="16" t="s">
        <v>169</v>
      </c>
      <c r="C6" s="17" t="s">
        <v>170</v>
      </c>
      <c r="D6" s="18" t="s">
        <v>4577</v>
      </c>
      <c r="E6" s="18" t="s">
        <v>4578</v>
      </c>
      <c r="F6" s="18" t="s">
        <v>4579</v>
      </c>
      <c r="G6" s="18" t="s">
        <v>4580</v>
      </c>
      <c r="H6" s="18" t="s">
        <v>4581</v>
      </c>
      <c r="I6" s="19">
        <v>1</v>
      </c>
      <c r="J6" s="19" t="s">
        <v>4582</v>
      </c>
      <c r="K6" s="18"/>
      <c r="L6" s="19"/>
    </row>
    <row r="7" spans="1:13" ht="38.25" customHeight="1">
      <c r="A7" s="15">
        <v>4</v>
      </c>
      <c r="B7" s="16" t="s">
        <v>169</v>
      </c>
      <c r="C7" s="17" t="s">
        <v>170</v>
      </c>
      <c r="D7" s="18" t="s">
        <v>4583</v>
      </c>
      <c r="E7" s="18" t="s">
        <v>4584</v>
      </c>
      <c r="F7" s="18" t="s">
        <v>4585</v>
      </c>
      <c r="G7" s="18" t="s">
        <v>4586</v>
      </c>
      <c r="H7" s="18" t="s">
        <v>4587</v>
      </c>
      <c r="I7" s="19">
        <v>1</v>
      </c>
      <c r="J7" s="19" t="s">
        <v>4588</v>
      </c>
      <c r="K7" s="18"/>
      <c r="L7" s="19"/>
    </row>
    <row r="8" spans="1:13" ht="25.5" customHeight="1">
      <c r="A8" s="15">
        <v>5</v>
      </c>
      <c r="B8" s="16" t="s">
        <v>169</v>
      </c>
      <c r="C8" s="17" t="s">
        <v>170</v>
      </c>
      <c r="D8" s="18" t="s">
        <v>4589</v>
      </c>
      <c r="E8" s="18" t="s">
        <v>4590</v>
      </c>
      <c r="F8" s="18" t="s">
        <v>4591</v>
      </c>
      <c r="G8" s="18" t="s">
        <v>4592</v>
      </c>
      <c r="H8" s="19" t="s">
        <v>4593</v>
      </c>
      <c r="I8" s="19">
        <v>2</v>
      </c>
      <c r="J8" s="19" t="s">
        <v>4594</v>
      </c>
      <c r="K8" s="18" t="s">
        <v>4595</v>
      </c>
      <c r="L8" s="19"/>
    </row>
    <row r="9" spans="1:13" ht="51" customHeight="1">
      <c r="A9" s="15">
        <v>6</v>
      </c>
      <c r="B9" s="16" t="s">
        <v>169</v>
      </c>
      <c r="C9" s="17" t="s">
        <v>170</v>
      </c>
      <c r="D9" s="18" t="s">
        <v>4596</v>
      </c>
      <c r="E9" s="18" t="s">
        <v>4597</v>
      </c>
      <c r="F9" s="18" t="s">
        <v>4598</v>
      </c>
      <c r="G9" s="18" t="s">
        <v>4599</v>
      </c>
      <c r="H9" s="18" t="s">
        <v>4600</v>
      </c>
      <c r="I9" s="19">
        <v>3</v>
      </c>
      <c r="J9" s="19" t="s">
        <v>4601</v>
      </c>
      <c r="K9" s="18" t="s">
        <v>4595</v>
      </c>
      <c r="L9" s="19"/>
    </row>
    <row r="10" spans="1:13" ht="51" customHeight="1">
      <c r="A10" s="15">
        <v>7</v>
      </c>
      <c r="B10" s="16" t="s">
        <v>169</v>
      </c>
      <c r="C10" s="17" t="s">
        <v>170</v>
      </c>
      <c r="D10" s="18" t="s">
        <v>4602</v>
      </c>
      <c r="E10" s="18" t="s">
        <v>4603</v>
      </c>
      <c r="F10" s="18" t="s">
        <v>4604</v>
      </c>
      <c r="G10" s="18" t="s">
        <v>4605</v>
      </c>
      <c r="H10" s="18" t="s">
        <v>4606</v>
      </c>
      <c r="I10" s="19">
        <v>3</v>
      </c>
      <c r="J10" s="19" t="s">
        <v>4607</v>
      </c>
      <c r="K10" s="18" t="s">
        <v>4608</v>
      </c>
      <c r="L10" s="19"/>
    </row>
    <row r="11" spans="1:13" ht="38.25" customHeight="1">
      <c r="A11" s="15">
        <v>8</v>
      </c>
      <c r="B11" s="16" t="s">
        <v>169</v>
      </c>
      <c r="C11" s="17" t="s">
        <v>170</v>
      </c>
      <c r="D11" s="18" t="s">
        <v>4609</v>
      </c>
      <c r="E11" s="18" t="s">
        <v>4610</v>
      </c>
      <c r="F11" s="18" t="s">
        <v>4611</v>
      </c>
      <c r="G11" s="18" t="s">
        <v>4612</v>
      </c>
      <c r="H11" s="18" t="s">
        <v>4613</v>
      </c>
      <c r="I11" s="19">
        <v>2</v>
      </c>
      <c r="J11" s="19" t="s">
        <v>4614</v>
      </c>
      <c r="K11" s="18" t="s">
        <v>4615</v>
      </c>
      <c r="L11" s="19"/>
    </row>
    <row r="12" spans="1:13" ht="51" customHeight="1">
      <c r="A12" s="15">
        <v>9</v>
      </c>
      <c r="B12" s="16" t="s">
        <v>169</v>
      </c>
      <c r="C12" s="17" t="s">
        <v>170</v>
      </c>
      <c r="D12" s="50" t="s">
        <v>4616</v>
      </c>
      <c r="E12" s="18" t="s">
        <v>4617</v>
      </c>
      <c r="F12" s="18" t="s">
        <v>4618</v>
      </c>
      <c r="G12" s="18" t="s">
        <v>4619</v>
      </c>
      <c r="H12" s="18" t="s">
        <v>4620</v>
      </c>
      <c r="I12" s="18">
        <v>3</v>
      </c>
      <c r="J12" s="19" t="s">
        <v>4621</v>
      </c>
      <c r="K12" s="18" t="s">
        <v>1443</v>
      </c>
      <c r="L12" s="18"/>
    </row>
    <row r="13" spans="1:13" ht="25.5" customHeight="1">
      <c r="A13" s="15">
        <v>10</v>
      </c>
      <c r="B13" s="16" t="s">
        <v>169</v>
      </c>
      <c r="C13" s="17" t="s">
        <v>170</v>
      </c>
      <c r="D13" s="50" t="s">
        <v>4622</v>
      </c>
      <c r="E13" s="18" t="s">
        <v>4623</v>
      </c>
      <c r="F13" s="18" t="s">
        <v>1648</v>
      </c>
      <c r="G13" s="18" t="s">
        <v>2221</v>
      </c>
      <c r="H13" s="18" t="s">
        <v>4624</v>
      </c>
      <c r="I13" s="18">
        <v>2</v>
      </c>
      <c r="J13" s="19" t="s">
        <v>4625</v>
      </c>
      <c r="K13" s="18" t="s">
        <v>4626</v>
      </c>
      <c r="L13" s="18"/>
    </row>
    <row r="14" spans="1:13" ht="38.25" customHeight="1">
      <c r="A14" s="15">
        <v>11</v>
      </c>
      <c r="B14" s="16" t="s">
        <v>169</v>
      </c>
      <c r="C14" s="17" t="s">
        <v>170</v>
      </c>
      <c r="D14" s="50" t="s">
        <v>4627</v>
      </c>
      <c r="E14" s="18" t="s">
        <v>4628</v>
      </c>
      <c r="F14" s="18" t="s">
        <v>4629</v>
      </c>
      <c r="G14" s="18" t="s">
        <v>4630</v>
      </c>
      <c r="H14" s="18" t="s">
        <v>4631</v>
      </c>
      <c r="I14" s="18">
        <v>3</v>
      </c>
      <c r="J14" s="19" t="s">
        <v>4632</v>
      </c>
      <c r="K14" s="18" t="s">
        <v>1443</v>
      </c>
      <c r="L14" s="18"/>
    </row>
    <row r="15" spans="1:13" ht="84" customHeight="1">
      <c r="A15" s="15">
        <v>12</v>
      </c>
      <c r="B15" s="21" t="s">
        <v>169</v>
      </c>
      <c r="C15" s="22" t="s">
        <v>170</v>
      </c>
      <c r="D15" s="23" t="s">
        <v>4633</v>
      </c>
      <c r="E15" s="23" t="s">
        <v>4634</v>
      </c>
      <c r="F15" s="23" t="s">
        <v>4635</v>
      </c>
      <c r="G15" s="23" t="s">
        <v>4636</v>
      </c>
      <c r="H15" s="23" t="s">
        <v>4637</v>
      </c>
      <c r="I15" s="23">
        <v>2</v>
      </c>
      <c r="J15" s="23" t="s">
        <v>4638</v>
      </c>
      <c r="K15" s="23" t="s">
        <v>4639</v>
      </c>
      <c r="L15" s="23"/>
    </row>
    <row r="16" spans="1:13" ht="81" customHeight="1">
      <c r="A16" s="15">
        <v>13</v>
      </c>
      <c r="B16" s="16" t="s">
        <v>169</v>
      </c>
      <c r="C16" s="17" t="s">
        <v>171</v>
      </c>
      <c r="D16" s="19" t="s">
        <v>4640</v>
      </c>
      <c r="E16" s="18" t="s">
        <v>4641</v>
      </c>
      <c r="F16" s="18" t="s">
        <v>4642</v>
      </c>
      <c r="G16" s="18" t="s">
        <v>4643</v>
      </c>
      <c r="H16" s="18" t="s">
        <v>4644</v>
      </c>
      <c r="I16" s="19">
        <v>4</v>
      </c>
      <c r="J16" s="19" t="s">
        <v>4645</v>
      </c>
      <c r="K16" s="19"/>
      <c r="L16" s="19"/>
    </row>
    <row r="17" spans="1:12" ht="75" customHeight="1">
      <c r="A17" s="15">
        <v>14</v>
      </c>
      <c r="B17" s="16" t="s">
        <v>169</v>
      </c>
      <c r="C17" s="17" t="s">
        <v>171</v>
      </c>
      <c r="D17" s="18" t="s">
        <v>4646</v>
      </c>
      <c r="E17" s="19" t="s">
        <v>4647</v>
      </c>
      <c r="F17" s="19" t="s">
        <v>4648</v>
      </c>
      <c r="G17" s="19" t="s">
        <v>4649</v>
      </c>
      <c r="H17" s="19" t="s">
        <v>4650</v>
      </c>
      <c r="I17" s="19">
        <v>1</v>
      </c>
      <c r="J17" s="19" t="s">
        <v>4651</v>
      </c>
      <c r="K17" s="19"/>
      <c r="L17" s="19"/>
    </row>
    <row r="18" spans="1:12" ht="63" customHeight="1">
      <c r="A18" s="15">
        <v>15</v>
      </c>
      <c r="B18" s="16" t="s">
        <v>169</v>
      </c>
      <c r="C18" s="17" t="s">
        <v>171</v>
      </c>
      <c r="D18" s="52" t="s">
        <v>4652</v>
      </c>
      <c r="E18" s="53" t="s">
        <v>4653</v>
      </c>
      <c r="F18" s="53" t="s">
        <v>4654</v>
      </c>
      <c r="G18" s="52" t="s">
        <v>4655</v>
      </c>
      <c r="H18" s="53" t="s">
        <v>4656</v>
      </c>
      <c r="I18" s="52">
        <v>2</v>
      </c>
      <c r="J18" s="53" t="s">
        <v>4657</v>
      </c>
      <c r="K18" s="50" t="s">
        <v>4658</v>
      </c>
      <c r="L18" s="18"/>
    </row>
    <row r="19" spans="1:12" ht="43.5" customHeight="1">
      <c r="A19" s="15">
        <v>16</v>
      </c>
      <c r="B19" s="21" t="s">
        <v>169</v>
      </c>
      <c r="C19" s="22" t="s">
        <v>171</v>
      </c>
      <c r="D19" s="23" t="s">
        <v>4659</v>
      </c>
      <c r="E19" s="23" t="s">
        <v>4660</v>
      </c>
      <c r="F19" s="23" t="s">
        <v>4661</v>
      </c>
      <c r="G19" s="23" t="s">
        <v>4662</v>
      </c>
      <c r="H19" s="23" t="s">
        <v>4663</v>
      </c>
      <c r="I19" s="23">
        <v>3</v>
      </c>
      <c r="J19" s="24" t="s">
        <v>4664</v>
      </c>
      <c r="K19" s="23"/>
      <c r="L19" s="23"/>
    </row>
    <row r="20" spans="1:12" ht="25.5" customHeight="1">
      <c r="A20" s="15">
        <v>17</v>
      </c>
      <c r="B20" s="16" t="s">
        <v>169</v>
      </c>
      <c r="C20" s="17" t="s">
        <v>172</v>
      </c>
      <c r="D20" s="18" t="s">
        <v>4665</v>
      </c>
      <c r="E20" s="19" t="s">
        <v>4666</v>
      </c>
      <c r="F20" s="19" t="s">
        <v>4667</v>
      </c>
      <c r="G20" s="19" t="s">
        <v>4668</v>
      </c>
      <c r="H20" s="19" t="s">
        <v>4669</v>
      </c>
      <c r="I20" s="19">
        <v>4</v>
      </c>
      <c r="J20" s="19" t="s">
        <v>4670</v>
      </c>
      <c r="K20" s="18" t="s">
        <v>4671</v>
      </c>
      <c r="L20" s="19"/>
    </row>
    <row r="21" spans="1:12" ht="25.5" customHeight="1">
      <c r="A21" s="15">
        <v>18</v>
      </c>
      <c r="B21" s="16" t="s">
        <v>173</v>
      </c>
      <c r="C21" s="17" t="s">
        <v>174</v>
      </c>
      <c r="D21" s="18" t="s">
        <v>4672</v>
      </c>
      <c r="E21" s="18" t="s">
        <v>4673</v>
      </c>
      <c r="F21" s="18" t="s">
        <v>4674</v>
      </c>
      <c r="G21" s="18" t="s">
        <v>4675</v>
      </c>
      <c r="H21" s="18" t="s">
        <v>4676</v>
      </c>
      <c r="I21" s="19">
        <v>3</v>
      </c>
      <c r="J21" s="19" t="s">
        <v>4677</v>
      </c>
      <c r="K21" s="18"/>
      <c r="L21" s="19"/>
    </row>
    <row r="22" spans="1:12" ht="51" customHeight="1">
      <c r="A22" s="15">
        <v>19</v>
      </c>
      <c r="B22" s="16" t="s">
        <v>173</v>
      </c>
      <c r="C22" s="17" t="s">
        <v>174</v>
      </c>
      <c r="D22" s="18" t="s">
        <v>4678</v>
      </c>
      <c r="E22" s="18" t="s">
        <v>4679</v>
      </c>
      <c r="F22" s="18" t="s">
        <v>4680</v>
      </c>
      <c r="G22" s="18" t="s">
        <v>4681</v>
      </c>
      <c r="H22" s="18" t="s">
        <v>4682</v>
      </c>
      <c r="I22" s="19">
        <v>4</v>
      </c>
      <c r="J22" s="19" t="s">
        <v>4683</v>
      </c>
      <c r="K22" s="18"/>
      <c r="L22" s="19"/>
    </row>
    <row r="23" spans="1:12" ht="25.5" customHeight="1">
      <c r="A23" s="15">
        <v>20</v>
      </c>
      <c r="B23" s="16" t="s">
        <v>173</v>
      </c>
      <c r="C23" s="17" t="s">
        <v>174</v>
      </c>
      <c r="D23" s="52" t="s">
        <v>4684</v>
      </c>
      <c r="E23" s="52" t="s">
        <v>4685</v>
      </c>
      <c r="F23" s="52" t="s">
        <v>4686</v>
      </c>
      <c r="G23" s="52" t="s">
        <v>4687</v>
      </c>
      <c r="H23" s="52" t="s">
        <v>4688</v>
      </c>
      <c r="I23" s="52">
        <v>3</v>
      </c>
      <c r="J23" s="53" t="s">
        <v>4689</v>
      </c>
      <c r="K23" s="18"/>
      <c r="L23" s="18"/>
    </row>
    <row r="24" spans="1:12" ht="38.25" customHeight="1">
      <c r="A24" s="15">
        <v>21</v>
      </c>
      <c r="B24" s="16" t="s">
        <v>173</v>
      </c>
      <c r="C24" s="17" t="s">
        <v>174</v>
      </c>
      <c r="D24" s="18" t="s">
        <v>4690</v>
      </c>
      <c r="E24" s="18" t="s">
        <v>4691</v>
      </c>
      <c r="F24" s="18" t="s">
        <v>4692</v>
      </c>
      <c r="G24" s="18" t="s">
        <v>4693</v>
      </c>
      <c r="H24" s="18" t="s">
        <v>4694</v>
      </c>
      <c r="I24" s="18">
        <v>3</v>
      </c>
      <c r="J24" s="19" t="s">
        <v>4695</v>
      </c>
      <c r="K24" s="50" t="s">
        <v>4696</v>
      </c>
      <c r="L24" s="18"/>
    </row>
    <row r="25" spans="1:12" ht="43.5" customHeight="1">
      <c r="A25" s="15">
        <v>22</v>
      </c>
      <c r="B25" s="16" t="s">
        <v>173</v>
      </c>
      <c r="C25" s="17" t="s">
        <v>174</v>
      </c>
      <c r="D25" s="18" t="s">
        <v>4697</v>
      </c>
      <c r="E25" s="18" t="s">
        <v>4698</v>
      </c>
      <c r="F25" s="18" t="s">
        <v>4699</v>
      </c>
      <c r="G25" s="18" t="s">
        <v>4700</v>
      </c>
      <c r="H25" s="18" t="s">
        <v>4701</v>
      </c>
      <c r="I25" s="18">
        <v>2</v>
      </c>
      <c r="J25" s="19" t="s">
        <v>4702</v>
      </c>
      <c r="K25" s="50" t="s">
        <v>4696</v>
      </c>
      <c r="L25" s="18"/>
    </row>
    <row r="26" spans="1:12" ht="63.75" customHeight="1">
      <c r="A26" s="15">
        <v>23</v>
      </c>
      <c r="B26" s="16" t="s">
        <v>173</v>
      </c>
      <c r="C26" s="17" t="s">
        <v>174</v>
      </c>
      <c r="D26" s="18" t="s">
        <v>4703</v>
      </c>
      <c r="E26" s="18" t="s">
        <v>4704</v>
      </c>
      <c r="F26" s="18" t="s">
        <v>4705</v>
      </c>
      <c r="G26" s="18" t="s">
        <v>4706</v>
      </c>
      <c r="H26" s="18" t="s">
        <v>4707</v>
      </c>
      <c r="I26" s="18">
        <v>3</v>
      </c>
      <c r="J26" s="19" t="s">
        <v>4708</v>
      </c>
      <c r="K26" s="50" t="s">
        <v>4696</v>
      </c>
      <c r="L26" s="18"/>
    </row>
    <row r="27" spans="1:12" ht="51" customHeight="1">
      <c r="A27" s="15">
        <v>24</v>
      </c>
      <c r="B27" s="16" t="s">
        <v>173</v>
      </c>
      <c r="C27" s="17" t="s">
        <v>174</v>
      </c>
      <c r="D27" s="18" t="s">
        <v>4709</v>
      </c>
      <c r="E27" s="18" t="s">
        <v>4710</v>
      </c>
      <c r="F27" s="18" t="s">
        <v>4711</v>
      </c>
      <c r="G27" s="18" t="s">
        <v>4712</v>
      </c>
      <c r="H27" s="18" t="s">
        <v>4713</v>
      </c>
      <c r="I27" s="18">
        <v>3</v>
      </c>
      <c r="J27" s="19" t="s">
        <v>4714</v>
      </c>
      <c r="K27" s="50" t="s">
        <v>4715</v>
      </c>
      <c r="L27" s="18"/>
    </row>
    <row r="28" spans="1:12" ht="63" customHeight="1">
      <c r="A28" s="15">
        <v>25</v>
      </c>
      <c r="B28" s="16" t="s">
        <v>173</v>
      </c>
      <c r="C28" s="17" t="s">
        <v>174</v>
      </c>
      <c r="D28" s="18" t="s">
        <v>4716</v>
      </c>
      <c r="E28" s="18" t="s">
        <v>4717</v>
      </c>
      <c r="F28" s="18" t="s">
        <v>4718</v>
      </c>
      <c r="G28" s="18" t="s">
        <v>4719</v>
      </c>
      <c r="H28" s="18" t="s">
        <v>4720</v>
      </c>
      <c r="I28" s="18">
        <v>2</v>
      </c>
      <c r="J28" s="19" t="s">
        <v>4721</v>
      </c>
      <c r="K28" s="50" t="s">
        <v>4715</v>
      </c>
      <c r="L28" s="18"/>
    </row>
    <row r="29" spans="1:12" ht="79.5" customHeight="1">
      <c r="A29" s="15">
        <v>26</v>
      </c>
      <c r="B29" s="16" t="s">
        <v>173</v>
      </c>
      <c r="C29" s="17" t="s">
        <v>176</v>
      </c>
      <c r="D29" s="18" t="s">
        <v>4722</v>
      </c>
      <c r="E29" s="18" t="s">
        <v>4723</v>
      </c>
      <c r="F29" s="18" t="s">
        <v>4724</v>
      </c>
      <c r="G29" s="18" t="s">
        <v>4725</v>
      </c>
      <c r="H29" s="19" t="s">
        <v>4726</v>
      </c>
      <c r="I29" s="19">
        <v>1</v>
      </c>
      <c r="J29" s="19" t="s">
        <v>4727</v>
      </c>
      <c r="K29" s="18"/>
      <c r="L29" s="19"/>
    </row>
    <row r="30" spans="1:12" ht="63.75" customHeight="1">
      <c r="A30" s="15">
        <v>27</v>
      </c>
      <c r="B30" s="16" t="s">
        <v>173</v>
      </c>
      <c r="C30" s="17" t="s">
        <v>176</v>
      </c>
      <c r="D30" s="18" t="s">
        <v>4728</v>
      </c>
      <c r="E30" s="18" t="s">
        <v>4729</v>
      </c>
      <c r="F30" s="18" t="s">
        <v>4730</v>
      </c>
      <c r="G30" s="18" t="s">
        <v>4731</v>
      </c>
      <c r="H30" s="18" t="s">
        <v>4732</v>
      </c>
      <c r="I30" s="19">
        <v>4</v>
      </c>
      <c r="J30" s="19" t="s">
        <v>4733</v>
      </c>
      <c r="K30" s="18"/>
      <c r="L30" s="19"/>
    </row>
    <row r="31" spans="1:12" ht="15" customHeight="1">
      <c r="A31" s="15">
        <v>28</v>
      </c>
      <c r="B31" s="21" t="s">
        <v>173</v>
      </c>
      <c r="C31" s="22" t="s">
        <v>176</v>
      </c>
      <c r="D31" s="23" t="s">
        <v>4734</v>
      </c>
      <c r="E31" s="23" t="s">
        <v>4735</v>
      </c>
      <c r="F31" s="23" t="s">
        <v>4736</v>
      </c>
      <c r="G31" s="23" t="s">
        <v>4737</v>
      </c>
      <c r="H31" s="23" t="s">
        <v>4738</v>
      </c>
      <c r="I31" s="23">
        <v>1</v>
      </c>
      <c r="J31" s="24" t="s">
        <v>4739</v>
      </c>
      <c r="K31" s="23"/>
      <c r="L31" s="23"/>
    </row>
    <row r="32" spans="1:12" ht="25.5" customHeight="1">
      <c r="A32" s="15">
        <v>29</v>
      </c>
      <c r="B32" s="21" t="s">
        <v>173</v>
      </c>
      <c r="C32" s="22" t="s">
        <v>176</v>
      </c>
      <c r="D32" s="23" t="s">
        <v>4740</v>
      </c>
      <c r="E32" s="23" t="s">
        <v>4741</v>
      </c>
      <c r="F32" s="23" t="s">
        <v>4742</v>
      </c>
      <c r="G32" s="23" t="s">
        <v>4743</v>
      </c>
      <c r="H32" s="23" t="s">
        <v>4744</v>
      </c>
      <c r="I32" s="23">
        <v>2</v>
      </c>
      <c r="J32" s="24" t="s">
        <v>4745</v>
      </c>
      <c r="K32" s="23" t="s">
        <v>4746</v>
      </c>
      <c r="L32" s="23"/>
    </row>
    <row r="33" spans="1:12" ht="25.5" customHeight="1">
      <c r="A33" s="15">
        <v>30</v>
      </c>
      <c r="B33" s="21" t="s">
        <v>173</v>
      </c>
      <c r="C33" s="22" t="s">
        <v>176</v>
      </c>
      <c r="D33" s="23" t="s">
        <v>4747</v>
      </c>
      <c r="E33" s="23" t="s">
        <v>4748</v>
      </c>
      <c r="F33" s="23" t="s">
        <v>4749</v>
      </c>
      <c r="G33" s="23" t="s">
        <v>4750</v>
      </c>
      <c r="H33" s="23" t="s">
        <v>4751</v>
      </c>
      <c r="I33" s="23">
        <v>3</v>
      </c>
      <c r="J33" s="24" t="s">
        <v>4752</v>
      </c>
      <c r="K33" s="23" t="s">
        <v>4746</v>
      </c>
      <c r="L33" s="23"/>
    </row>
    <row r="34" spans="1:12" ht="38.25" customHeight="1">
      <c r="A34" s="15">
        <v>31</v>
      </c>
      <c r="B34" s="16" t="s">
        <v>173</v>
      </c>
      <c r="C34" s="17" t="s">
        <v>177</v>
      </c>
      <c r="D34" s="18" t="s">
        <v>4753</v>
      </c>
      <c r="E34" s="18" t="s">
        <v>4754</v>
      </c>
      <c r="F34" s="18" t="s">
        <v>4755</v>
      </c>
      <c r="G34" s="18" t="s">
        <v>4756</v>
      </c>
      <c r="H34" s="18" t="s">
        <v>4757</v>
      </c>
      <c r="I34" s="19">
        <v>1</v>
      </c>
      <c r="J34" s="19" t="s">
        <v>4758</v>
      </c>
      <c r="K34" s="18"/>
      <c r="L34" s="19"/>
    </row>
    <row r="35" spans="1:12" ht="25.5" customHeight="1">
      <c r="A35" s="15">
        <v>32</v>
      </c>
      <c r="B35" s="16" t="s">
        <v>173</v>
      </c>
      <c r="C35" s="22" t="s">
        <v>176</v>
      </c>
      <c r="D35" s="18" t="s">
        <v>4759</v>
      </c>
      <c r="E35" s="18" t="s">
        <v>4760</v>
      </c>
      <c r="F35" s="18" t="s">
        <v>4761</v>
      </c>
      <c r="G35" s="18" t="s">
        <v>4762</v>
      </c>
      <c r="H35" s="18" t="s">
        <v>4763</v>
      </c>
      <c r="I35" s="19">
        <v>2</v>
      </c>
      <c r="J35" s="19" t="s">
        <v>4764</v>
      </c>
      <c r="K35" s="18"/>
      <c r="L35" s="19"/>
    </row>
    <row r="36" spans="1:12" ht="63.75" customHeight="1">
      <c r="A36" s="15">
        <v>33</v>
      </c>
      <c r="B36" s="16" t="s">
        <v>178</v>
      </c>
      <c r="C36" s="17" t="s">
        <v>179</v>
      </c>
      <c r="D36" s="18" t="s">
        <v>4765</v>
      </c>
      <c r="E36" s="19" t="s">
        <v>4766</v>
      </c>
      <c r="F36" s="19" t="s">
        <v>4767</v>
      </c>
      <c r="G36" s="18" t="s">
        <v>4768</v>
      </c>
      <c r="H36" s="19" t="s">
        <v>4769</v>
      </c>
      <c r="I36" s="18">
        <v>4</v>
      </c>
      <c r="J36" s="19" t="s">
        <v>4770</v>
      </c>
      <c r="K36" s="18" t="s">
        <v>4771</v>
      </c>
      <c r="L36" s="18"/>
    </row>
    <row r="37" spans="1:12" ht="38.25" customHeight="1">
      <c r="A37" s="15">
        <v>34</v>
      </c>
      <c r="B37" s="21" t="s">
        <v>178</v>
      </c>
      <c r="C37" s="22" t="s">
        <v>179</v>
      </c>
      <c r="D37" s="23" t="s">
        <v>4772</v>
      </c>
      <c r="E37" s="23" t="s">
        <v>4773</v>
      </c>
      <c r="F37" s="23" t="s">
        <v>4774</v>
      </c>
      <c r="G37" s="23" t="s">
        <v>4775</v>
      </c>
      <c r="H37" s="23" t="s">
        <v>4776</v>
      </c>
      <c r="I37" s="23">
        <v>1</v>
      </c>
      <c r="J37" s="23" t="s">
        <v>4777</v>
      </c>
      <c r="K37" s="23" t="s">
        <v>4778</v>
      </c>
      <c r="L37" s="23"/>
    </row>
    <row r="38" spans="1:12" ht="38.25" customHeight="1">
      <c r="A38" s="15">
        <v>35</v>
      </c>
      <c r="B38" s="16" t="s">
        <v>178</v>
      </c>
      <c r="C38" s="17" t="s">
        <v>180</v>
      </c>
      <c r="D38" s="18" t="s">
        <v>4779</v>
      </c>
      <c r="E38" s="18" t="s">
        <v>4780</v>
      </c>
      <c r="F38" s="18" t="s">
        <v>4781</v>
      </c>
      <c r="G38" s="18" t="s">
        <v>4782</v>
      </c>
      <c r="H38" s="18" t="s">
        <v>4783</v>
      </c>
      <c r="I38" s="19">
        <v>4</v>
      </c>
      <c r="J38" s="19" t="s">
        <v>4784</v>
      </c>
      <c r="K38" s="18" t="s">
        <v>4785</v>
      </c>
      <c r="L38" s="19"/>
    </row>
    <row r="39" spans="1:12" ht="68.25" customHeight="1">
      <c r="A39" s="15">
        <v>36</v>
      </c>
      <c r="B39" s="16" t="s">
        <v>178</v>
      </c>
      <c r="C39" s="17" t="s">
        <v>180</v>
      </c>
      <c r="D39" s="18" t="s">
        <v>4786</v>
      </c>
      <c r="E39" s="18" t="s">
        <v>4787</v>
      </c>
      <c r="F39" s="18" t="s">
        <v>4788</v>
      </c>
      <c r="G39" s="18" t="s">
        <v>4789</v>
      </c>
      <c r="H39" s="18" t="s">
        <v>4790</v>
      </c>
      <c r="I39" s="19">
        <v>2</v>
      </c>
      <c r="J39" s="19" t="s">
        <v>4791</v>
      </c>
      <c r="K39" s="18" t="s">
        <v>4792</v>
      </c>
      <c r="L39" s="19"/>
    </row>
    <row r="40" spans="1:12" ht="49.5" customHeight="1">
      <c r="A40" s="15">
        <v>37</v>
      </c>
      <c r="B40" s="16" t="s">
        <v>178</v>
      </c>
      <c r="C40" s="17" t="s">
        <v>180</v>
      </c>
      <c r="D40" s="18" t="s">
        <v>4793</v>
      </c>
      <c r="E40" s="18" t="s">
        <v>4794</v>
      </c>
      <c r="F40" s="18" t="s">
        <v>4795</v>
      </c>
      <c r="G40" s="18" t="s">
        <v>4796</v>
      </c>
      <c r="H40" s="18" t="s">
        <v>4797</v>
      </c>
      <c r="I40" s="19">
        <v>3</v>
      </c>
      <c r="J40" s="19" t="s">
        <v>4798</v>
      </c>
      <c r="K40" s="18" t="s">
        <v>1601</v>
      </c>
      <c r="L40" s="19"/>
    </row>
    <row r="41" spans="1:12" ht="29.25" customHeight="1">
      <c r="A41" s="15">
        <v>38</v>
      </c>
      <c r="B41" s="16" t="s">
        <v>178</v>
      </c>
      <c r="C41" s="17" t="s">
        <v>180</v>
      </c>
      <c r="D41" s="18" t="s">
        <v>4799</v>
      </c>
      <c r="E41" s="18" t="s">
        <v>4800</v>
      </c>
      <c r="F41" s="18" t="s">
        <v>4801</v>
      </c>
      <c r="G41" s="18" t="s">
        <v>4802</v>
      </c>
      <c r="H41" s="18" t="s">
        <v>4585</v>
      </c>
      <c r="I41" s="19">
        <v>2</v>
      </c>
      <c r="J41" s="19" t="s">
        <v>4803</v>
      </c>
      <c r="K41" s="18" t="s">
        <v>4785</v>
      </c>
      <c r="L41" s="19"/>
    </row>
    <row r="42" spans="1:12" ht="38.25" customHeight="1">
      <c r="A42" s="15">
        <v>39</v>
      </c>
      <c r="B42" s="16" t="s">
        <v>178</v>
      </c>
      <c r="C42" s="17" t="s">
        <v>180</v>
      </c>
      <c r="D42" s="18" t="s">
        <v>4804</v>
      </c>
      <c r="E42" s="18" t="s">
        <v>4789</v>
      </c>
      <c r="F42" s="18" t="s">
        <v>4788</v>
      </c>
      <c r="G42" s="18" t="s">
        <v>4790</v>
      </c>
      <c r="H42" s="18" t="s">
        <v>4787</v>
      </c>
      <c r="I42" s="19">
        <v>3</v>
      </c>
      <c r="J42" s="19" t="s">
        <v>4805</v>
      </c>
      <c r="K42" s="18"/>
      <c r="L42" s="19"/>
    </row>
    <row r="43" spans="1:12" ht="25.5" customHeight="1">
      <c r="A43" s="15">
        <v>40</v>
      </c>
      <c r="B43" s="16" t="s">
        <v>178</v>
      </c>
      <c r="C43" s="17" t="s">
        <v>180</v>
      </c>
      <c r="D43" s="18" t="s">
        <v>4806</v>
      </c>
      <c r="E43" s="18" t="s">
        <v>4807</v>
      </c>
      <c r="F43" s="18" t="s">
        <v>4808</v>
      </c>
      <c r="G43" s="18" t="s">
        <v>4809</v>
      </c>
      <c r="H43" s="18" t="s">
        <v>4810</v>
      </c>
      <c r="I43" s="19">
        <v>1</v>
      </c>
      <c r="J43" s="19" t="s">
        <v>4811</v>
      </c>
      <c r="K43" s="18"/>
      <c r="L43" s="19"/>
    </row>
    <row r="44" spans="1:12" ht="38.25" customHeight="1">
      <c r="A44" s="15">
        <v>41</v>
      </c>
      <c r="B44" s="16" t="s">
        <v>178</v>
      </c>
      <c r="C44" s="17" t="s">
        <v>180</v>
      </c>
      <c r="D44" s="18" t="s">
        <v>4812</v>
      </c>
      <c r="E44" s="18" t="s">
        <v>4813</v>
      </c>
      <c r="F44" s="18" t="s">
        <v>4814</v>
      </c>
      <c r="G44" s="18" t="s">
        <v>4815</v>
      </c>
      <c r="H44" s="18" t="s">
        <v>4816</v>
      </c>
      <c r="I44" s="19">
        <v>2</v>
      </c>
      <c r="J44" s="19" t="s">
        <v>4817</v>
      </c>
      <c r="K44" s="18"/>
      <c r="L44" s="19"/>
    </row>
    <row r="45" spans="1:12" ht="25.5" customHeight="1">
      <c r="A45" s="15">
        <v>42</v>
      </c>
      <c r="B45" s="16" t="s">
        <v>178</v>
      </c>
      <c r="C45" s="17" t="s">
        <v>180</v>
      </c>
      <c r="D45" s="18" t="s">
        <v>4818</v>
      </c>
      <c r="E45" s="18" t="s">
        <v>4819</v>
      </c>
      <c r="F45" s="18" t="s">
        <v>4820</v>
      </c>
      <c r="G45" s="18" t="s">
        <v>4821</v>
      </c>
      <c r="H45" s="18" t="s">
        <v>4822</v>
      </c>
      <c r="I45" s="19">
        <v>4</v>
      </c>
      <c r="J45" s="19" t="s">
        <v>4823</v>
      </c>
      <c r="K45" s="18"/>
      <c r="L45" s="19"/>
    </row>
    <row r="46" spans="1:12" ht="38.25" customHeight="1">
      <c r="A46" s="15">
        <v>43</v>
      </c>
      <c r="B46" s="16" t="s">
        <v>178</v>
      </c>
      <c r="C46" s="17" t="s">
        <v>180</v>
      </c>
      <c r="D46" s="18" t="s">
        <v>4824</v>
      </c>
      <c r="E46" s="18" t="s">
        <v>4825</v>
      </c>
      <c r="F46" s="18" t="s">
        <v>4826</v>
      </c>
      <c r="G46" s="18" t="s">
        <v>4827</v>
      </c>
      <c r="H46" s="18" t="s">
        <v>4828</v>
      </c>
      <c r="I46" s="18">
        <v>2</v>
      </c>
      <c r="J46" s="19" t="s">
        <v>4829</v>
      </c>
      <c r="K46" s="18" t="s">
        <v>4830</v>
      </c>
      <c r="L46" s="18"/>
    </row>
    <row r="47" spans="1:12" ht="25.5" customHeight="1">
      <c r="A47" s="15">
        <v>44</v>
      </c>
      <c r="B47" s="16" t="s">
        <v>182</v>
      </c>
      <c r="C47" s="17" t="s">
        <v>183</v>
      </c>
      <c r="D47" s="18" t="s">
        <v>4831</v>
      </c>
      <c r="E47" s="18" t="s">
        <v>4832</v>
      </c>
      <c r="F47" s="18" t="s">
        <v>4833</v>
      </c>
      <c r="G47" s="18" t="s">
        <v>4834</v>
      </c>
      <c r="H47" s="18" t="s">
        <v>4835</v>
      </c>
      <c r="I47" s="19">
        <v>3</v>
      </c>
      <c r="J47" s="19" t="s">
        <v>4836</v>
      </c>
      <c r="K47" s="18"/>
      <c r="L47" s="19"/>
    </row>
    <row r="48" spans="1:12" ht="38.25" customHeight="1">
      <c r="A48" s="15">
        <v>45</v>
      </c>
      <c r="B48" s="16" t="s">
        <v>182</v>
      </c>
      <c r="C48" s="17" t="s">
        <v>183</v>
      </c>
      <c r="D48" s="18" t="s">
        <v>4837</v>
      </c>
      <c r="E48" s="18" t="s">
        <v>4838</v>
      </c>
      <c r="F48" s="18" t="s">
        <v>4839</v>
      </c>
      <c r="G48" s="18" t="s">
        <v>4840</v>
      </c>
      <c r="H48" s="18" t="s">
        <v>4841</v>
      </c>
      <c r="I48" s="19">
        <v>3</v>
      </c>
      <c r="J48" s="19" t="s">
        <v>4842</v>
      </c>
      <c r="K48" s="18"/>
      <c r="L48" s="19"/>
    </row>
    <row r="49" spans="1:12" ht="38.25" customHeight="1">
      <c r="A49" s="15">
        <v>46</v>
      </c>
      <c r="B49" s="16" t="s">
        <v>182</v>
      </c>
      <c r="C49" s="17" t="s">
        <v>183</v>
      </c>
      <c r="D49" s="18" t="s">
        <v>4843</v>
      </c>
      <c r="E49" s="18" t="s">
        <v>4844</v>
      </c>
      <c r="F49" s="18" t="s">
        <v>4845</v>
      </c>
      <c r="G49" s="18" t="s">
        <v>4846</v>
      </c>
      <c r="H49" s="18" t="s">
        <v>4847</v>
      </c>
      <c r="I49" s="19">
        <v>3</v>
      </c>
      <c r="J49" s="19" t="s">
        <v>4848</v>
      </c>
      <c r="K49" s="18"/>
      <c r="L49" s="19"/>
    </row>
    <row r="50" spans="1:12" ht="38.25" customHeight="1">
      <c r="A50" s="15">
        <v>47</v>
      </c>
      <c r="B50" s="16" t="s">
        <v>182</v>
      </c>
      <c r="C50" s="17" t="s">
        <v>183</v>
      </c>
      <c r="D50" s="19" t="s">
        <v>4849</v>
      </c>
      <c r="E50" s="18" t="s">
        <v>4850</v>
      </c>
      <c r="F50" s="18" t="s">
        <v>4851</v>
      </c>
      <c r="G50" s="18" t="s">
        <v>4852</v>
      </c>
      <c r="H50" s="18" t="s">
        <v>4853</v>
      </c>
      <c r="I50" s="19">
        <v>2</v>
      </c>
      <c r="J50" s="19" t="s">
        <v>4854</v>
      </c>
      <c r="K50" s="18"/>
      <c r="L50" s="19"/>
    </row>
    <row r="51" spans="1:12" ht="51" customHeight="1">
      <c r="A51" s="15">
        <v>48</v>
      </c>
      <c r="B51" s="16" t="s">
        <v>182</v>
      </c>
      <c r="C51" s="17" t="s">
        <v>184</v>
      </c>
      <c r="D51" s="18" t="s">
        <v>4855</v>
      </c>
      <c r="E51" s="18" t="s">
        <v>4856</v>
      </c>
      <c r="F51" s="18" t="s">
        <v>4857</v>
      </c>
      <c r="G51" s="18" t="s">
        <v>4858</v>
      </c>
      <c r="H51" s="18" t="s">
        <v>4859</v>
      </c>
      <c r="I51" s="19">
        <v>1</v>
      </c>
      <c r="J51" s="19" t="s">
        <v>4860</v>
      </c>
      <c r="K51" s="18" t="s">
        <v>4861</v>
      </c>
      <c r="L51" s="19"/>
    </row>
    <row r="52" spans="1:12" ht="29.25" customHeight="1">
      <c r="A52" s="15">
        <v>49</v>
      </c>
      <c r="B52" s="16" t="s">
        <v>182</v>
      </c>
      <c r="C52" s="17" t="s">
        <v>184</v>
      </c>
      <c r="D52" s="18" t="s">
        <v>4862</v>
      </c>
      <c r="E52" s="18" t="s">
        <v>4863</v>
      </c>
      <c r="F52" s="18" t="s">
        <v>4864</v>
      </c>
      <c r="G52" s="18" t="s">
        <v>4865</v>
      </c>
      <c r="H52" s="18" t="s">
        <v>4866</v>
      </c>
      <c r="I52" s="19">
        <v>2</v>
      </c>
      <c r="J52" s="19" t="s">
        <v>4867</v>
      </c>
      <c r="K52" s="18"/>
      <c r="L52" s="19"/>
    </row>
    <row r="53" spans="1:12" ht="25.5" customHeight="1">
      <c r="A53" s="15">
        <v>50</v>
      </c>
      <c r="B53" s="16" t="s">
        <v>182</v>
      </c>
      <c r="C53" s="17" t="s">
        <v>184</v>
      </c>
      <c r="D53" s="18" t="s">
        <v>4868</v>
      </c>
      <c r="E53" s="18" t="s">
        <v>4869</v>
      </c>
      <c r="F53" s="18" t="s">
        <v>4870</v>
      </c>
      <c r="G53" s="18" t="s">
        <v>4871</v>
      </c>
      <c r="H53" s="18" t="s">
        <v>4872</v>
      </c>
      <c r="I53" s="19">
        <v>4</v>
      </c>
      <c r="J53" s="19" t="s">
        <v>4873</v>
      </c>
      <c r="K53" s="19"/>
      <c r="L53" s="19"/>
    </row>
    <row r="54" spans="1:12" ht="38.25" customHeight="1">
      <c r="A54" s="15">
        <v>51</v>
      </c>
      <c r="B54" s="16" t="s">
        <v>182</v>
      </c>
      <c r="C54" s="17" t="s">
        <v>184</v>
      </c>
      <c r="D54" s="18" t="s">
        <v>4874</v>
      </c>
      <c r="E54" s="18" t="s">
        <v>4875</v>
      </c>
      <c r="F54" s="18" t="s">
        <v>4876</v>
      </c>
      <c r="G54" s="18" t="s">
        <v>4877</v>
      </c>
      <c r="H54" s="18" t="s">
        <v>4878</v>
      </c>
      <c r="I54" s="19">
        <v>1</v>
      </c>
      <c r="J54" s="19" t="s">
        <v>4879</v>
      </c>
      <c r="K54" s="18" t="s">
        <v>4595</v>
      </c>
      <c r="L54" s="19"/>
    </row>
    <row r="55" spans="1:12" ht="38.25" customHeight="1">
      <c r="A55" s="15">
        <v>52</v>
      </c>
      <c r="B55" s="16" t="s">
        <v>182</v>
      </c>
      <c r="C55" s="17" t="s">
        <v>184</v>
      </c>
      <c r="D55" s="18" t="s">
        <v>4880</v>
      </c>
      <c r="E55" s="18" t="s">
        <v>4881</v>
      </c>
      <c r="F55" s="18" t="s">
        <v>4882</v>
      </c>
      <c r="G55" s="18" t="s">
        <v>4883</v>
      </c>
      <c r="H55" s="18" t="s">
        <v>4884</v>
      </c>
      <c r="I55" s="19">
        <v>4</v>
      </c>
      <c r="J55" s="19" t="s">
        <v>4885</v>
      </c>
      <c r="K55" s="18"/>
      <c r="L55" s="19"/>
    </row>
    <row r="56" spans="1:12" ht="25.5" customHeight="1">
      <c r="A56" s="15">
        <v>53</v>
      </c>
      <c r="B56" s="16" t="s">
        <v>182</v>
      </c>
      <c r="C56" s="17" t="s">
        <v>184</v>
      </c>
      <c r="D56" s="18" t="s">
        <v>4886</v>
      </c>
      <c r="E56" s="18" t="s">
        <v>4887</v>
      </c>
      <c r="F56" s="18" t="s">
        <v>4888</v>
      </c>
      <c r="G56" s="18" t="s">
        <v>4889</v>
      </c>
      <c r="H56" s="18" t="s">
        <v>4890</v>
      </c>
      <c r="I56" s="19">
        <v>1</v>
      </c>
      <c r="J56" s="19" t="s">
        <v>4891</v>
      </c>
      <c r="K56" s="18"/>
      <c r="L56" s="19"/>
    </row>
    <row r="57" spans="1:12" ht="38.25" customHeight="1">
      <c r="A57" s="15">
        <v>54</v>
      </c>
      <c r="B57" s="16" t="s">
        <v>182</v>
      </c>
      <c r="C57" s="17" t="s">
        <v>184</v>
      </c>
      <c r="D57" s="18" t="s">
        <v>4892</v>
      </c>
      <c r="E57" s="18" t="s">
        <v>4893</v>
      </c>
      <c r="F57" s="18" t="s">
        <v>4894</v>
      </c>
      <c r="G57" s="18" t="s">
        <v>4895</v>
      </c>
      <c r="H57" s="18" t="s">
        <v>4896</v>
      </c>
      <c r="I57" s="19">
        <v>3</v>
      </c>
      <c r="J57" s="19" t="s">
        <v>4897</v>
      </c>
      <c r="K57" s="19"/>
      <c r="L57" s="19"/>
    </row>
    <row r="58" spans="1:12" ht="25.5" customHeight="1">
      <c r="A58" s="15">
        <v>55</v>
      </c>
      <c r="B58" s="16" t="s">
        <v>185</v>
      </c>
      <c r="C58" s="17" t="s">
        <v>186</v>
      </c>
      <c r="D58" s="18" t="s">
        <v>4898</v>
      </c>
      <c r="E58" s="18" t="s">
        <v>4899</v>
      </c>
      <c r="F58" s="18" t="s">
        <v>4900</v>
      </c>
      <c r="G58" s="18" t="s">
        <v>4901</v>
      </c>
      <c r="H58" s="18" t="s">
        <v>4902</v>
      </c>
      <c r="I58" s="19">
        <v>2</v>
      </c>
      <c r="J58" s="19" t="s">
        <v>4903</v>
      </c>
      <c r="K58" s="18" t="s">
        <v>4904</v>
      </c>
      <c r="L58" s="19"/>
    </row>
    <row r="59" spans="1:12" ht="25.5" customHeight="1">
      <c r="A59" s="15">
        <v>56</v>
      </c>
      <c r="B59" s="16" t="s">
        <v>185</v>
      </c>
      <c r="C59" s="17" t="s">
        <v>186</v>
      </c>
      <c r="D59" s="18" t="s">
        <v>4905</v>
      </c>
      <c r="E59" s="18" t="s">
        <v>4906</v>
      </c>
      <c r="F59" s="18" t="s">
        <v>4907</v>
      </c>
      <c r="G59" s="18" t="s">
        <v>4845</v>
      </c>
      <c r="H59" s="18" t="s">
        <v>4908</v>
      </c>
      <c r="I59" s="19">
        <v>4</v>
      </c>
      <c r="J59" s="19" t="s">
        <v>4909</v>
      </c>
      <c r="K59" s="18" t="s">
        <v>4861</v>
      </c>
      <c r="L59" s="19"/>
    </row>
    <row r="60" spans="1:12" ht="63.75" customHeight="1">
      <c r="A60" s="15">
        <v>57</v>
      </c>
      <c r="B60" s="16" t="s">
        <v>185</v>
      </c>
      <c r="C60" s="17" t="s">
        <v>186</v>
      </c>
      <c r="D60" s="24" t="s">
        <v>4910</v>
      </c>
      <c r="E60" s="23" t="s">
        <v>4911</v>
      </c>
      <c r="F60" s="23" t="s">
        <v>4912</v>
      </c>
      <c r="G60" s="23" t="s">
        <v>4913</v>
      </c>
      <c r="H60" s="23" t="s">
        <v>4914</v>
      </c>
      <c r="I60" s="24">
        <v>3</v>
      </c>
      <c r="J60" s="24" t="s">
        <v>4915</v>
      </c>
      <c r="K60" s="23"/>
      <c r="L60" s="24"/>
    </row>
    <row r="61" spans="1:12" ht="25.5" customHeight="1">
      <c r="A61" s="15">
        <v>58</v>
      </c>
      <c r="B61" s="16" t="s">
        <v>185</v>
      </c>
      <c r="C61" s="17" t="s">
        <v>186</v>
      </c>
      <c r="D61" s="23" t="s">
        <v>4916</v>
      </c>
      <c r="E61" s="23" t="s">
        <v>4917</v>
      </c>
      <c r="F61" s="23" t="s">
        <v>4918</v>
      </c>
      <c r="G61" s="23" t="s">
        <v>4919</v>
      </c>
      <c r="H61" s="23" t="s">
        <v>4920</v>
      </c>
      <c r="I61" s="24">
        <v>3</v>
      </c>
      <c r="J61" s="24" t="s">
        <v>4921</v>
      </c>
      <c r="K61" s="23" t="s">
        <v>4922</v>
      </c>
      <c r="L61" s="24"/>
    </row>
    <row r="62" spans="1:12" ht="38.25" customHeight="1">
      <c r="A62" s="15">
        <v>59</v>
      </c>
      <c r="B62" s="16" t="s">
        <v>185</v>
      </c>
      <c r="C62" s="17" t="s">
        <v>186</v>
      </c>
      <c r="D62" s="23" t="s">
        <v>4923</v>
      </c>
      <c r="E62" s="23" t="s">
        <v>4924</v>
      </c>
      <c r="F62" s="23" t="s">
        <v>4925</v>
      </c>
      <c r="G62" s="23" t="s">
        <v>4926</v>
      </c>
      <c r="H62" s="23" t="s">
        <v>4927</v>
      </c>
      <c r="I62" s="23">
        <v>1</v>
      </c>
      <c r="J62" s="24" t="s">
        <v>4928</v>
      </c>
      <c r="K62" s="23" t="s">
        <v>4904</v>
      </c>
      <c r="L62" s="23"/>
    </row>
    <row r="63" spans="1:12" ht="51" customHeight="1">
      <c r="A63" s="15">
        <v>60</v>
      </c>
      <c r="B63" s="21" t="s">
        <v>185</v>
      </c>
      <c r="C63" s="22" t="s">
        <v>186</v>
      </c>
      <c r="D63" s="23" t="s">
        <v>4929</v>
      </c>
      <c r="E63" s="23" t="s">
        <v>4930</v>
      </c>
      <c r="F63" s="23" t="s">
        <v>4931</v>
      </c>
      <c r="G63" s="23" t="s">
        <v>4932</v>
      </c>
      <c r="H63" s="23" t="s">
        <v>4933</v>
      </c>
      <c r="I63" s="23">
        <v>4</v>
      </c>
      <c r="J63" s="23" t="s">
        <v>4934</v>
      </c>
      <c r="K63" s="23" t="s">
        <v>4935</v>
      </c>
      <c r="L63" s="23"/>
    </row>
    <row r="64" spans="1:12" ht="51" customHeight="1">
      <c r="A64" s="15">
        <v>61</v>
      </c>
      <c r="B64" s="16" t="s">
        <v>185</v>
      </c>
      <c r="C64" s="17" t="s">
        <v>187</v>
      </c>
      <c r="D64" s="23" t="s">
        <v>4936</v>
      </c>
      <c r="E64" s="23" t="s">
        <v>4937</v>
      </c>
      <c r="F64" s="23" t="s">
        <v>4938</v>
      </c>
      <c r="G64" s="23" t="s">
        <v>4939</v>
      </c>
      <c r="H64" s="23" t="s">
        <v>4940</v>
      </c>
      <c r="I64" s="24">
        <v>1</v>
      </c>
      <c r="J64" s="24" t="s">
        <v>4941</v>
      </c>
      <c r="K64" s="23" t="s">
        <v>4904</v>
      </c>
      <c r="L64" s="24"/>
    </row>
    <row r="65" spans="1:12" ht="63.75" customHeight="1">
      <c r="A65" s="15">
        <v>62</v>
      </c>
      <c r="B65" s="16" t="s">
        <v>185</v>
      </c>
      <c r="C65" s="17" t="s">
        <v>187</v>
      </c>
      <c r="D65" s="23" t="s">
        <v>4942</v>
      </c>
      <c r="E65" s="23" t="s">
        <v>4585</v>
      </c>
      <c r="F65" s="23" t="s">
        <v>4584</v>
      </c>
      <c r="G65" s="23" t="s">
        <v>4943</v>
      </c>
      <c r="H65" s="23" t="s">
        <v>4587</v>
      </c>
      <c r="I65" s="24">
        <v>1</v>
      </c>
      <c r="J65" s="24" t="s">
        <v>4944</v>
      </c>
      <c r="K65" s="23" t="s">
        <v>4945</v>
      </c>
      <c r="L65" s="24"/>
    </row>
    <row r="66" spans="1:12" ht="54.75" customHeight="1">
      <c r="A66" s="15">
        <v>63</v>
      </c>
      <c r="B66" s="16" t="s">
        <v>185</v>
      </c>
      <c r="C66" s="17" t="s">
        <v>187</v>
      </c>
      <c r="D66" s="23" t="s">
        <v>4946</v>
      </c>
      <c r="E66" s="23" t="s">
        <v>4947</v>
      </c>
      <c r="F66" s="23" t="s">
        <v>4948</v>
      </c>
      <c r="G66" s="23" t="s">
        <v>4949</v>
      </c>
      <c r="H66" s="23" t="s">
        <v>4950</v>
      </c>
      <c r="I66" s="24">
        <v>1</v>
      </c>
      <c r="J66" s="24" t="s">
        <v>4951</v>
      </c>
      <c r="K66" s="23" t="s">
        <v>4615</v>
      </c>
      <c r="L66" s="24"/>
    </row>
    <row r="67" spans="1:12" ht="54.75" customHeight="1">
      <c r="A67" s="15">
        <v>64</v>
      </c>
      <c r="B67" s="16" t="s">
        <v>185</v>
      </c>
      <c r="C67" s="17" t="s">
        <v>187</v>
      </c>
      <c r="D67" s="23" t="s">
        <v>4952</v>
      </c>
      <c r="E67" s="23" t="s">
        <v>4953</v>
      </c>
      <c r="F67" s="23" t="s">
        <v>4954</v>
      </c>
      <c r="G67" s="23" t="s">
        <v>4955</v>
      </c>
      <c r="H67" s="23" t="s">
        <v>4956</v>
      </c>
      <c r="I67" s="24">
        <v>3</v>
      </c>
      <c r="J67" s="24" t="s">
        <v>4957</v>
      </c>
      <c r="K67" s="23" t="s">
        <v>4958</v>
      </c>
      <c r="L67" s="24"/>
    </row>
    <row r="68" spans="1:12" ht="48" customHeight="1">
      <c r="A68" s="15">
        <v>65</v>
      </c>
      <c r="B68" s="16" t="s">
        <v>185</v>
      </c>
      <c r="C68" s="17" t="s">
        <v>187</v>
      </c>
      <c r="D68" s="23" t="s">
        <v>4959</v>
      </c>
      <c r="E68" s="23" t="s">
        <v>4603</v>
      </c>
      <c r="F68" s="23" t="s">
        <v>4960</v>
      </c>
      <c r="G68" s="23" t="s">
        <v>4961</v>
      </c>
      <c r="H68" s="23" t="s">
        <v>4962</v>
      </c>
      <c r="I68" s="24">
        <v>4</v>
      </c>
      <c r="J68" s="24" t="s">
        <v>4963</v>
      </c>
      <c r="K68" s="23"/>
      <c r="L68" s="24"/>
    </row>
    <row r="69" spans="1:12" ht="48" customHeight="1">
      <c r="A69" s="15">
        <v>66</v>
      </c>
      <c r="B69" s="16" t="s">
        <v>185</v>
      </c>
      <c r="C69" s="17" t="s">
        <v>187</v>
      </c>
      <c r="D69" s="23" t="s">
        <v>4964</v>
      </c>
      <c r="E69" s="23" t="s">
        <v>4965</v>
      </c>
      <c r="F69" s="23" t="s">
        <v>4966</v>
      </c>
      <c r="G69" s="23" t="s">
        <v>4967</v>
      </c>
      <c r="H69" s="23" t="s">
        <v>4968</v>
      </c>
      <c r="I69" s="24">
        <v>2</v>
      </c>
      <c r="J69" s="24" t="s">
        <v>4969</v>
      </c>
      <c r="K69" s="23" t="s">
        <v>4970</v>
      </c>
      <c r="L69" s="24"/>
    </row>
    <row r="70" spans="1:12" ht="48" customHeight="1">
      <c r="A70" s="15">
        <v>67</v>
      </c>
      <c r="B70" s="16" t="s">
        <v>185</v>
      </c>
      <c r="C70" s="17" t="s">
        <v>187</v>
      </c>
      <c r="D70" s="23" t="s">
        <v>4971</v>
      </c>
      <c r="E70" s="23" t="s">
        <v>4972</v>
      </c>
      <c r="F70" s="23" t="s">
        <v>4973</v>
      </c>
      <c r="G70" s="23" t="s">
        <v>4974</v>
      </c>
      <c r="H70" s="23" t="s">
        <v>4975</v>
      </c>
      <c r="I70" s="24">
        <v>4</v>
      </c>
      <c r="J70" s="24" t="s">
        <v>4976</v>
      </c>
      <c r="K70" s="23" t="s">
        <v>4615</v>
      </c>
      <c r="L70" s="24"/>
    </row>
    <row r="71" spans="1:12" ht="48" customHeight="1">
      <c r="A71" s="15">
        <v>68</v>
      </c>
      <c r="B71" s="16" t="s">
        <v>185</v>
      </c>
      <c r="C71" s="17" t="s">
        <v>187</v>
      </c>
      <c r="D71" s="24" t="s">
        <v>4977</v>
      </c>
      <c r="E71" s="23" t="s">
        <v>4978</v>
      </c>
      <c r="F71" s="23" t="s">
        <v>4979</v>
      </c>
      <c r="G71" s="23" t="s">
        <v>4980</v>
      </c>
      <c r="H71" s="24" t="s">
        <v>4981</v>
      </c>
      <c r="I71" s="24">
        <v>2</v>
      </c>
      <c r="J71" s="24" t="s">
        <v>4982</v>
      </c>
      <c r="K71" s="23"/>
      <c r="L71" s="24"/>
    </row>
    <row r="72" spans="1:12" ht="48" customHeight="1">
      <c r="A72" s="15">
        <v>69</v>
      </c>
      <c r="B72" s="16" t="s">
        <v>185</v>
      </c>
      <c r="C72" s="17" t="s">
        <v>188</v>
      </c>
      <c r="D72" s="23" t="s">
        <v>4983</v>
      </c>
      <c r="E72" s="23" t="s">
        <v>4984</v>
      </c>
      <c r="F72" s="24" t="s">
        <v>4985</v>
      </c>
      <c r="G72" s="24" t="s">
        <v>4986</v>
      </c>
      <c r="H72" s="24" t="s">
        <v>4987</v>
      </c>
      <c r="I72" s="24">
        <v>2</v>
      </c>
      <c r="J72" s="24" t="s">
        <v>4988</v>
      </c>
      <c r="K72" s="23" t="s">
        <v>4989</v>
      </c>
      <c r="L72" s="24"/>
    </row>
    <row r="73" spans="1:12" ht="48" customHeight="1">
      <c r="A73" s="15">
        <v>70</v>
      </c>
      <c r="B73" s="16" t="s">
        <v>185</v>
      </c>
      <c r="C73" s="17" t="s">
        <v>188</v>
      </c>
      <c r="D73" s="23" t="s">
        <v>4990</v>
      </c>
      <c r="E73" s="23" t="s">
        <v>4991</v>
      </c>
      <c r="F73" s="23" t="s">
        <v>4992</v>
      </c>
      <c r="G73" s="23" t="s">
        <v>4993</v>
      </c>
      <c r="H73" s="23" t="s">
        <v>4994</v>
      </c>
      <c r="I73" s="24">
        <v>1</v>
      </c>
      <c r="J73" s="24" t="s">
        <v>4995</v>
      </c>
      <c r="K73" s="23"/>
      <c r="L73" s="24"/>
    </row>
    <row r="74" spans="1:12" ht="48" customHeight="1">
      <c r="A74" s="15">
        <v>71</v>
      </c>
      <c r="B74" s="16" t="s">
        <v>185</v>
      </c>
      <c r="C74" s="17" t="s">
        <v>188</v>
      </c>
      <c r="D74" s="23" t="s">
        <v>4996</v>
      </c>
      <c r="E74" s="23" t="s">
        <v>4997</v>
      </c>
      <c r="F74" s="23" t="s">
        <v>4998</v>
      </c>
      <c r="G74" s="23" t="s">
        <v>4999</v>
      </c>
      <c r="H74" s="23" t="s">
        <v>5000</v>
      </c>
      <c r="I74" s="23">
        <v>3</v>
      </c>
      <c r="J74" s="24" t="s">
        <v>5001</v>
      </c>
      <c r="K74" s="56" t="s">
        <v>5002</v>
      </c>
      <c r="L74" s="23"/>
    </row>
    <row r="75" spans="1:12" ht="48" customHeight="1">
      <c r="A75" s="15">
        <v>72</v>
      </c>
      <c r="B75" s="16" t="s">
        <v>185</v>
      </c>
      <c r="C75" s="17" t="s">
        <v>188</v>
      </c>
      <c r="D75" s="57" t="s">
        <v>5003</v>
      </c>
      <c r="E75" s="58" t="s">
        <v>5004</v>
      </c>
      <c r="F75" s="58" t="s">
        <v>5005</v>
      </c>
      <c r="G75" s="58" t="s">
        <v>5006</v>
      </c>
      <c r="H75" s="58" t="s">
        <v>5007</v>
      </c>
      <c r="I75" s="58">
        <v>2</v>
      </c>
      <c r="J75" s="59" t="s">
        <v>5008</v>
      </c>
      <c r="K75" s="56" t="s">
        <v>5002</v>
      </c>
      <c r="L75" s="23"/>
    </row>
    <row r="76" spans="1:12" ht="55.5" customHeight="1">
      <c r="A76" s="15">
        <v>73</v>
      </c>
      <c r="B76" s="21" t="s">
        <v>185</v>
      </c>
      <c r="C76" s="22" t="s">
        <v>188</v>
      </c>
      <c r="D76" s="23" t="s">
        <v>5009</v>
      </c>
      <c r="E76" s="23" t="s">
        <v>5010</v>
      </c>
      <c r="F76" s="23" t="s">
        <v>5011</v>
      </c>
      <c r="G76" s="23" t="s">
        <v>5012</v>
      </c>
      <c r="H76" s="23" t="s">
        <v>5013</v>
      </c>
      <c r="I76" s="23">
        <v>1</v>
      </c>
      <c r="J76" s="24" t="s">
        <v>5014</v>
      </c>
      <c r="K76" s="23"/>
      <c r="L76" s="23"/>
    </row>
    <row r="77" spans="1:12" ht="42" customHeight="1">
      <c r="A77" s="15">
        <v>74</v>
      </c>
      <c r="B77" s="21" t="s">
        <v>185</v>
      </c>
      <c r="C77" s="22" t="s">
        <v>188</v>
      </c>
      <c r="D77" s="23" t="s">
        <v>5015</v>
      </c>
      <c r="E77" s="23" t="s">
        <v>5016</v>
      </c>
      <c r="F77" s="23" t="s">
        <v>5017</v>
      </c>
      <c r="G77" s="23" t="s">
        <v>5018</v>
      </c>
      <c r="H77" s="23" t="s">
        <v>5019</v>
      </c>
      <c r="I77" s="23">
        <v>2</v>
      </c>
      <c r="J77" s="24" t="s">
        <v>5020</v>
      </c>
      <c r="K77" s="23"/>
      <c r="L77" s="23"/>
    </row>
    <row r="78" spans="1:12" ht="55.5" customHeight="1">
      <c r="A78" s="15">
        <v>75</v>
      </c>
      <c r="B78" s="21" t="s">
        <v>185</v>
      </c>
      <c r="C78" s="22" t="s">
        <v>188</v>
      </c>
      <c r="D78" s="23" t="s">
        <v>5021</v>
      </c>
      <c r="E78" s="23" t="s">
        <v>5022</v>
      </c>
      <c r="F78" s="23" t="s">
        <v>5023</v>
      </c>
      <c r="G78" s="23" t="s">
        <v>5024</v>
      </c>
      <c r="H78" s="23" t="s">
        <v>5025</v>
      </c>
      <c r="I78" s="23">
        <v>4</v>
      </c>
      <c r="J78" s="24" t="s">
        <v>5026</v>
      </c>
      <c r="K78" s="23"/>
      <c r="L78" s="23"/>
    </row>
    <row r="79" spans="1:12" ht="67.5" customHeight="1">
      <c r="A79" s="15">
        <v>76</v>
      </c>
      <c r="B79" s="90" t="s">
        <v>169</v>
      </c>
      <c r="C79" s="90" t="s">
        <v>170</v>
      </c>
      <c r="D79" s="91" t="s">
        <v>5027</v>
      </c>
      <c r="E79" s="90" t="s">
        <v>471</v>
      </c>
      <c r="F79" s="90" t="s">
        <v>472</v>
      </c>
      <c r="G79" s="90" t="s">
        <v>469</v>
      </c>
      <c r="H79" s="90" t="s">
        <v>470</v>
      </c>
      <c r="I79" s="90">
        <v>3</v>
      </c>
      <c r="J79" s="91" t="s">
        <v>1765</v>
      </c>
      <c r="K79" s="90"/>
    </row>
    <row r="80" spans="1:12" ht="67.5" customHeight="1">
      <c r="A80" s="15">
        <v>77</v>
      </c>
      <c r="B80" s="90" t="s">
        <v>169</v>
      </c>
      <c r="C80" s="90" t="s">
        <v>170</v>
      </c>
      <c r="D80" s="91" t="s">
        <v>5028</v>
      </c>
      <c r="E80" s="90" t="s">
        <v>478</v>
      </c>
      <c r="F80" s="90" t="s">
        <v>475</v>
      </c>
      <c r="G80" s="90" t="s">
        <v>476</v>
      </c>
      <c r="H80" s="90" t="s">
        <v>477</v>
      </c>
      <c r="I80" s="90">
        <v>2</v>
      </c>
      <c r="J80" s="91" t="s">
        <v>2439</v>
      </c>
      <c r="K80" s="90"/>
    </row>
    <row r="81" spans="1:11" ht="67.5" customHeight="1">
      <c r="A81" s="15">
        <v>78</v>
      </c>
      <c r="B81" s="90" t="s">
        <v>169</v>
      </c>
      <c r="C81" s="90" t="s">
        <v>170</v>
      </c>
      <c r="D81" s="91" t="s">
        <v>5029</v>
      </c>
      <c r="E81" s="90" t="s">
        <v>1072</v>
      </c>
      <c r="F81" s="90" t="s">
        <v>1070</v>
      </c>
      <c r="G81" s="90" t="s">
        <v>1069</v>
      </c>
      <c r="H81" s="90" t="s">
        <v>1071</v>
      </c>
      <c r="I81" s="90">
        <v>2</v>
      </c>
      <c r="J81" s="91" t="s">
        <v>2812</v>
      </c>
      <c r="K81" s="90"/>
    </row>
    <row r="82" spans="1:11" ht="118.25" customHeight="1">
      <c r="A82" s="15">
        <v>79</v>
      </c>
      <c r="B82" s="90" t="s">
        <v>169</v>
      </c>
      <c r="C82" s="90" t="s">
        <v>171</v>
      </c>
      <c r="D82" s="91" t="s">
        <v>5030</v>
      </c>
      <c r="E82" s="90" t="s">
        <v>5031</v>
      </c>
      <c r="F82" s="90" t="s">
        <v>5032</v>
      </c>
      <c r="G82" s="90" t="s">
        <v>5033</v>
      </c>
      <c r="H82" s="90" t="s">
        <v>5034</v>
      </c>
      <c r="I82" s="90">
        <v>2</v>
      </c>
      <c r="J82" s="91" t="s">
        <v>5035</v>
      </c>
      <c r="K82" s="90"/>
    </row>
    <row r="83" spans="1:11" ht="101.25" customHeight="1">
      <c r="A83" s="15">
        <v>80</v>
      </c>
      <c r="B83" s="90" t="s">
        <v>169</v>
      </c>
      <c r="C83" s="90" t="s">
        <v>171</v>
      </c>
      <c r="D83" s="91" t="s">
        <v>5036</v>
      </c>
      <c r="E83" s="90" t="s">
        <v>5037</v>
      </c>
      <c r="F83" s="90" t="s">
        <v>5034</v>
      </c>
      <c r="G83" s="90" t="s">
        <v>5038</v>
      </c>
      <c r="H83" s="90" t="s">
        <v>5039</v>
      </c>
      <c r="I83" s="90">
        <v>3</v>
      </c>
      <c r="J83" s="91" t="s">
        <v>5040</v>
      </c>
      <c r="K83" s="90"/>
    </row>
    <row r="84" spans="1:11" ht="101.25" customHeight="1">
      <c r="A84" s="15">
        <v>81</v>
      </c>
      <c r="B84" s="90" t="s">
        <v>169</v>
      </c>
      <c r="C84" s="90" t="s">
        <v>170</v>
      </c>
      <c r="D84" s="91" t="s">
        <v>5041</v>
      </c>
      <c r="E84" s="90" t="s">
        <v>5042</v>
      </c>
      <c r="F84" s="90" t="s">
        <v>5043</v>
      </c>
      <c r="G84" s="90" t="s">
        <v>5044</v>
      </c>
      <c r="H84" s="90" t="s">
        <v>5045</v>
      </c>
      <c r="I84" s="90">
        <v>3</v>
      </c>
      <c r="J84" s="91" t="s">
        <v>5046</v>
      </c>
      <c r="K84" s="90"/>
    </row>
    <row r="85" spans="1:11" ht="101.25" customHeight="1">
      <c r="A85" s="15">
        <v>82</v>
      </c>
      <c r="B85" s="90" t="s">
        <v>169</v>
      </c>
      <c r="C85" s="90" t="s">
        <v>171</v>
      </c>
      <c r="D85" s="91" t="s">
        <v>5047</v>
      </c>
      <c r="E85" s="90" t="s">
        <v>5048</v>
      </c>
      <c r="F85" s="90" t="s">
        <v>5049</v>
      </c>
      <c r="G85" s="90" t="s">
        <v>5050</v>
      </c>
      <c r="H85" s="90" t="s">
        <v>5051</v>
      </c>
      <c r="I85" s="90">
        <v>3</v>
      </c>
      <c r="J85" s="91" t="s">
        <v>5052</v>
      </c>
      <c r="K85" s="90"/>
    </row>
    <row r="86" spans="1:11" ht="118.25" customHeight="1">
      <c r="A86" s="15">
        <v>83</v>
      </c>
      <c r="B86" s="90" t="s">
        <v>169</v>
      </c>
      <c r="C86" s="90" t="s">
        <v>170</v>
      </c>
      <c r="D86" s="91" t="s">
        <v>5053</v>
      </c>
      <c r="E86" s="90" t="s">
        <v>5054</v>
      </c>
      <c r="F86" s="90" t="s">
        <v>5055</v>
      </c>
      <c r="G86" s="90" t="s">
        <v>5056</v>
      </c>
      <c r="H86" s="90" t="s">
        <v>5057</v>
      </c>
      <c r="I86" s="90">
        <v>3</v>
      </c>
      <c r="J86" s="91" t="s">
        <v>5058</v>
      </c>
      <c r="K86" s="90"/>
    </row>
    <row r="87" spans="1:11" ht="118.25" customHeight="1">
      <c r="A87" s="15">
        <v>84</v>
      </c>
      <c r="B87" s="90" t="s">
        <v>169</v>
      </c>
      <c r="C87" s="90" t="s">
        <v>172</v>
      </c>
      <c r="D87" s="91" t="s">
        <v>5059</v>
      </c>
      <c r="E87" s="90" t="s">
        <v>5060</v>
      </c>
      <c r="F87" s="90" t="s">
        <v>5061</v>
      </c>
      <c r="G87" s="90" t="s">
        <v>5062</v>
      </c>
      <c r="H87" s="90" t="s">
        <v>5063</v>
      </c>
      <c r="I87" s="90">
        <v>2</v>
      </c>
      <c r="J87" s="91" t="s">
        <v>5064</v>
      </c>
      <c r="K87" s="90"/>
    </row>
    <row r="88" spans="1:11" ht="101.25" customHeight="1">
      <c r="A88" s="15">
        <v>85</v>
      </c>
      <c r="B88" s="90" t="s">
        <v>169</v>
      </c>
      <c r="C88" s="90" t="s">
        <v>171</v>
      </c>
      <c r="D88" s="91" t="s">
        <v>5065</v>
      </c>
      <c r="E88" s="90" t="s">
        <v>5066</v>
      </c>
      <c r="F88" s="90" t="s">
        <v>5067</v>
      </c>
      <c r="G88" s="90" t="s">
        <v>5068</v>
      </c>
      <c r="H88" s="90" t="s">
        <v>5069</v>
      </c>
      <c r="I88" s="90">
        <v>2</v>
      </c>
      <c r="J88" s="91" t="s">
        <v>5070</v>
      </c>
      <c r="K88" s="90"/>
    </row>
    <row r="89" spans="1:11" ht="84.5" customHeight="1">
      <c r="A89" s="15">
        <v>86</v>
      </c>
      <c r="B89" s="90" t="s">
        <v>169</v>
      </c>
      <c r="C89" s="90" t="s">
        <v>170</v>
      </c>
      <c r="D89" s="91" t="s">
        <v>5071</v>
      </c>
      <c r="E89" s="90" t="s">
        <v>5072</v>
      </c>
      <c r="F89" s="90" t="s">
        <v>5073</v>
      </c>
      <c r="G89" s="90" t="s">
        <v>5074</v>
      </c>
      <c r="H89" s="90" t="s">
        <v>5075</v>
      </c>
      <c r="I89" s="90">
        <v>4</v>
      </c>
      <c r="J89" s="91" t="s">
        <v>5076</v>
      </c>
      <c r="K89" s="90"/>
    </row>
    <row r="90" spans="1:11" ht="67.5" customHeight="1">
      <c r="A90" s="15">
        <v>87</v>
      </c>
      <c r="B90" s="90" t="s">
        <v>169</v>
      </c>
      <c r="C90" s="90" t="s">
        <v>171</v>
      </c>
      <c r="D90" s="91" t="s">
        <v>5077</v>
      </c>
      <c r="E90" s="90" t="s">
        <v>5078</v>
      </c>
      <c r="F90" s="90" t="s">
        <v>5034</v>
      </c>
      <c r="G90" s="90" t="s">
        <v>5079</v>
      </c>
      <c r="H90" s="90" t="s">
        <v>5080</v>
      </c>
      <c r="I90" s="90">
        <v>1</v>
      </c>
      <c r="J90" s="91" t="s">
        <v>5081</v>
      </c>
      <c r="K90" s="90"/>
    </row>
    <row r="91" spans="1:11" ht="84.5" customHeight="1">
      <c r="A91" s="15">
        <v>88</v>
      </c>
      <c r="B91" s="90" t="s">
        <v>169</v>
      </c>
      <c r="C91" s="90" t="s">
        <v>171</v>
      </c>
      <c r="D91" s="91" t="s">
        <v>5082</v>
      </c>
      <c r="E91" s="90" t="s">
        <v>5067</v>
      </c>
      <c r="F91" s="90" t="s">
        <v>5083</v>
      </c>
      <c r="G91" s="90" t="s">
        <v>5084</v>
      </c>
      <c r="H91" s="90" t="s">
        <v>5085</v>
      </c>
      <c r="I91" s="90">
        <v>1</v>
      </c>
      <c r="J91" s="91" t="s">
        <v>5086</v>
      </c>
      <c r="K91" s="90"/>
    </row>
    <row r="92" spans="1:11" ht="67.5" customHeight="1">
      <c r="A92" s="15">
        <v>89</v>
      </c>
      <c r="B92" s="90" t="s">
        <v>169</v>
      </c>
      <c r="C92" s="90" t="s">
        <v>171</v>
      </c>
      <c r="D92" s="91" t="s">
        <v>5087</v>
      </c>
      <c r="E92" s="90" t="s">
        <v>5088</v>
      </c>
      <c r="F92" s="90" t="s">
        <v>5089</v>
      </c>
      <c r="G92" s="90" t="s">
        <v>5090</v>
      </c>
      <c r="H92" s="90" t="s">
        <v>5091</v>
      </c>
      <c r="I92" s="90">
        <v>3</v>
      </c>
      <c r="J92" s="91" t="s">
        <v>5092</v>
      </c>
      <c r="K92" s="90"/>
    </row>
    <row r="93" spans="1:11" ht="67.5" customHeight="1">
      <c r="A93" s="15">
        <v>90</v>
      </c>
      <c r="B93" s="90" t="s">
        <v>169</v>
      </c>
      <c r="C93" s="90" t="s">
        <v>172</v>
      </c>
      <c r="D93" s="91" t="s">
        <v>5093</v>
      </c>
      <c r="E93" s="90" t="s">
        <v>5094</v>
      </c>
      <c r="F93" s="90" t="s">
        <v>5095</v>
      </c>
      <c r="G93" s="90" t="s">
        <v>5096</v>
      </c>
      <c r="H93" s="90" t="s">
        <v>5097</v>
      </c>
      <c r="I93" s="90">
        <v>2</v>
      </c>
      <c r="J93" s="91" t="s">
        <v>5098</v>
      </c>
      <c r="K93" s="90"/>
    </row>
    <row r="94" spans="1:11" ht="67.5" customHeight="1">
      <c r="A94" s="15">
        <v>91</v>
      </c>
      <c r="B94" s="87" t="s">
        <v>173</v>
      </c>
      <c r="C94" s="87" t="s">
        <v>174</v>
      </c>
      <c r="D94" s="88" t="s">
        <v>5099</v>
      </c>
      <c r="E94" s="87" t="s">
        <v>469</v>
      </c>
      <c r="F94" s="87" t="s">
        <v>471</v>
      </c>
      <c r="G94" s="87" t="s">
        <v>472</v>
      </c>
      <c r="H94" s="87" t="s">
        <v>470</v>
      </c>
      <c r="I94" s="87">
        <v>1</v>
      </c>
      <c r="J94" s="88" t="s">
        <v>473</v>
      </c>
      <c r="K94" s="87"/>
    </row>
    <row r="95" spans="1:11" ht="67.5" customHeight="1">
      <c r="A95" s="15">
        <v>92</v>
      </c>
      <c r="B95" s="87" t="s">
        <v>173</v>
      </c>
      <c r="C95" s="87" t="s">
        <v>174</v>
      </c>
      <c r="D95" s="88" t="s">
        <v>5100</v>
      </c>
      <c r="E95" s="87" t="s">
        <v>475</v>
      </c>
      <c r="F95" s="87" t="s">
        <v>476</v>
      </c>
      <c r="G95" s="87" t="s">
        <v>478</v>
      </c>
      <c r="H95" s="87" t="s">
        <v>477</v>
      </c>
      <c r="I95" s="87">
        <v>1</v>
      </c>
      <c r="J95" s="88" t="s">
        <v>479</v>
      </c>
      <c r="K95" s="87"/>
    </row>
    <row r="96" spans="1:11" ht="67.5" customHeight="1">
      <c r="A96" s="15">
        <v>93</v>
      </c>
      <c r="B96" s="87" t="s">
        <v>173</v>
      </c>
      <c r="C96" s="87" t="s">
        <v>174</v>
      </c>
      <c r="D96" s="88" t="s">
        <v>5101</v>
      </c>
      <c r="E96" s="87" t="s">
        <v>1072</v>
      </c>
      <c r="F96" s="87" t="s">
        <v>1069</v>
      </c>
      <c r="G96" s="87" t="s">
        <v>1071</v>
      </c>
      <c r="H96" s="87" t="s">
        <v>1070</v>
      </c>
      <c r="I96" s="87">
        <v>4</v>
      </c>
      <c r="J96" s="88" t="s">
        <v>485</v>
      </c>
      <c r="K96" s="87"/>
    </row>
    <row r="97" spans="1:11" ht="118.25" customHeight="1">
      <c r="A97" s="15">
        <v>94</v>
      </c>
      <c r="B97" s="87" t="s">
        <v>173</v>
      </c>
      <c r="C97" s="87" t="s">
        <v>174</v>
      </c>
      <c r="D97" s="88" t="s">
        <v>5102</v>
      </c>
      <c r="E97" s="87" t="s">
        <v>5103</v>
      </c>
      <c r="F97" s="87" t="s">
        <v>5104</v>
      </c>
      <c r="G97" s="87" t="s">
        <v>5105</v>
      </c>
      <c r="H97" s="87" t="s">
        <v>5106</v>
      </c>
      <c r="I97" s="87">
        <v>2</v>
      </c>
      <c r="J97" s="88" t="s">
        <v>5107</v>
      </c>
      <c r="K97" s="87"/>
    </row>
    <row r="98" spans="1:11" ht="101.25" customHeight="1">
      <c r="A98" s="15">
        <v>95</v>
      </c>
      <c r="B98" s="87" t="s">
        <v>173</v>
      </c>
      <c r="C98" s="87" t="s">
        <v>176</v>
      </c>
      <c r="D98" s="88" t="s">
        <v>5108</v>
      </c>
      <c r="E98" s="87" t="s">
        <v>5109</v>
      </c>
      <c r="F98" s="87" t="s">
        <v>5110</v>
      </c>
      <c r="G98" s="87" t="s">
        <v>5111</v>
      </c>
      <c r="H98" s="87" t="s">
        <v>5112</v>
      </c>
      <c r="I98" s="87">
        <v>4</v>
      </c>
      <c r="J98" s="88" t="s">
        <v>5113</v>
      </c>
      <c r="K98" s="87"/>
    </row>
    <row r="99" spans="1:11" ht="83.75" customHeight="1">
      <c r="A99" s="15">
        <v>96</v>
      </c>
      <c r="B99" s="87" t="s">
        <v>173</v>
      </c>
      <c r="C99" s="87" t="s">
        <v>176</v>
      </c>
      <c r="D99" s="88" t="s">
        <v>5114</v>
      </c>
      <c r="E99" s="87" t="s">
        <v>5115</v>
      </c>
      <c r="F99" s="87" t="s">
        <v>4766</v>
      </c>
      <c r="G99" s="87" t="s">
        <v>4767</v>
      </c>
      <c r="H99" s="87" t="s">
        <v>5116</v>
      </c>
      <c r="I99" s="87">
        <v>2</v>
      </c>
      <c r="J99" s="88" t="s">
        <v>5117</v>
      </c>
      <c r="K99" s="87"/>
    </row>
    <row r="100" spans="1:11" ht="101.25" customHeight="1">
      <c r="A100" s="15">
        <v>97</v>
      </c>
      <c r="B100" s="87" t="s">
        <v>173</v>
      </c>
      <c r="C100" s="87" t="s">
        <v>174</v>
      </c>
      <c r="D100" s="88" t="s">
        <v>5118</v>
      </c>
      <c r="E100" s="87" t="s">
        <v>5119</v>
      </c>
      <c r="F100" s="87" t="s">
        <v>5120</v>
      </c>
      <c r="G100" s="87" t="s">
        <v>5121</v>
      </c>
      <c r="H100" s="87" t="s">
        <v>5122</v>
      </c>
      <c r="I100" s="87">
        <v>4</v>
      </c>
      <c r="J100" s="88" t="s">
        <v>5123</v>
      </c>
      <c r="K100" s="87"/>
    </row>
    <row r="101" spans="1:11" ht="118.25" customHeight="1">
      <c r="A101" s="15">
        <v>98</v>
      </c>
      <c r="B101" s="87" t="s">
        <v>173</v>
      </c>
      <c r="C101" s="87" t="s">
        <v>175</v>
      </c>
      <c r="D101" s="88" t="s">
        <v>5124</v>
      </c>
      <c r="E101" s="87" t="s">
        <v>5125</v>
      </c>
      <c r="F101" s="87" t="s">
        <v>5126</v>
      </c>
      <c r="G101" s="87" t="s">
        <v>5127</v>
      </c>
      <c r="H101" s="87" t="s">
        <v>5128</v>
      </c>
      <c r="I101" s="87">
        <v>1</v>
      </c>
      <c r="J101" s="88" t="s">
        <v>5129</v>
      </c>
      <c r="K101" s="87"/>
    </row>
    <row r="102" spans="1:11" ht="101.25" customHeight="1">
      <c r="A102" s="15">
        <v>99</v>
      </c>
      <c r="B102" s="87" t="s">
        <v>173</v>
      </c>
      <c r="C102" s="87" t="s">
        <v>174</v>
      </c>
      <c r="D102" s="88" t="s">
        <v>5130</v>
      </c>
      <c r="E102" s="87" t="s">
        <v>5131</v>
      </c>
      <c r="F102" s="87" t="s">
        <v>5132</v>
      </c>
      <c r="G102" s="87" t="s">
        <v>5133</v>
      </c>
      <c r="H102" s="87" t="s">
        <v>5134</v>
      </c>
      <c r="I102" s="87">
        <v>1</v>
      </c>
      <c r="J102" s="88" t="s">
        <v>5135</v>
      </c>
      <c r="K102" s="87"/>
    </row>
    <row r="103" spans="1:11" ht="118.25" customHeight="1">
      <c r="A103" s="15">
        <v>100</v>
      </c>
      <c r="B103" s="87" t="s">
        <v>173</v>
      </c>
      <c r="C103" s="87" t="s">
        <v>177</v>
      </c>
      <c r="D103" s="88" t="s">
        <v>5136</v>
      </c>
      <c r="E103" s="87" t="s">
        <v>5137</v>
      </c>
      <c r="F103" s="87" t="s">
        <v>5138</v>
      </c>
      <c r="G103" s="87" t="s">
        <v>5139</v>
      </c>
      <c r="H103" s="87" t="s">
        <v>5140</v>
      </c>
      <c r="I103" s="87">
        <v>2</v>
      </c>
      <c r="J103" s="88" t="s">
        <v>5141</v>
      </c>
      <c r="K103" s="87"/>
    </row>
    <row r="104" spans="1:11" ht="67.5" customHeight="1">
      <c r="A104" s="15">
        <v>101</v>
      </c>
      <c r="B104" s="87" t="s">
        <v>173</v>
      </c>
      <c r="C104" s="87" t="s">
        <v>176</v>
      </c>
      <c r="D104" s="88" t="s">
        <v>5142</v>
      </c>
      <c r="E104" s="87" t="s">
        <v>5143</v>
      </c>
      <c r="F104" s="87" t="s">
        <v>5144</v>
      </c>
      <c r="G104" s="87" t="s">
        <v>5145</v>
      </c>
      <c r="H104" s="87" t="s">
        <v>5146</v>
      </c>
      <c r="I104" s="87">
        <v>1</v>
      </c>
      <c r="J104" s="88" t="s">
        <v>5147</v>
      </c>
      <c r="K104" s="87"/>
    </row>
    <row r="105" spans="1:11" ht="67.5" customHeight="1">
      <c r="A105" s="15">
        <v>102</v>
      </c>
      <c r="B105" s="87" t="s">
        <v>173</v>
      </c>
      <c r="C105" s="87" t="s">
        <v>176</v>
      </c>
      <c r="D105" s="88" t="s">
        <v>5148</v>
      </c>
      <c r="E105" s="87" t="s">
        <v>5149</v>
      </c>
      <c r="F105" s="87" t="s">
        <v>5150</v>
      </c>
      <c r="G105" s="87" t="s">
        <v>5151</v>
      </c>
      <c r="H105" s="87" t="s">
        <v>5152</v>
      </c>
      <c r="I105" s="87">
        <v>4</v>
      </c>
      <c r="J105" s="88" t="s">
        <v>5153</v>
      </c>
      <c r="K105" s="87"/>
    </row>
    <row r="106" spans="1:11" ht="67.5" customHeight="1">
      <c r="A106" s="15">
        <v>103</v>
      </c>
      <c r="B106" s="87" t="s">
        <v>173</v>
      </c>
      <c r="C106" s="87" t="s">
        <v>174</v>
      </c>
      <c r="D106" s="88" t="s">
        <v>5154</v>
      </c>
      <c r="E106" s="87" t="s">
        <v>5155</v>
      </c>
      <c r="F106" s="87" t="s">
        <v>5156</v>
      </c>
      <c r="G106" s="87" t="s">
        <v>5157</v>
      </c>
      <c r="H106" s="87" t="s">
        <v>5158</v>
      </c>
      <c r="I106" s="87">
        <v>4</v>
      </c>
      <c r="J106" s="88" t="s">
        <v>5159</v>
      </c>
      <c r="K106" s="87"/>
    </row>
    <row r="107" spans="1:11" ht="67.5" customHeight="1">
      <c r="A107" s="15">
        <v>104</v>
      </c>
      <c r="B107" s="87" t="s">
        <v>173</v>
      </c>
      <c r="C107" s="87" t="s">
        <v>175</v>
      </c>
      <c r="D107" s="88" t="s">
        <v>5160</v>
      </c>
      <c r="E107" s="87" t="s">
        <v>5161</v>
      </c>
      <c r="F107" s="87" t="s">
        <v>5162</v>
      </c>
      <c r="G107" s="87" t="s">
        <v>5163</v>
      </c>
      <c r="H107" s="87" t="s">
        <v>5164</v>
      </c>
      <c r="I107" s="87">
        <v>1</v>
      </c>
      <c r="J107" s="88" t="s">
        <v>5165</v>
      </c>
      <c r="K107" s="87"/>
    </row>
    <row r="108" spans="1:11" ht="67.5" customHeight="1">
      <c r="A108" s="15">
        <v>105</v>
      </c>
      <c r="B108" s="87" t="s">
        <v>173</v>
      </c>
      <c r="C108" s="87" t="s">
        <v>177</v>
      </c>
      <c r="D108" s="88" t="s">
        <v>5166</v>
      </c>
      <c r="E108" s="87" t="s">
        <v>5167</v>
      </c>
      <c r="F108" s="87" t="s">
        <v>5168</v>
      </c>
      <c r="G108" s="87" t="s">
        <v>5169</v>
      </c>
      <c r="H108" s="87" t="s">
        <v>5170</v>
      </c>
      <c r="I108" s="87">
        <v>4</v>
      </c>
      <c r="J108" s="88" t="s">
        <v>5171</v>
      </c>
      <c r="K108" s="87"/>
    </row>
    <row r="109" spans="1:11" ht="67.5" customHeight="1">
      <c r="A109" s="15">
        <v>106</v>
      </c>
      <c r="B109" s="90" t="s">
        <v>178</v>
      </c>
      <c r="C109" s="90" t="s">
        <v>180</v>
      </c>
      <c r="D109" s="91" t="s">
        <v>5172</v>
      </c>
      <c r="E109" s="90" t="s">
        <v>469</v>
      </c>
      <c r="F109" s="90" t="s">
        <v>471</v>
      </c>
      <c r="G109" s="90" t="s">
        <v>470</v>
      </c>
      <c r="H109" s="90" t="s">
        <v>472</v>
      </c>
      <c r="I109" s="90">
        <v>1</v>
      </c>
      <c r="J109" s="91" t="s">
        <v>473</v>
      </c>
      <c r="K109" s="90"/>
    </row>
    <row r="110" spans="1:11" ht="67.5" customHeight="1">
      <c r="A110" s="15">
        <v>107</v>
      </c>
      <c r="B110" s="90" t="s">
        <v>178</v>
      </c>
      <c r="C110" s="90" t="s">
        <v>180</v>
      </c>
      <c r="D110" s="91" t="s">
        <v>5173</v>
      </c>
      <c r="E110" s="90" t="s">
        <v>477</v>
      </c>
      <c r="F110" s="90" t="s">
        <v>475</v>
      </c>
      <c r="G110" s="90" t="s">
        <v>476</v>
      </c>
      <c r="H110" s="90" t="s">
        <v>478</v>
      </c>
      <c r="I110" s="90">
        <v>2</v>
      </c>
      <c r="J110" s="91" t="s">
        <v>2439</v>
      </c>
      <c r="K110" s="90"/>
    </row>
    <row r="111" spans="1:11" ht="67.5" customHeight="1">
      <c r="A111" s="15">
        <v>108</v>
      </c>
      <c r="B111" s="90" t="s">
        <v>178</v>
      </c>
      <c r="C111" s="90" t="s">
        <v>180</v>
      </c>
      <c r="D111" s="91" t="s">
        <v>5174</v>
      </c>
      <c r="E111" s="90" t="s">
        <v>1072</v>
      </c>
      <c r="F111" s="90" t="s">
        <v>1070</v>
      </c>
      <c r="G111" s="90" t="s">
        <v>1071</v>
      </c>
      <c r="H111" s="90" t="s">
        <v>1069</v>
      </c>
      <c r="I111" s="90">
        <v>2</v>
      </c>
      <c r="J111" s="91" t="s">
        <v>2812</v>
      </c>
      <c r="K111" s="90"/>
    </row>
    <row r="112" spans="1:11" ht="84.5" customHeight="1">
      <c r="A112" s="15">
        <v>109</v>
      </c>
      <c r="B112" s="90" t="s">
        <v>178</v>
      </c>
      <c r="C112" s="90" t="s">
        <v>180</v>
      </c>
      <c r="D112" s="91" t="s">
        <v>5175</v>
      </c>
      <c r="E112" s="90" t="s">
        <v>5176</v>
      </c>
      <c r="F112" s="90" t="s">
        <v>5177</v>
      </c>
      <c r="G112" s="90" t="s">
        <v>5178</v>
      </c>
      <c r="H112" s="90" t="s">
        <v>5179</v>
      </c>
      <c r="I112" s="90">
        <v>3</v>
      </c>
      <c r="J112" s="91" t="s">
        <v>5180</v>
      </c>
      <c r="K112" s="90"/>
    </row>
    <row r="113" spans="1:11" ht="101.25" customHeight="1">
      <c r="A113" s="15">
        <v>110</v>
      </c>
      <c r="B113" s="90" t="s">
        <v>178</v>
      </c>
      <c r="C113" s="90" t="s">
        <v>180</v>
      </c>
      <c r="D113" s="91" t="s">
        <v>5181</v>
      </c>
      <c r="E113" s="90" t="s">
        <v>5182</v>
      </c>
      <c r="F113" s="90" t="s">
        <v>5183</v>
      </c>
      <c r="G113" s="90" t="s">
        <v>5184</v>
      </c>
      <c r="H113" s="90" t="s">
        <v>5185</v>
      </c>
      <c r="I113" s="90">
        <v>4</v>
      </c>
      <c r="J113" s="91" t="s">
        <v>5186</v>
      </c>
      <c r="K113" s="90"/>
    </row>
    <row r="114" spans="1:11" ht="101.25" customHeight="1">
      <c r="A114" s="15">
        <v>111</v>
      </c>
      <c r="B114" s="90" t="s">
        <v>173</v>
      </c>
      <c r="C114" s="90" t="s">
        <v>175</v>
      </c>
      <c r="D114" s="91" t="s">
        <v>5187</v>
      </c>
      <c r="E114" s="90" t="s">
        <v>5188</v>
      </c>
      <c r="F114" s="90" t="s">
        <v>5189</v>
      </c>
      <c r="G114" s="90" t="s">
        <v>5190</v>
      </c>
      <c r="H114" s="90" t="s">
        <v>5191</v>
      </c>
      <c r="I114" s="90">
        <v>2</v>
      </c>
      <c r="J114" s="91" t="s">
        <v>5192</v>
      </c>
      <c r="K114" s="90"/>
    </row>
    <row r="115" spans="1:11" ht="118.25" customHeight="1">
      <c r="A115" s="15">
        <v>112</v>
      </c>
      <c r="B115" s="90" t="s">
        <v>178</v>
      </c>
      <c r="C115" s="90" t="s">
        <v>181</v>
      </c>
      <c r="D115" s="91" t="s">
        <v>5193</v>
      </c>
      <c r="E115" s="90" t="s">
        <v>5194</v>
      </c>
      <c r="F115" s="90" t="s">
        <v>5195</v>
      </c>
      <c r="G115" s="90" t="s">
        <v>5196</v>
      </c>
      <c r="H115" s="90" t="s">
        <v>5197</v>
      </c>
      <c r="I115" s="90">
        <v>3</v>
      </c>
      <c r="J115" s="91" t="s">
        <v>5198</v>
      </c>
      <c r="K115" s="90"/>
    </row>
    <row r="116" spans="1:11" ht="118.25" customHeight="1">
      <c r="A116" s="15">
        <v>113</v>
      </c>
      <c r="B116" s="90" t="s">
        <v>185</v>
      </c>
      <c r="C116" s="90" t="s">
        <v>187</v>
      </c>
      <c r="D116" s="91" t="s">
        <v>5199</v>
      </c>
      <c r="E116" s="90" t="s">
        <v>5200</v>
      </c>
      <c r="F116" s="90" t="s">
        <v>5201</v>
      </c>
      <c r="G116" s="90" t="s">
        <v>5202</v>
      </c>
      <c r="H116" s="90" t="s">
        <v>5203</v>
      </c>
      <c r="I116" s="90">
        <v>3</v>
      </c>
      <c r="J116" s="91" t="s">
        <v>5204</v>
      </c>
      <c r="K116" s="90"/>
    </row>
    <row r="117" spans="1:11" ht="101.25" customHeight="1">
      <c r="A117" s="15">
        <v>114</v>
      </c>
      <c r="B117" s="90" t="s">
        <v>178</v>
      </c>
      <c r="C117" s="90" t="s">
        <v>179</v>
      </c>
      <c r="D117" s="91" t="s">
        <v>5205</v>
      </c>
      <c r="E117" s="90" t="s">
        <v>5206</v>
      </c>
      <c r="F117" s="90" t="s">
        <v>5207</v>
      </c>
      <c r="G117" s="90" t="s">
        <v>5208</v>
      </c>
      <c r="H117" s="90" t="s">
        <v>5209</v>
      </c>
      <c r="I117" s="90">
        <v>3</v>
      </c>
      <c r="J117" s="91" t="s">
        <v>5210</v>
      </c>
      <c r="K117" s="90"/>
    </row>
    <row r="118" spans="1:11" ht="118.25" customHeight="1">
      <c r="A118" s="15">
        <v>115</v>
      </c>
      <c r="B118" s="90" t="s">
        <v>178</v>
      </c>
      <c r="C118" s="90" t="s">
        <v>180</v>
      </c>
      <c r="D118" s="91" t="s">
        <v>5211</v>
      </c>
      <c r="E118" s="90" t="s">
        <v>5212</v>
      </c>
      <c r="F118" s="90" t="s">
        <v>5213</v>
      </c>
      <c r="G118" s="90" t="s">
        <v>5214</v>
      </c>
      <c r="H118" s="90" t="s">
        <v>5215</v>
      </c>
      <c r="I118" s="90">
        <v>4</v>
      </c>
      <c r="J118" s="91" t="s">
        <v>5216</v>
      </c>
      <c r="K118" s="90"/>
    </row>
    <row r="119" spans="1:11" ht="67.5" customHeight="1">
      <c r="A119" s="15">
        <v>116</v>
      </c>
      <c r="B119" s="90" t="s">
        <v>178</v>
      </c>
      <c r="C119" s="90" t="s">
        <v>180</v>
      </c>
      <c r="D119" s="91" t="s">
        <v>5217</v>
      </c>
      <c r="E119" s="90" t="s">
        <v>5218</v>
      </c>
      <c r="F119" s="90" t="s">
        <v>5219</v>
      </c>
      <c r="G119" s="90" t="s">
        <v>5220</v>
      </c>
      <c r="H119" s="90" t="s">
        <v>5221</v>
      </c>
      <c r="I119" s="90">
        <v>4</v>
      </c>
      <c r="J119" s="91" t="s">
        <v>5222</v>
      </c>
      <c r="K119" s="90"/>
    </row>
    <row r="120" spans="1:11" ht="84.5" customHeight="1">
      <c r="A120" s="15">
        <v>117</v>
      </c>
      <c r="B120" s="90" t="s">
        <v>178</v>
      </c>
      <c r="C120" s="90" t="s">
        <v>180</v>
      </c>
      <c r="D120" s="91" t="s">
        <v>5223</v>
      </c>
      <c r="E120" s="90" t="s">
        <v>5224</v>
      </c>
      <c r="F120" s="90" t="s">
        <v>5225</v>
      </c>
      <c r="G120" s="90" t="s">
        <v>5226</v>
      </c>
      <c r="H120" s="90" t="s">
        <v>5227</v>
      </c>
      <c r="I120" s="90">
        <v>1</v>
      </c>
      <c r="J120" s="91" t="s">
        <v>5228</v>
      </c>
      <c r="K120" s="90"/>
    </row>
    <row r="121" spans="1:11" ht="84.5" customHeight="1">
      <c r="A121" s="15">
        <v>118</v>
      </c>
      <c r="B121" s="90" t="s">
        <v>178</v>
      </c>
      <c r="C121" s="90" t="s">
        <v>179</v>
      </c>
      <c r="D121" s="91" t="s">
        <v>5229</v>
      </c>
      <c r="E121" s="90" t="s">
        <v>5230</v>
      </c>
      <c r="F121" s="90" t="s">
        <v>5231</v>
      </c>
      <c r="G121" s="90" t="s">
        <v>5232</v>
      </c>
      <c r="H121" s="90" t="s">
        <v>5233</v>
      </c>
      <c r="I121" s="90">
        <v>4</v>
      </c>
      <c r="J121" s="91" t="s">
        <v>5234</v>
      </c>
      <c r="K121" s="90"/>
    </row>
    <row r="122" spans="1:11" ht="101.25" customHeight="1">
      <c r="A122" s="15">
        <v>119</v>
      </c>
      <c r="B122" s="90" t="s">
        <v>178</v>
      </c>
      <c r="C122" s="90" t="s">
        <v>179</v>
      </c>
      <c r="D122" s="91" t="s">
        <v>5235</v>
      </c>
      <c r="E122" s="90" t="s">
        <v>5236</v>
      </c>
      <c r="F122" s="90" t="s">
        <v>5237</v>
      </c>
      <c r="G122" s="90" t="s">
        <v>5238</v>
      </c>
      <c r="H122" s="90" t="s">
        <v>5239</v>
      </c>
      <c r="I122" s="90">
        <v>4</v>
      </c>
      <c r="J122" s="91" t="s">
        <v>5240</v>
      </c>
      <c r="K122" s="90"/>
    </row>
    <row r="123" spans="1:11" ht="50.75" customHeight="1">
      <c r="A123" s="15">
        <v>120</v>
      </c>
      <c r="B123" s="90" t="s">
        <v>178</v>
      </c>
      <c r="C123" s="90" t="s">
        <v>180</v>
      </c>
      <c r="D123" s="91" t="s">
        <v>5241</v>
      </c>
      <c r="E123" s="90" t="s">
        <v>5242</v>
      </c>
      <c r="F123" s="90" t="s">
        <v>5243</v>
      </c>
      <c r="G123" s="90" t="s">
        <v>5244</v>
      </c>
      <c r="H123" s="90" t="s">
        <v>5245</v>
      </c>
      <c r="I123" s="90">
        <v>1</v>
      </c>
      <c r="J123" s="91" t="s">
        <v>5246</v>
      </c>
      <c r="K123" s="90"/>
    </row>
    <row r="124" spans="1:11" ht="67.5" customHeight="1">
      <c r="A124" s="15">
        <v>121</v>
      </c>
      <c r="B124" s="90" t="s">
        <v>182</v>
      </c>
      <c r="C124" s="90" t="s">
        <v>183</v>
      </c>
      <c r="D124" s="91" t="s">
        <v>5247</v>
      </c>
      <c r="E124" s="90" t="s">
        <v>470</v>
      </c>
      <c r="F124" s="90" t="s">
        <v>471</v>
      </c>
      <c r="G124" s="90" t="s">
        <v>469</v>
      </c>
      <c r="H124" s="90" t="s">
        <v>472</v>
      </c>
      <c r="I124" s="90">
        <v>3</v>
      </c>
      <c r="J124" s="91" t="s">
        <v>1765</v>
      </c>
      <c r="K124" s="90"/>
    </row>
    <row r="125" spans="1:11" ht="67.5" customHeight="1">
      <c r="A125" s="15">
        <v>122</v>
      </c>
      <c r="B125" s="90" t="s">
        <v>182</v>
      </c>
      <c r="C125" s="90" t="s">
        <v>183</v>
      </c>
      <c r="D125" s="91" t="s">
        <v>5248</v>
      </c>
      <c r="E125" s="90" t="s">
        <v>477</v>
      </c>
      <c r="F125" s="90" t="s">
        <v>478</v>
      </c>
      <c r="G125" s="90" t="s">
        <v>475</v>
      </c>
      <c r="H125" s="90" t="s">
        <v>476</v>
      </c>
      <c r="I125" s="90">
        <v>3</v>
      </c>
      <c r="J125" s="91" t="s">
        <v>1767</v>
      </c>
      <c r="K125" s="90"/>
    </row>
    <row r="126" spans="1:11" ht="67.5" customHeight="1">
      <c r="A126" s="15">
        <v>123</v>
      </c>
      <c r="B126" s="90" t="s">
        <v>182</v>
      </c>
      <c r="C126" s="90" t="s">
        <v>183</v>
      </c>
      <c r="D126" s="91" t="s">
        <v>5249</v>
      </c>
      <c r="E126" s="90" t="s">
        <v>1069</v>
      </c>
      <c r="F126" s="90" t="s">
        <v>1072</v>
      </c>
      <c r="G126" s="90" t="s">
        <v>1071</v>
      </c>
      <c r="H126" s="90" t="s">
        <v>1070</v>
      </c>
      <c r="I126" s="90">
        <v>4</v>
      </c>
      <c r="J126" s="91" t="s">
        <v>485</v>
      </c>
      <c r="K126" s="90"/>
    </row>
    <row r="127" spans="1:11" ht="101.25" customHeight="1">
      <c r="A127" s="15">
        <v>124</v>
      </c>
      <c r="B127" s="90" t="s">
        <v>182</v>
      </c>
      <c r="C127" s="90" t="s">
        <v>183</v>
      </c>
      <c r="D127" s="91" t="s">
        <v>5250</v>
      </c>
      <c r="E127" s="90" t="s">
        <v>5251</v>
      </c>
      <c r="F127" s="90" t="s">
        <v>5252</v>
      </c>
      <c r="G127" s="90" t="s">
        <v>5253</v>
      </c>
      <c r="H127" s="90" t="s">
        <v>5254</v>
      </c>
      <c r="I127" s="90">
        <v>2</v>
      </c>
      <c r="J127" s="91" t="s">
        <v>5255</v>
      </c>
      <c r="K127" s="90"/>
    </row>
    <row r="128" spans="1:11" ht="84.5" customHeight="1">
      <c r="A128" s="15">
        <v>125</v>
      </c>
      <c r="B128" s="90" t="s">
        <v>182</v>
      </c>
      <c r="C128" s="90" t="s">
        <v>183</v>
      </c>
      <c r="D128" s="91" t="s">
        <v>5256</v>
      </c>
      <c r="E128" s="90" t="s">
        <v>5257</v>
      </c>
      <c r="F128" s="90" t="s">
        <v>5258</v>
      </c>
      <c r="G128" s="90" t="s">
        <v>5259</v>
      </c>
      <c r="H128" s="90" t="s">
        <v>5260</v>
      </c>
      <c r="I128" s="90">
        <v>2</v>
      </c>
      <c r="J128" s="91" t="s">
        <v>5261</v>
      </c>
      <c r="K128" s="90"/>
    </row>
    <row r="129" spans="1:11" ht="84.5" customHeight="1">
      <c r="A129" s="15">
        <v>126</v>
      </c>
      <c r="B129" s="90" t="s">
        <v>182</v>
      </c>
      <c r="C129" s="90" t="s">
        <v>183</v>
      </c>
      <c r="D129" s="91" t="s">
        <v>5262</v>
      </c>
      <c r="E129" s="90" t="s">
        <v>5263</v>
      </c>
      <c r="F129" s="90" t="s">
        <v>5264</v>
      </c>
      <c r="G129" s="90" t="s">
        <v>5265</v>
      </c>
      <c r="H129" s="90" t="s">
        <v>5266</v>
      </c>
      <c r="I129" s="90">
        <v>2</v>
      </c>
      <c r="J129" s="91" t="s">
        <v>5267</v>
      </c>
      <c r="K129" s="90"/>
    </row>
    <row r="130" spans="1:11" ht="118.25" customHeight="1">
      <c r="A130" s="15">
        <v>127</v>
      </c>
      <c r="B130" s="90" t="s">
        <v>182</v>
      </c>
      <c r="C130" s="90" t="s">
        <v>183</v>
      </c>
      <c r="D130" s="91" t="s">
        <v>5268</v>
      </c>
      <c r="E130" s="90" t="s">
        <v>5269</v>
      </c>
      <c r="F130" s="90" t="s">
        <v>5270</v>
      </c>
      <c r="G130" s="90" t="s">
        <v>5271</v>
      </c>
      <c r="H130" s="90" t="s">
        <v>5272</v>
      </c>
      <c r="I130" s="90">
        <v>2</v>
      </c>
      <c r="J130" s="91" t="s">
        <v>5273</v>
      </c>
      <c r="K130" s="90"/>
    </row>
    <row r="131" spans="1:11" ht="84.5" customHeight="1">
      <c r="A131" s="15">
        <v>128</v>
      </c>
      <c r="B131" s="90" t="s">
        <v>182</v>
      </c>
      <c r="C131" s="90" t="s">
        <v>183</v>
      </c>
      <c r="D131" s="91" t="s">
        <v>5274</v>
      </c>
      <c r="E131" s="90" t="s">
        <v>5275</v>
      </c>
      <c r="F131" s="90" t="s">
        <v>5276</v>
      </c>
      <c r="G131" s="90" t="s">
        <v>5277</v>
      </c>
      <c r="H131" s="90" t="s">
        <v>5278</v>
      </c>
      <c r="I131" s="90">
        <v>2</v>
      </c>
      <c r="J131" s="91" t="s">
        <v>5279</v>
      </c>
      <c r="K131" s="90"/>
    </row>
    <row r="132" spans="1:11" ht="118.25" customHeight="1">
      <c r="A132" s="15">
        <v>129</v>
      </c>
      <c r="B132" s="90" t="s">
        <v>182</v>
      </c>
      <c r="C132" s="90" t="s">
        <v>184</v>
      </c>
      <c r="D132" s="91" t="s">
        <v>5280</v>
      </c>
      <c r="E132" s="90" t="s">
        <v>5281</v>
      </c>
      <c r="F132" s="90" t="s">
        <v>5282</v>
      </c>
      <c r="G132" s="90" t="s">
        <v>5283</v>
      </c>
      <c r="H132" s="90" t="s">
        <v>5284</v>
      </c>
      <c r="I132" s="90">
        <v>2</v>
      </c>
      <c r="J132" s="91" t="s">
        <v>5285</v>
      </c>
      <c r="K132" s="90"/>
    </row>
    <row r="133" spans="1:11" ht="101.25" customHeight="1">
      <c r="A133" s="15">
        <v>130</v>
      </c>
      <c r="B133" s="90" t="s">
        <v>182</v>
      </c>
      <c r="C133" s="90" t="s">
        <v>184</v>
      </c>
      <c r="D133" s="91" t="s">
        <v>5286</v>
      </c>
      <c r="E133" s="90" t="s">
        <v>5287</v>
      </c>
      <c r="F133" s="90" t="s">
        <v>5288</v>
      </c>
      <c r="G133" s="90" t="s">
        <v>5289</v>
      </c>
      <c r="H133" s="90" t="s">
        <v>5290</v>
      </c>
      <c r="I133" s="90">
        <v>3</v>
      </c>
      <c r="J133" s="91" t="s">
        <v>5291</v>
      </c>
      <c r="K133" s="90"/>
    </row>
    <row r="134" spans="1:11" ht="101.25" customHeight="1">
      <c r="A134" s="15">
        <v>131</v>
      </c>
      <c r="B134" s="90" t="s">
        <v>182</v>
      </c>
      <c r="C134" s="90" t="s">
        <v>183</v>
      </c>
      <c r="D134" s="91" t="s">
        <v>5292</v>
      </c>
      <c r="E134" s="90" t="s">
        <v>5293</v>
      </c>
      <c r="F134" s="90" t="s">
        <v>5294</v>
      </c>
      <c r="G134" s="90" t="s">
        <v>5295</v>
      </c>
      <c r="H134" s="90" t="s">
        <v>5296</v>
      </c>
      <c r="I134" s="90">
        <v>1</v>
      </c>
      <c r="J134" s="91" t="s">
        <v>5297</v>
      </c>
      <c r="K134" s="90"/>
    </row>
    <row r="135" spans="1:11" ht="67.5" customHeight="1">
      <c r="A135" s="15">
        <v>132</v>
      </c>
      <c r="B135" s="90" t="s">
        <v>182</v>
      </c>
      <c r="C135" s="90" t="s">
        <v>184</v>
      </c>
      <c r="D135" s="91" t="s">
        <v>5298</v>
      </c>
      <c r="E135" s="90" t="s">
        <v>5299</v>
      </c>
      <c r="F135" s="90" t="s">
        <v>5300</v>
      </c>
      <c r="G135" s="90" t="s">
        <v>5301</v>
      </c>
      <c r="H135" s="90" t="s">
        <v>5302</v>
      </c>
      <c r="I135" s="90">
        <v>4</v>
      </c>
      <c r="J135" s="91" t="s">
        <v>5303</v>
      </c>
      <c r="K135" s="90"/>
    </row>
    <row r="136" spans="1:11" ht="67.5" customHeight="1">
      <c r="A136" s="15">
        <v>133</v>
      </c>
      <c r="B136" s="90" t="s">
        <v>182</v>
      </c>
      <c r="C136" s="90" t="s">
        <v>183</v>
      </c>
      <c r="D136" s="91" t="s">
        <v>5304</v>
      </c>
      <c r="E136" s="90" t="s">
        <v>5305</v>
      </c>
      <c r="F136" s="90" t="s">
        <v>5306</v>
      </c>
      <c r="G136" s="90" t="s">
        <v>5307</v>
      </c>
      <c r="H136" s="90" t="s">
        <v>5308</v>
      </c>
      <c r="I136" s="90">
        <v>4</v>
      </c>
      <c r="J136" s="91" t="s">
        <v>5309</v>
      </c>
      <c r="K136" s="90"/>
    </row>
    <row r="137" spans="1:11" ht="67.5" customHeight="1">
      <c r="A137" s="15">
        <v>134</v>
      </c>
      <c r="B137" s="90" t="s">
        <v>182</v>
      </c>
      <c r="C137" s="90" t="s">
        <v>184</v>
      </c>
      <c r="D137" s="91" t="s">
        <v>5310</v>
      </c>
      <c r="E137" s="90" t="s">
        <v>5311</v>
      </c>
      <c r="F137" s="90" t="s">
        <v>5312</v>
      </c>
      <c r="G137" s="90" t="s">
        <v>5313</v>
      </c>
      <c r="H137" s="90" t="s">
        <v>5314</v>
      </c>
      <c r="I137" s="90">
        <v>1</v>
      </c>
      <c r="J137" s="91" t="s">
        <v>5315</v>
      </c>
      <c r="K137" s="90"/>
    </row>
    <row r="138" spans="1:11" ht="67.5" customHeight="1">
      <c r="A138" s="15">
        <v>135</v>
      </c>
      <c r="B138" s="90" t="s">
        <v>182</v>
      </c>
      <c r="C138" s="90" t="s">
        <v>184</v>
      </c>
      <c r="D138" s="91" t="s">
        <v>5316</v>
      </c>
      <c r="E138" s="90" t="s">
        <v>5317</v>
      </c>
      <c r="F138" s="90" t="s">
        <v>5318</v>
      </c>
      <c r="G138" s="90" t="s">
        <v>5319</v>
      </c>
      <c r="H138" s="90" t="s">
        <v>5320</v>
      </c>
      <c r="I138" s="90">
        <v>4</v>
      </c>
      <c r="J138" s="91" t="s">
        <v>5321</v>
      </c>
      <c r="K138" s="90"/>
    </row>
    <row r="139" spans="1:11" ht="67.5" customHeight="1">
      <c r="A139" s="15">
        <v>136</v>
      </c>
      <c r="B139" s="90" t="s">
        <v>185</v>
      </c>
      <c r="C139" s="90" t="s">
        <v>186</v>
      </c>
      <c r="D139" s="91" t="s">
        <v>5322</v>
      </c>
      <c r="E139" s="90" t="s">
        <v>471</v>
      </c>
      <c r="F139" s="90" t="s">
        <v>470</v>
      </c>
      <c r="G139" s="90" t="s">
        <v>472</v>
      </c>
      <c r="H139" s="90" t="s">
        <v>469</v>
      </c>
      <c r="I139" s="90">
        <v>4</v>
      </c>
      <c r="J139" s="91" t="s">
        <v>5323</v>
      </c>
      <c r="K139" s="90"/>
    </row>
    <row r="140" spans="1:11" ht="67.5" customHeight="1">
      <c r="A140" s="15">
        <v>137</v>
      </c>
      <c r="B140" s="90" t="s">
        <v>185</v>
      </c>
      <c r="C140" s="90" t="s">
        <v>186</v>
      </c>
      <c r="D140" s="91" t="s">
        <v>5324</v>
      </c>
      <c r="E140" s="90" t="s">
        <v>476</v>
      </c>
      <c r="F140" s="90" t="s">
        <v>477</v>
      </c>
      <c r="G140" s="90" t="s">
        <v>475</v>
      </c>
      <c r="H140" s="90" t="s">
        <v>478</v>
      </c>
      <c r="I140" s="90">
        <v>3</v>
      </c>
      <c r="J140" s="91" t="s">
        <v>1767</v>
      </c>
      <c r="K140" s="90"/>
    </row>
    <row r="141" spans="1:11" ht="84.5" customHeight="1">
      <c r="A141" s="15">
        <v>138</v>
      </c>
      <c r="B141" s="90" t="s">
        <v>185</v>
      </c>
      <c r="C141" s="90" t="s">
        <v>186</v>
      </c>
      <c r="D141" s="91" t="s">
        <v>5325</v>
      </c>
      <c r="E141" s="90" t="s">
        <v>483</v>
      </c>
      <c r="F141" s="90" t="s">
        <v>484</v>
      </c>
      <c r="G141" s="90" t="s">
        <v>481</v>
      </c>
      <c r="H141" s="90" t="s">
        <v>482</v>
      </c>
      <c r="I141" s="90">
        <v>2</v>
      </c>
      <c r="J141" s="91" t="s">
        <v>2812</v>
      </c>
      <c r="K141" s="90"/>
    </row>
    <row r="142" spans="1:11" ht="84.5" customHeight="1">
      <c r="A142" s="15">
        <v>139</v>
      </c>
      <c r="B142" s="90" t="s">
        <v>185</v>
      </c>
      <c r="C142" s="90" t="s">
        <v>186</v>
      </c>
      <c r="D142" s="91" t="s">
        <v>5326</v>
      </c>
      <c r="E142" s="90" t="s">
        <v>5327</v>
      </c>
      <c r="F142" s="90" t="s">
        <v>5328</v>
      </c>
      <c r="G142" s="90" t="s">
        <v>5329</v>
      </c>
      <c r="H142" s="90" t="s">
        <v>5330</v>
      </c>
      <c r="I142" s="90">
        <v>3</v>
      </c>
      <c r="J142" s="91" t="s">
        <v>5331</v>
      </c>
      <c r="K142" s="90"/>
    </row>
    <row r="143" spans="1:11" ht="101.25" customHeight="1">
      <c r="A143" s="15">
        <v>140</v>
      </c>
      <c r="B143" s="90" t="s">
        <v>185</v>
      </c>
      <c r="C143" s="90" t="s">
        <v>188</v>
      </c>
      <c r="D143" s="91" t="s">
        <v>5332</v>
      </c>
      <c r="E143" s="90" t="s">
        <v>5333</v>
      </c>
      <c r="F143" s="90" t="s">
        <v>5334</v>
      </c>
      <c r="G143" s="90" t="s">
        <v>5335</v>
      </c>
      <c r="H143" s="90" t="s">
        <v>5336</v>
      </c>
      <c r="I143" s="90">
        <v>2</v>
      </c>
      <c r="J143" s="91" t="s">
        <v>5337</v>
      </c>
      <c r="K143" s="90"/>
    </row>
    <row r="144" spans="1:11" ht="84.5" customHeight="1">
      <c r="A144" s="15">
        <v>141</v>
      </c>
      <c r="B144" s="90" t="s">
        <v>185</v>
      </c>
      <c r="C144" s="90" t="s">
        <v>186</v>
      </c>
      <c r="D144" s="91" t="s">
        <v>5338</v>
      </c>
      <c r="E144" s="90" t="s">
        <v>5339</v>
      </c>
      <c r="F144" s="90" t="s">
        <v>5340</v>
      </c>
      <c r="G144" s="90" t="s">
        <v>5341</v>
      </c>
      <c r="H144" s="90" t="s">
        <v>5342</v>
      </c>
      <c r="I144" s="90">
        <v>3</v>
      </c>
      <c r="J144" s="91" t="s">
        <v>5343</v>
      </c>
      <c r="K144" s="90"/>
    </row>
    <row r="145" spans="1:11" ht="118.25" customHeight="1">
      <c r="A145" s="15">
        <v>142</v>
      </c>
      <c r="B145" s="90" t="s">
        <v>185</v>
      </c>
      <c r="C145" s="90" t="s">
        <v>187</v>
      </c>
      <c r="D145" s="91" t="s">
        <v>5344</v>
      </c>
      <c r="E145" s="90" t="s">
        <v>5345</v>
      </c>
      <c r="F145" s="90" t="s">
        <v>5346</v>
      </c>
      <c r="G145" s="90" t="s">
        <v>5347</v>
      </c>
      <c r="H145" s="90" t="s">
        <v>5348</v>
      </c>
      <c r="I145" s="90">
        <v>3</v>
      </c>
      <c r="J145" s="91" t="s">
        <v>5349</v>
      </c>
      <c r="K145" s="90"/>
    </row>
    <row r="146" spans="1:11" ht="101.25" customHeight="1">
      <c r="A146" s="15">
        <v>143</v>
      </c>
      <c r="B146" s="90" t="s">
        <v>185</v>
      </c>
      <c r="C146" s="90" t="s">
        <v>188</v>
      </c>
      <c r="D146" s="91" t="s">
        <v>5350</v>
      </c>
      <c r="E146" s="90" t="s">
        <v>5351</v>
      </c>
      <c r="F146" s="90" t="s">
        <v>5352</v>
      </c>
      <c r="G146" s="90" t="s">
        <v>5353</v>
      </c>
      <c r="H146" s="90" t="s">
        <v>5354</v>
      </c>
      <c r="I146" s="90">
        <v>2</v>
      </c>
      <c r="J146" s="91" t="s">
        <v>5355</v>
      </c>
      <c r="K146" s="90"/>
    </row>
    <row r="147" spans="1:11" ht="101.25" customHeight="1">
      <c r="A147" s="15">
        <v>144</v>
      </c>
      <c r="B147" s="90" t="s">
        <v>185</v>
      </c>
      <c r="C147" s="90" t="s">
        <v>188</v>
      </c>
      <c r="D147" s="91" t="s">
        <v>5356</v>
      </c>
      <c r="E147" s="90" t="s">
        <v>5357</v>
      </c>
      <c r="F147" s="90" t="s">
        <v>5358</v>
      </c>
      <c r="G147" s="90" t="s">
        <v>5359</v>
      </c>
      <c r="H147" s="90" t="s">
        <v>5360</v>
      </c>
      <c r="I147" s="90">
        <v>2</v>
      </c>
      <c r="J147" s="91" t="s">
        <v>5361</v>
      </c>
      <c r="K147" s="90"/>
    </row>
    <row r="148" spans="1:11" ht="118.25" customHeight="1">
      <c r="A148" s="15">
        <v>145</v>
      </c>
      <c r="B148" s="90" t="s">
        <v>185</v>
      </c>
      <c r="C148" s="90" t="s">
        <v>188</v>
      </c>
      <c r="D148" s="91" t="s">
        <v>5362</v>
      </c>
      <c r="E148" s="90" t="s">
        <v>5363</v>
      </c>
      <c r="F148" s="90" t="s">
        <v>5364</v>
      </c>
      <c r="G148" s="90" t="s">
        <v>5365</v>
      </c>
      <c r="H148" s="90" t="s">
        <v>5366</v>
      </c>
      <c r="I148" s="90">
        <v>4</v>
      </c>
      <c r="J148" s="91" t="s">
        <v>5367</v>
      </c>
      <c r="K148" s="90"/>
    </row>
    <row r="149" spans="1:11" ht="67.5" customHeight="1">
      <c r="A149" s="15">
        <v>146</v>
      </c>
      <c r="B149" s="90" t="s">
        <v>185</v>
      </c>
      <c r="C149" s="90" t="s">
        <v>186</v>
      </c>
      <c r="D149" s="91" t="s">
        <v>5368</v>
      </c>
      <c r="E149" s="90" t="s">
        <v>5369</v>
      </c>
      <c r="F149" s="90" t="s">
        <v>5370</v>
      </c>
      <c r="G149" s="90" t="s">
        <v>5371</v>
      </c>
      <c r="H149" s="90" t="s">
        <v>5372</v>
      </c>
      <c r="I149" s="90">
        <v>4</v>
      </c>
      <c r="J149" s="91" t="s">
        <v>5373</v>
      </c>
      <c r="K149" s="90"/>
    </row>
    <row r="150" spans="1:11" ht="67.5" customHeight="1">
      <c r="A150" s="15">
        <v>147</v>
      </c>
      <c r="B150" s="90" t="s">
        <v>178</v>
      </c>
      <c r="C150" s="90" t="s">
        <v>181</v>
      </c>
      <c r="D150" s="91" t="s">
        <v>5374</v>
      </c>
      <c r="E150" s="90" t="s">
        <v>5375</v>
      </c>
      <c r="F150" s="90" t="s">
        <v>5376</v>
      </c>
      <c r="G150" s="90" t="s">
        <v>5377</v>
      </c>
      <c r="H150" s="90" t="s">
        <v>5378</v>
      </c>
      <c r="I150" s="90">
        <v>4</v>
      </c>
      <c r="J150" s="91" t="s">
        <v>5379</v>
      </c>
      <c r="K150" s="90"/>
    </row>
    <row r="151" spans="1:11" ht="67.5" customHeight="1">
      <c r="A151" s="15">
        <v>148</v>
      </c>
      <c r="B151" s="90" t="s">
        <v>185</v>
      </c>
      <c r="C151" s="90" t="s">
        <v>188</v>
      </c>
      <c r="D151" s="91" t="s">
        <v>5380</v>
      </c>
      <c r="E151" s="90" t="s">
        <v>5381</v>
      </c>
      <c r="F151" s="90" t="s">
        <v>5382</v>
      </c>
      <c r="G151" s="90" t="s">
        <v>5383</v>
      </c>
      <c r="H151" s="90" t="s">
        <v>5384</v>
      </c>
      <c r="I151" s="90">
        <v>1</v>
      </c>
      <c r="J151" s="91" t="s">
        <v>5385</v>
      </c>
      <c r="K151" s="90"/>
    </row>
    <row r="152" spans="1:11" ht="67.5" customHeight="1">
      <c r="A152" s="15">
        <v>149</v>
      </c>
      <c r="B152" s="90" t="s">
        <v>185</v>
      </c>
      <c r="C152" s="90" t="s">
        <v>188</v>
      </c>
      <c r="D152" s="91" t="s">
        <v>5386</v>
      </c>
      <c r="E152" s="90" t="s">
        <v>1990</v>
      </c>
      <c r="F152" s="90" t="s">
        <v>5387</v>
      </c>
      <c r="G152" s="90" t="s">
        <v>5388</v>
      </c>
      <c r="H152" s="90" t="s">
        <v>5389</v>
      </c>
      <c r="I152" s="90">
        <v>4</v>
      </c>
      <c r="J152" s="91" t="s">
        <v>5390</v>
      </c>
      <c r="K152" s="90"/>
    </row>
    <row r="153" spans="1:11" ht="67.5" customHeight="1">
      <c r="A153" s="15">
        <v>150</v>
      </c>
      <c r="B153" s="90" t="s">
        <v>185</v>
      </c>
      <c r="C153" s="90" t="s">
        <v>186</v>
      </c>
      <c r="D153" s="91" t="s">
        <v>5391</v>
      </c>
      <c r="E153" s="90" t="s">
        <v>5392</v>
      </c>
      <c r="F153" s="90" t="s">
        <v>5393</v>
      </c>
      <c r="G153" s="90" t="s">
        <v>5394</v>
      </c>
      <c r="H153" s="90" t="s">
        <v>5395</v>
      </c>
      <c r="I153" s="90">
        <v>3</v>
      </c>
      <c r="J153" s="91" t="s">
        <v>5396</v>
      </c>
      <c r="K153" s="90"/>
    </row>
    <row r="154" spans="1:11">
      <c r="A154">
        <v>151</v>
      </c>
      <c r="B154" t="s">
        <v>178</v>
      </c>
      <c r="C154" t="s">
        <v>180</v>
      </c>
      <c r="D154" t="s">
        <v>5397</v>
      </c>
      <c r="E154" t="s">
        <v>5398</v>
      </c>
      <c r="F154" t="s">
        <v>5399</v>
      </c>
      <c r="G154" t="s">
        <v>5400</v>
      </c>
      <c r="H154" t="s">
        <v>5401</v>
      </c>
      <c r="I154">
        <v>1</v>
      </c>
      <c r="J154" t="s">
        <v>5402</v>
      </c>
      <c r="K154" t="s">
        <v>5403</v>
      </c>
    </row>
  </sheetData>
  <mergeCells count="2">
    <mergeCell ref="A2:L2"/>
    <mergeCell ref="A1:L1"/>
  </mergeCells>
  <phoneticPr fontId="58" type="noConversion"/>
  <pageMargins left="0.75" right="0.75" top="1" bottom="1" header="0.511811023622047" footer="0.511811023622047"/>
  <pageSetup fitToHeight="0"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M175"/>
  <sheetViews>
    <sheetView zoomScaleNormal="100" workbookViewId="0">
      <pane xSplit="3" ySplit="3" topLeftCell="D60" activePane="bottomRight" state="frozen"/>
      <selection pane="topRight" activeCell="D1" sqref="D1"/>
      <selection pane="bottomLeft" activeCell="A28" sqref="A28"/>
      <selection pane="bottomRight" activeCell="I63" sqref="I63"/>
    </sheetView>
  </sheetViews>
  <sheetFormatPr baseColWidth="10" defaultColWidth="8.5" defaultRowHeight="17"/>
  <cols>
    <col min="1" max="1" width="6" style="12" customWidth="1"/>
    <col min="2" max="2" width="17.6640625" style="60" customWidth="1"/>
    <col min="3" max="3" width="23.6640625" style="60" customWidth="1"/>
    <col min="4" max="4" width="42" style="13" customWidth="1"/>
    <col min="5" max="8" width="20" style="13" customWidth="1"/>
    <col min="9" max="9" width="10" style="13" customWidth="1"/>
    <col min="10" max="10" width="44" style="13" customWidth="1"/>
    <col min="11" max="11" width="26" style="13" customWidth="1"/>
    <col min="12" max="12" width="8" style="13" customWidth="1"/>
    <col min="13" max="14" width="8.5" style="2" customWidth="1"/>
    <col min="15" max="16384" width="8.5" style="2"/>
  </cols>
  <sheetData>
    <row r="1" spans="1:13">
      <c r="A1" s="156"/>
      <c r="B1" s="177"/>
      <c r="C1" s="177"/>
      <c r="D1" s="155"/>
      <c r="E1" s="155"/>
      <c r="F1" s="155"/>
      <c r="G1" s="155"/>
      <c r="H1" s="155"/>
      <c r="I1" s="155"/>
      <c r="J1" s="155"/>
      <c r="K1" s="155"/>
      <c r="L1" s="155"/>
    </row>
    <row r="2" spans="1:13" ht="17.25" customHeight="1">
      <c r="A2" s="153" t="s">
        <v>5404</v>
      </c>
      <c r="B2" s="177"/>
      <c r="C2" s="177"/>
      <c r="D2" s="155"/>
      <c r="E2" s="155"/>
      <c r="F2" s="155"/>
      <c r="G2" s="155"/>
      <c r="H2" s="155"/>
      <c r="I2" s="155"/>
      <c r="J2" s="155"/>
      <c r="K2" s="155"/>
      <c r="L2" s="155"/>
    </row>
    <row r="3" spans="1:13" ht="19.5" customHeight="1">
      <c r="A3" s="14" t="s">
        <v>0</v>
      </c>
      <c r="B3" s="14" t="s">
        <v>1</v>
      </c>
      <c r="C3" s="14" t="s">
        <v>2</v>
      </c>
      <c r="D3" s="14" t="s">
        <v>3</v>
      </c>
      <c r="E3" s="14" t="s">
        <v>4</v>
      </c>
      <c r="F3" s="14" t="s">
        <v>5</v>
      </c>
      <c r="G3" s="14" t="s">
        <v>6</v>
      </c>
      <c r="H3" s="14" t="s">
        <v>7</v>
      </c>
      <c r="I3" s="14" t="s">
        <v>8</v>
      </c>
      <c r="J3" s="14" t="s">
        <v>9</v>
      </c>
      <c r="K3" s="14" t="s">
        <v>10</v>
      </c>
      <c r="L3" s="93" t="s">
        <v>737</v>
      </c>
      <c r="M3" s="94" t="s">
        <v>738</v>
      </c>
    </row>
    <row r="4" spans="1:13" ht="43.5" customHeight="1">
      <c r="A4" s="15">
        <v>1</v>
      </c>
      <c r="B4" s="61" t="s">
        <v>190</v>
      </c>
      <c r="C4" s="62" t="s">
        <v>191</v>
      </c>
      <c r="D4" s="18" t="s">
        <v>5405</v>
      </c>
      <c r="E4" s="18" t="s">
        <v>5406</v>
      </c>
      <c r="F4" s="18" t="s">
        <v>5407</v>
      </c>
      <c r="G4" s="18" t="s">
        <v>5408</v>
      </c>
      <c r="H4" s="18" t="s">
        <v>5409</v>
      </c>
      <c r="I4" s="19">
        <v>2</v>
      </c>
      <c r="J4" s="19" t="s">
        <v>5410</v>
      </c>
      <c r="K4" s="18"/>
      <c r="L4" s="19"/>
    </row>
    <row r="5" spans="1:13" ht="38.25" customHeight="1">
      <c r="A5" s="15">
        <v>2</v>
      </c>
      <c r="B5" s="61" t="s">
        <v>190</v>
      </c>
      <c r="C5" s="62" t="s">
        <v>191</v>
      </c>
      <c r="D5" s="18" t="s">
        <v>5411</v>
      </c>
      <c r="E5" s="18" t="s">
        <v>5412</v>
      </c>
      <c r="F5" s="18" t="s">
        <v>5413</v>
      </c>
      <c r="G5" s="18" t="s">
        <v>5414</v>
      </c>
      <c r="H5" s="18" t="s">
        <v>5415</v>
      </c>
      <c r="I5" s="19">
        <v>2</v>
      </c>
      <c r="J5" s="19" t="s">
        <v>5416</v>
      </c>
      <c r="K5" s="19" t="s">
        <v>5417</v>
      </c>
      <c r="L5" s="19"/>
    </row>
    <row r="6" spans="1:13" ht="51" customHeight="1">
      <c r="A6" s="15">
        <v>3</v>
      </c>
      <c r="B6" s="61" t="s">
        <v>190</v>
      </c>
      <c r="C6" s="62" t="s">
        <v>191</v>
      </c>
      <c r="D6" s="19" t="s">
        <v>5418</v>
      </c>
      <c r="E6" s="18" t="s">
        <v>5419</v>
      </c>
      <c r="F6" s="18" t="s">
        <v>5420</v>
      </c>
      <c r="G6" s="18" t="s">
        <v>5421</v>
      </c>
      <c r="H6" s="18" t="s">
        <v>5422</v>
      </c>
      <c r="I6" s="19">
        <v>1</v>
      </c>
      <c r="J6" s="19" t="s">
        <v>5423</v>
      </c>
      <c r="K6" s="18"/>
      <c r="L6" s="19"/>
    </row>
    <row r="7" spans="1:13" ht="38.25" customHeight="1">
      <c r="A7" s="15">
        <v>4</v>
      </c>
      <c r="B7" s="61" t="s">
        <v>190</v>
      </c>
      <c r="C7" s="62" t="s">
        <v>191</v>
      </c>
      <c r="D7" s="18" t="s">
        <v>5424</v>
      </c>
      <c r="E7" s="18" t="s">
        <v>5425</v>
      </c>
      <c r="F7" s="18" t="s">
        <v>5426</v>
      </c>
      <c r="G7" s="18" t="s">
        <v>5427</v>
      </c>
      <c r="H7" s="18" t="s">
        <v>5428</v>
      </c>
      <c r="I7" s="19">
        <v>3</v>
      </c>
      <c r="J7" s="19" t="s">
        <v>5429</v>
      </c>
      <c r="K7" s="19" t="s">
        <v>5417</v>
      </c>
      <c r="L7" s="19"/>
    </row>
    <row r="8" spans="1:13" ht="38.25" customHeight="1">
      <c r="A8" s="15">
        <v>5</v>
      </c>
      <c r="B8" s="61" t="s">
        <v>190</v>
      </c>
      <c r="C8" s="62" t="s">
        <v>191</v>
      </c>
      <c r="D8" s="18" t="s">
        <v>5430</v>
      </c>
      <c r="E8" s="18" t="s">
        <v>5431</v>
      </c>
      <c r="F8" s="18" t="s">
        <v>5432</v>
      </c>
      <c r="G8" s="18" t="s">
        <v>5433</v>
      </c>
      <c r="H8" s="18" t="s">
        <v>5434</v>
      </c>
      <c r="I8" s="19">
        <v>3</v>
      </c>
      <c r="J8" s="19" t="s">
        <v>5435</v>
      </c>
      <c r="K8" s="18"/>
      <c r="L8" s="19"/>
    </row>
    <row r="9" spans="1:13" ht="51" customHeight="1">
      <c r="A9" s="15">
        <v>6</v>
      </c>
      <c r="B9" s="61" t="s">
        <v>190</v>
      </c>
      <c r="C9" s="62" t="s">
        <v>191</v>
      </c>
      <c r="D9" s="19" t="s">
        <v>5436</v>
      </c>
      <c r="E9" s="18" t="s">
        <v>5437</v>
      </c>
      <c r="F9" s="18" t="s">
        <v>5438</v>
      </c>
      <c r="G9" s="18" t="s">
        <v>5439</v>
      </c>
      <c r="H9" s="19" t="s">
        <v>5440</v>
      </c>
      <c r="I9" s="19">
        <v>4</v>
      </c>
      <c r="J9" s="19" t="s">
        <v>5441</v>
      </c>
      <c r="K9" s="19" t="s">
        <v>5417</v>
      </c>
      <c r="L9" s="19"/>
    </row>
    <row r="10" spans="1:13" ht="51" customHeight="1">
      <c r="A10" s="15">
        <v>7</v>
      </c>
      <c r="B10" s="61" t="s">
        <v>190</v>
      </c>
      <c r="C10" s="62" t="s">
        <v>191</v>
      </c>
      <c r="D10" s="18" t="s">
        <v>5442</v>
      </c>
      <c r="E10" s="18" t="s">
        <v>5443</v>
      </c>
      <c r="F10" s="18" t="s">
        <v>5444</v>
      </c>
      <c r="G10" s="18" t="s">
        <v>5445</v>
      </c>
      <c r="H10" s="18" t="s">
        <v>5446</v>
      </c>
      <c r="I10" s="19">
        <v>2</v>
      </c>
      <c r="J10" s="19" t="s">
        <v>5447</v>
      </c>
      <c r="K10" s="18"/>
      <c r="L10" s="19"/>
    </row>
    <row r="11" spans="1:13" ht="89.25" customHeight="1">
      <c r="A11" s="15">
        <v>8</v>
      </c>
      <c r="B11" s="61" t="s">
        <v>190</v>
      </c>
      <c r="C11" s="62" t="s">
        <v>191</v>
      </c>
      <c r="D11" s="19" t="s">
        <v>5448</v>
      </c>
      <c r="E11" s="18" t="s">
        <v>5449</v>
      </c>
      <c r="F11" s="18" t="s">
        <v>5450</v>
      </c>
      <c r="G11" s="18" t="s">
        <v>5451</v>
      </c>
      <c r="H11" s="18" t="s">
        <v>5452</v>
      </c>
      <c r="I11" s="19">
        <v>4</v>
      </c>
      <c r="J11" s="19" t="s">
        <v>5453</v>
      </c>
      <c r="K11" s="18"/>
      <c r="L11" s="19"/>
    </row>
    <row r="12" spans="1:13" ht="38.25" customHeight="1">
      <c r="A12" s="15">
        <v>9</v>
      </c>
      <c r="B12" s="61" t="s">
        <v>190</v>
      </c>
      <c r="C12" s="62" t="s">
        <v>191</v>
      </c>
      <c r="D12" s="19" t="s">
        <v>5454</v>
      </c>
      <c r="E12" s="18" t="s">
        <v>5455</v>
      </c>
      <c r="F12" s="18" t="s">
        <v>5456</v>
      </c>
      <c r="G12" s="18" t="s">
        <v>5457</v>
      </c>
      <c r="H12" s="18" t="s">
        <v>5458</v>
      </c>
      <c r="I12" s="19">
        <v>4</v>
      </c>
      <c r="J12" s="19" t="s">
        <v>5459</v>
      </c>
      <c r="K12" s="18"/>
      <c r="L12" s="19"/>
    </row>
    <row r="13" spans="1:13" ht="38.25" customHeight="1">
      <c r="A13" s="15">
        <v>10</v>
      </c>
      <c r="B13" s="61" t="s">
        <v>190</v>
      </c>
      <c r="C13" s="62" t="s">
        <v>191</v>
      </c>
      <c r="D13" s="18" t="s">
        <v>5460</v>
      </c>
      <c r="E13" s="18" t="s">
        <v>5461</v>
      </c>
      <c r="F13" s="18" t="s">
        <v>5462</v>
      </c>
      <c r="G13" s="18" t="s">
        <v>5463</v>
      </c>
      <c r="H13" s="18" t="s">
        <v>5464</v>
      </c>
      <c r="I13" s="19">
        <v>4</v>
      </c>
      <c r="J13" s="19" t="s">
        <v>5465</v>
      </c>
      <c r="K13" s="18"/>
      <c r="L13" s="19"/>
    </row>
    <row r="14" spans="1:13" ht="38.25" customHeight="1">
      <c r="A14" s="15">
        <v>11</v>
      </c>
      <c r="B14" s="61" t="s">
        <v>190</v>
      </c>
      <c r="C14" s="62" t="s">
        <v>191</v>
      </c>
      <c r="D14" s="18" t="s">
        <v>5466</v>
      </c>
      <c r="E14" s="19" t="s">
        <v>5467</v>
      </c>
      <c r="F14" s="19" t="s">
        <v>5468</v>
      </c>
      <c r="G14" s="19" t="s">
        <v>5469</v>
      </c>
      <c r="H14" s="19" t="s">
        <v>5470</v>
      </c>
      <c r="I14" s="19">
        <v>2</v>
      </c>
      <c r="J14" s="19" t="s">
        <v>5471</v>
      </c>
      <c r="K14" s="18"/>
      <c r="L14" s="19"/>
    </row>
    <row r="15" spans="1:13" ht="38.25" customHeight="1">
      <c r="A15" s="15">
        <v>12</v>
      </c>
      <c r="B15" s="61" t="s">
        <v>190</v>
      </c>
      <c r="C15" s="62" t="s">
        <v>191</v>
      </c>
      <c r="D15" s="18" t="s">
        <v>5472</v>
      </c>
      <c r="E15" s="18" t="s">
        <v>5473</v>
      </c>
      <c r="F15" s="18" t="s">
        <v>5474</v>
      </c>
      <c r="G15" s="18" t="s">
        <v>5475</v>
      </c>
      <c r="H15" s="18" t="s">
        <v>5476</v>
      </c>
      <c r="I15" s="19">
        <v>1</v>
      </c>
      <c r="J15" s="19" t="s">
        <v>5477</v>
      </c>
      <c r="K15" s="18"/>
      <c r="L15" s="19"/>
    </row>
    <row r="16" spans="1:13" ht="38.25" customHeight="1">
      <c r="A16" s="15">
        <v>13</v>
      </c>
      <c r="B16" s="61" t="s">
        <v>190</v>
      </c>
      <c r="C16" s="62" t="s">
        <v>191</v>
      </c>
      <c r="D16" s="18" t="s">
        <v>5478</v>
      </c>
      <c r="E16" s="18" t="s">
        <v>5479</v>
      </c>
      <c r="F16" s="18" t="s">
        <v>5480</v>
      </c>
      <c r="G16" s="18" t="s">
        <v>5481</v>
      </c>
      <c r="H16" s="18" t="s">
        <v>5482</v>
      </c>
      <c r="I16" s="19">
        <v>3</v>
      </c>
      <c r="J16" s="19" t="s">
        <v>5483</v>
      </c>
      <c r="K16" s="18"/>
      <c r="L16" s="19"/>
    </row>
    <row r="17" spans="1:12" ht="38.25" customHeight="1">
      <c r="A17" s="15">
        <v>14</v>
      </c>
      <c r="B17" s="61" t="s">
        <v>190</v>
      </c>
      <c r="C17" s="62" t="s">
        <v>191</v>
      </c>
      <c r="D17" s="18" t="s">
        <v>5484</v>
      </c>
      <c r="E17" s="18" t="s">
        <v>5485</v>
      </c>
      <c r="F17" s="18" t="s">
        <v>5486</v>
      </c>
      <c r="G17" s="18" t="s">
        <v>5487</v>
      </c>
      <c r="H17" s="18" t="s">
        <v>5488</v>
      </c>
      <c r="I17" s="19">
        <v>1</v>
      </c>
      <c r="J17" s="19" t="s">
        <v>5489</v>
      </c>
      <c r="K17" s="18"/>
      <c r="L17" s="19"/>
    </row>
    <row r="18" spans="1:12" ht="51" customHeight="1">
      <c r="A18" s="15">
        <v>15</v>
      </c>
      <c r="B18" s="61" t="s">
        <v>190</v>
      </c>
      <c r="C18" s="62" t="s">
        <v>191</v>
      </c>
      <c r="D18" s="18" t="s">
        <v>5490</v>
      </c>
      <c r="E18" s="18" t="s">
        <v>5491</v>
      </c>
      <c r="F18" s="18" t="s">
        <v>5492</v>
      </c>
      <c r="G18" s="18" t="s">
        <v>5493</v>
      </c>
      <c r="H18" s="18" t="s">
        <v>5494</v>
      </c>
      <c r="I18" s="19">
        <v>2</v>
      </c>
      <c r="J18" s="19" t="s">
        <v>5495</v>
      </c>
      <c r="K18" s="18"/>
      <c r="L18" s="19"/>
    </row>
    <row r="19" spans="1:12" ht="43.5" customHeight="1">
      <c r="A19" s="15">
        <v>16</v>
      </c>
      <c r="B19" s="63" t="s">
        <v>190</v>
      </c>
      <c r="C19" s="64" t="s">
        <v>192</v>
      </c>
      <c r="D19" s="23" t="s">
        <v>5496</v>
      </c>
      <c r="E19" s="23" t="s">
        <v>5497</v>
      </c>
      <c r="F19" s="23" t="s">
        <v>5498</v>
      </c>
      <c r="G19" s="23" t="s">
        <v>5499</v>
      </c>
      <c r="H19" s="23" t="s">
        <v>5500</v>
      </c>
      <c r="I19" s="24">
        <v>1</v>
      </c>
      <c r="J19" s="24" t="s">
        <v>5501</v>
      </c>
      <c r="K19" s="23" t="s">
        <v>5502</v>
      </c>
      <c r="L19" s="24"/>
    </row>
    <row r="20" spans="1:12" ht="51" customHeight="1">
      <c r="A20" s="15">
        <v>17</v>
      </c>
      <c r="B20" s="61" t="s">
        <v>193</v>
      </c>
      <c r="C20" s="62" t="s">
        <v>194</v>
      </c>
      <c r="D20" s="19" t="s">
        <v>5503</v>
      </c>
      <c r="E20" s="18" t="s">
        <v>5504</v>
      </c>
      <c r="F20" s="18" t="s">
        <v>5505</v>
      </c>
      <c r="G20" s="18" t="s">
        <v>5506</v>
      </c>
      <c r="H20" s="18" t="s">
        <v>5507</v>
      </c>
      <c r="I20" s="19">
        <v>1</v>
      </c>
      <c r="J20" s="19" t="s">
        <v>5508</v>
      </c>
      <c r="K20" s="18"/>
      <c r="L20" s="19"/>
    </row>
    <row r="21" spans="1:12" ht="38.25" customHeight="1">
      <c r="A21" s="15">
        <v>18</v>
      </c>
      <c r="B21" s="61" t="s">
        <v>193</v>
      </c>
      <c r="C21" s="62" t="s">
        <v>194</v>
      </c>
      <c r="D21" s="18" t="s">
        <v>5509</v>
      </c>
      <c r="E21" s="18" t="s">
        <v>5510</v>
      </c>
      <c r="F21" s="18" t="s">
        <v>5511</v>
      </c>
      <c r="G21" s="18" t="s">
        <v>5512</v>
      </c>
      <c r="H21" s="18" t="s">
        <v>5513</v>
      </c>
      <c r="I21" s="19">
        <v>1</v>
      </c>
      <c r="J21" s="19" t="s">
        <v>5514</v>
      </c>
      <c r="K21" s="18"/>
      <c r="L21" s="19"/>
    </row>
    <row r="22" spans="1:12" ht="51" customHeight="1">
      <c r="A22" s="15">
        <v>19</v>
      </c>
      <c r="B22" s="61" t="s">
        <v>193</v>
      </c>
      <c r="C22" s="62" t="s">
        <v>194</v>
      </c>
      <c r="D22" s="19" t="s">
        <v>5515</v>
      </c>
      <c r="E22" s="19" t="s">
        <v>5516</v>
      </c>
      <c r="F22" s="19" t="s">
        <v>5517</v>
      </c>
      <c r="G22" s="19" t="s">
        <v>5518</v>
      </c>
      <c r="H22" s="19" t="s">
        <v>5519</v>
      </c>
      <c r="I22" s="19">
        <v>3</v>
      </c>
      <c r="J22" s="19" t="s">
        <v>5520</v>
      </c>
      <c r="K22" s="18"/>
      <c r="L22" s="19"/>
    </row>
    <row r="23" spans="1:12" ht="38.25" customHeight="1">
      <c r="A23" s="15">
        <v>20</v>
      </c>
      <c r="B23" s="61" t="s">
        <v>193</v>
      </c>
      <c r="C23" s="62" t="s">
        <v>194</v>
      </c>
      <c r="D23" s="54" t="s">
        <v>5521</v>
      </c>
      <c r="E23" s="54" t="s">
        <v>5522</v>
      </c>
      <c r="F23" s="54" t="s">
        <v>5523</v>
      </c>
      <c r="G23" s="54" t="s">
        <v>5524</v>
      </c>
      <c r="H23" s="54" t="s">
        <v>5525</v>
      </c>
      <c r="I23" s="54">
        <v>3</v>
      </c>
      <c r="J23" s="55" t="s">
        <v>5526</v>
      </c>
      <c r="K23" s="50" t="s">
        <v>5527</v>
      </c>
      <c r="L23" s="18"/>
    </row>
    <row r="24" spans="1:12" ht="38.25" customHeight="1">
      <c r="A24" s="15">
        <v>21</v>
      </c>
      <c r="B24" s="61" t="s">
        <v>193</v>
      </c>
      <c r="C24" s="62" t="s">
        <v>194</v>
      </c>
      <c r="D24" s="54" t="s">
        <v>5528</v>
      </c>
      <c r="E24" s="54" t="s">
        <v>5529</v>
      </c>
      <c r="F24" s="54" t="s">
        <v>5530</v>
      </c>
      <c r="G24" s="54" t="s">
        <v>5531</v>
      </c>
      <c r="H24" s="54" t="s">
        <v>5532</v>
      </c>
      <c r="I24" s="54">
        <v>4</v>
      </c>
      <c r="J24" s="55" t="s">
        <v>5533</v>
      </c>
      <c r="K24" s="50" t="s">
        <v>5527</v>
      </c>
      <c r="L24" s="18"/>
    </row>
    <row r="25" spans="1:12" ht="38.25" customHeight="1">
      <c r="A25" s="15">
        <v>22</v>
      </c>
      <c r="B25" s="63" t="s">
        <v>193</v>
      </c>
      <c r="C25" s="64" t="s">
        <v>194</v>
      </c>
      <c r="D25" s="23" t="s">
        <v>5534</v>
      </c>
      <c r="E25" s="23" t="s">
        <v>5535</v>
      </c>
      <c r="F25" s="23" t="s">
        <v>5536</v>
      </c>
      <c r="G25" s="23" t="s">
        <v>5537</v>
      </c>
      <c r="H25" s="23" t="s">
        <v>5538</v>
      </c>
      <c r="I25" s="24">
        <v>1</v>
      </c>
      <c r="J25" s="24" t="s">
        <v>5539</v>
      </c>
      <c r="K25" s="23"/>
      <c r="L25" s="24"/>
    </row>
    <row r="26" spans="1:12" ht="38.25" customHeight="1">
      <c r="A26" s="15">
        <v>23</v>
      </c>
      <c r="B26" s="61" t="s">
        <v>193</v>
      </c>
      <c r="C26" s="62" t="s">
        <v>195</v>
      </c>
      <c r="D26" s="19" t="s">
        <v>5540</v>
      </c>
      <c r="E26" s="18" t="s">
        <v>5541</v>
      </c>
      <c r="F26" s="18" t="s">
        <v>5542</v>
      </c>
      <c r="G26" s="18" t="s">
        <v>5543</v>
      </c>
      <c r="H26" s="18" t="s">
        <v>5544</v>
      </c>
      <c r="I26" s="19">
        <v>4</v>
      </c>
      <c r="J26" s="19" t="s">
        <v>5545</v>
      </c>
      <c r="K26" s="18" t="s">
        <v>5546</v>
      </c>
      <c r="L26" s="19"/>
    </row>
    <row r="27" spans="1:12" ht="38.25" customHeight="1">
      <c r="A27" s="15">
        <v>24</v>
      </c>
      <c r="B27" s="61" t="s">
        <v>193</v>
      </c>
      <c r="C27" s="62" t="s">
        <v>195</v>
      </c>
      <c r="D27" s="18" t="s">
        <v>5547</v>
      </c>
      <c r="E27" s="18" t="s">
        <v>5543</v>
      </c>
      <c r="F27" s="18" t="s">
        <v>5541</v>
      </c>
      <c r="G27" s="18" t="s">
        <v>5544</v>
      </c>
      <c r="H27" s="18" t="s">
        <v>5548</v>
      </c>
      <c r="I27" s="19">
        <v>1</v>
      </c>
      <c r="J27" s="19" t="s">
        <v>5549</v>
      </c>
      <c r="K27" s="18" t="s">
        <v>5546</v>
      </c>
      <c r="L27" s="19"/>
    </row>
    <row r="28" spans="1:12" ht="38.25" customHeight="1">
      <c r="A28" s="15">
        <v>25</v>
      </c>
      <c r="B28" s="61" t="s">
        <v>193</v>
      </c>
      <c r="C28" s="62" t="s">
        <v>195</v>
      </c>
      <c r="D28" s="19" t="s">
        <v>5550</v>
      </c>
      <c r="E28" s="18" t="s">
        <v>5541</v>
      </c>
      <c r="F28" s="18" t="s">
        <v>5544</v>
      </c>
      <c r="G28" s="18" t="s">
        <v>5543</v>
      </c>
      <c r="H28" s="18" t="s">
        <v>5551</v>
      </c>
      <c r="I28" s="19">
        <v>1</v>
      </c>
      <c r="J28" s="19" t="s">
        <v>5552</v>
      </c>
      <c r="K28" s="18" t="s">
        <v>5546</v>
      </c>
      <c r="L28" s="19"/>
    </row>
    <row r="29" spans="1:12" ht="76.5" customHeight="1">
      <c r="A29" s="15">
        <v>26</v>
      </c>
      <c r="B29" s="61" t="s">
        <v>193</v>
      </c>
      <c r="C29" s="62" t="s">
        <v>195</v>
      </c>
      <c r="D29" s="18" t="s">
        <v>5553</v>
      </c>
      <c r="E29" s="18" t="s">
        <v>5554</v>
      </c>
      <c r="F29" s="18" t="s">
        <v>5555</v>
      </c>
      <c r="G29" s="18" t="s">
        <v>5556</v>
      </c>
      <c r="H29" s="18" t="s">
        <v>5557</v>
      </c>
      <c r="I29" s="19">
        <v>2</v>
      </c>
      <c r="J29" s="19" t="s">
        <v>5558</v>
      </c>
      <c r="K29" s="18" t="s">
        <v>5546</v>
      </c>
      <c r="L29" s="19"/>
    </row>
    <row r="30" spans="1:12" ht="51" customHeight="1">
      <c r="A30" s="15">
        <v>27</v>
      </c>
      <c r="B30" s="61" t="s">
        <v>193</v>
      </c>
      <c r="C30" s="62" t="s">
        <v>196</v>
      </c>
      <c r="D30" s="19" t="s">
        <v>5559</v>
      </c>
      <c r="E30" s="18" t="s">
        <v>5560</v>
      </c>
      <c r="F30" s="18" t="s">
        <v>5561</v>
      </c>
      <c r="G30" s="18" t="s">
        <v>5562</v>
      </c>
      <c r="H30" s="18" t="s">
        <v>5563</v>
      </c>
      <c r="I30" s="19">
        <v>3</v>
      </c>
      <c r="J30" s="19" t="s">
        <v>5564</v>
      </c>
      <c r="K30" s="18" t="s">
        <v>5546</v>
      </c>
      <c r="L30" s="19"/>
    </row>
    <row r="31" spans="1:12" ht="43.5" customHeight="1">
      <c r="A31" s="15">
        <v>28</v>
      </c>
      <c r="B31" s="61" t="s">
        <v>193</v>
      </c>
      <c r="C31" s="62" t="s">
        <v>196</v>
      </c>
      <c r="D31" s="18" t="s">
        <v>5565</v>
      </c>
      <c r="E31" s="18" t="s">
        <v>5566</v>
      </c>
      <c r="F31" s="18" t="s">
        <v>5567</v>
      </c>
      <c r="G31" s="18" t="s">
        <v>5568</v>
      </c>
      <c r="H31" s="18" t="s">
        <v>5569</v>
      </c>
      <c r="I31" s="19">
        <v>2</v>
      </c>
      <c r="J31" s="19" t="s">
        <v>5570</v>
      </c>
      <c r="K31" s="18" t="s">
        <v>5546</v>
      </c>
      <c r="L31" s="19"/>
    </row>
    <row r="32" spans="1:12" ht="51" customHeight="1">
      <c r="A32" s="15">
        <v>29</v>
      </c>
      <c r="B32" s="61" t="s">
        <v>193</v>
      </c>
      <c r="C32" s="62" t="s">
        <v>196</v>
      </c>
      <c r="D32" s="18" t="s">
        <v>5571</v>
      </c>
      <c r="E32" s="18" t="s">
        <v>5572</v>
      </c>
      <c r="F32" s="18" t="s">
        <v>5573</v>
      </c>
      <c r="G32" s="18" t="s">
        <v>5574</v>
      </c>
      <c r="H32" s="18" t="s">
        <v>5575</v>
      </c>
      <c r="I32" s="19">
        <v>1</v>
      </c>
      <c r="J32" s="19" t="s">
        <v>5576</v>
      </c>
      <c r="K32" s="18" t="s">
        <v>5546</v>
      </c>
      <c r="L32" s="19"/>
    </row>
    <row r="33" spans="1:12" ht="38.25" customHeight="1">
      <c r="A33" s="15">
        <v>30</v>
      </c>
      <c r="B33" s="61" t="s">
        <v>197</v>
      </c>
      <c r="C33" s="62" t="s">
        <v>198</v>
      </c>
      <c r="D33" s="19" t="s">
        <v>5577</v>
      </c>
      <c r="E33" s="18" t="s">
        <v>5578</v>
      </c>
      <c r="F33" s="18" t="s">
        <v>5579</v>
      </c>
      <c r="G33" s="18" t="s">
        <v>5580</v>
      </c>
      <c r="H33" s="18" t="s">
        <v>5581</v>
      </c>
      <c r="I33" s="19">
        <v>3</v>
      </c>
      <c r="J33" s="19" t="s">
        <v>5582</v>
      </c>
      <c r="K33" s="18"/>
      <c r="L33" s="19"/>
    </row>
    <row r="34" spans="1:12" ht="51" customHeight="1">
      <c r="A34" s="15">
        <v>31</v>
      </c>
      <c r="B34" s="61" t="s">
        <v>197</v>
      </c>
      <c r="C34" s="62" t="s">
        <v>198</v>
      </c>
      <c r="D34" s="18" t="s">
        <v>5583</v>
      </c>
      <c r="E34" s="18" t="s">
        <v>5584</v>
      </c>
      <c r="F34" s="18" t="s">
        <v>5585</v>
      </c>
      <c r="G34" s="18" t="s">
        <v>5586</v>
      </c>
      <c r="H34" s="18" t="s">
        <v>5587</v>
      </c>
      <c r="I34" s="19">
        <v>1</v>
      </c>
      <c r="J34" s="19" t="s">
        <v>5588</v>
      </c>
      <c r="K34" s="19" t="s">
        <v>5417</v>
      </c>
      <c r="L34" s="19"/>
    </row>
    <row r="35" spans="1:12" ht="51" customHeight="1">
      <c r="A35" s="15">
        <v>32</v>
      </c>
      <c r="B35" s="61" t="s">
        <v>197</v>
      </c>
      <c r="C35" s="62" t="s">
        <v>198</v>
      </c>
      <c r="D35" s="19" t="s">
        <v>5589</v>
      </c>
      <c r="E35" s="18" t="s">
        <v>5590</v>
      </c>
      <c r="F35" s="19" t="s">
        <v>5591</v>
      </c>
      <c r="G35" s="18" t="s">
        <v>5592</v>
      </c>
      <c r="H35" s="18" t="s">
        <v>5593</v>
      </c>
      <c r="I35" s="19">
        <v>4</v>
      </c>
      <c r="J35" s="19" t="s">
        <v>5594</v>
      </c>
      <c r="K35" s="18"/>
      <c r="L35" s="19"/>
    </row>
    <row r="36" spans="1:12" ht="51" customHeight="1">
      <c r="A36" s="15">
        <v>33</v>
      </c>
      <c r="B36" s="61" t="s">
        <v>197</v>
      </c>
      <c r="C36" s="62" t="s">
        <v>198</v>
      </c>
      <c r="D36" s="19" t="s">
        <v>5595</v>
      </c>
      <c r="E36" s="18" t="s">
        <v>5596</v>
      </c>
      <c r="F36" s="18" t="s">
        <v>5597</v>
      </c>
      <c r="G36" s="18" t="s">
        <v>5598</v>
      </c>
      <c r="H36" s="18" t="s">
        <v>5599</v>
      </c>
      <c r="I36" s="19">
        <v>3</v>
      </c>
      <c r="J36" s="19" t="s">
        <v>5600</v>
      </c>
      <c r="K36" s="18"/>
      <c r="L36" s="19"/>
    </row>
    <row r="37" spans="1:12" ht="43.5" customHeight="1">
      <c r="A37" s="15">
        <v>34</v>
      </c>
      <c r="B37" s="63" t="s">
        <v>197</v>
      </c>
      <c r="C37" s="64" t="s">
        <v>198</v>
      </c>
      <c r="D37" s="23" t="s">
        <v>5601</v>
      </c>
      <c r="E37" s="23" t="s">
        <v>5602</v>
      </c>
      <c r="F37" s="23" t="s">
        <v>5603</v>
      </c>
      <c r="G37" s="23" t="s">
        <v>5604</v>
      </c>
      <c r="H37" s="23" t="s">
        <v>5605</v>
      </c>
      <c r="I37" s="24">
        <v>2</v>
      </c>
      <c r="J37" s="24" t="s">
        <v>5606</v>
      </c>
      <c r="K37" s="23" t="s">
        <v>5607</v>
      </c>
      <c r="L37" s="24"/>
    </row>
    <row r="38" spans="1:12" ht="38.25" customHeight="1">
      <c r="A38" s="15">
        <v>35</v>
      </c>
      <c r="B38" s="63" t="s">
        <v>197</v>
      </c>
      <c r="C38" s="64" t="s">
        <v>198</v>
      </c>
      <c r="D38" s="23" t="s">
        <v>5608</v>
      </c>
      <c r="E38" s="23" t="s">
        <v>5609</v>
      </c>
      <c r="F38" s="23" t="s">
        <v>5610</v>
      </c>
      <c r="G38" s="23" t="s">
        <v>5611</v>
      </c>
      <c r="H38" s="23" t="s">
        <v>5612</v>
      </c>
      <c r="I38" s="24">
        <v>3</v>
      </c>
      <c r="J38" s="24" t="s">
        <v>5613</v>
      </c>
      <c r="K38" s="23" t="s">
        <v>5614</v>
      </c>
      <c r="L38" s="24"/>
    </row>
    <row r="39" spans="1:12" ht="51" customHeight="1">
      <c r="A39" s="15">
        <v>36</v>
      </c>
      <c r="B39" s="61" t="s">
        <v>197</v>
      </c>
      <c r="C39" s="62" t="s">
        <v>199</v>
      </c>
      <c r="D39" s="18" t="s">
        <v>5615</v>
      </c>
      <c r="E39" s="18" t="s">
        <v>5616</v>
      </c>
      <c r="F39" s="18" t="s">
        <v>5617</v>
      </c>
      <c r="G39" s="18" t="s">
        <v>5618</v>
      </c>
      <c r="H39" s="18" t="s">
        <v>5619</v>
      </c>
      <c r="I39" s="19">
        <v>1</v>
      </c>
      <c r="J39" s="19" t="s">
        <v>5620</v>
      </c>
      <c r="K39" s="18"/>
      <c r="L39" s="19"/>
    </row>
    <row r="40" spans="1:12" ht="63.75" customHeight="1">
      <c r="A40" s="15">
        <v>37</v>
      </c>
      <c r="B40" s="61" t="s">
        <v>197</v>
      </c>
      <c r="C40" s="62" t="s">
        <v>199</v>
      </c>
      <c r="D40" s="18" t="s">
        <v>5621</v>
      </c>
      <c r="E40" s="18" t="s">
        <v>5622</v>
      </c>
      <c r="F40" s="18" t="s">
        <v>5623</v>
      </c>
      <c r="G40" s="18" t="s">
        <v>5624</v>
      </c>
      <c r="H40" s="18" t="s">
        <v>5625</v>
      </c>
      <c r="I40" s="19">
        <v>3</v>
      </c>
      <c r="J40" s="19" t="s">
        <v>5626</v>
      </c>
      <c r="K40" s="18"/>
      <c r="L40" s="19"/>
    </row>
    <row r="41" spans="1:12" ht="38.25" customHeight="1">
      <c r="A41" s="15">
        <v>38</v>
      </c>
      <c r="B41" s="61" t="s">
        <v>201</v>
      </c>
      <c r="C41" s="62" t="s">
        <v>202</v>
      </c>
      <c r="D41" s="19" t="s">
        <v>5627</v>
      </c>
      <c r="E41" s="18" t="s">
        <v>5628</v>
      </c>
      <c r="F41" s="18" t="s">
        <v>5629</v>
      </c>
      <c r="G41" s="18" t="s">
        <v>5630</v>
      </c>
      <c r="H41" s="18" t="s">
        <v>5631</v>
      </c>
      <c r="I41" s="19">
        <v>1</v>
      </c>
      <c r="J41" s="19" t="s">
        <v>5632</v>
      </c>
      <c r="K41" s="18"/>
      <c r="L41" s="19"/>
    </row>
    <row r="42" spans="1:12" ht="51" customHeight="1">
      <c r="A42" s="15">
        <v>39</v>
      </c>
      <c r="B42" s="61" t="s">
        <v>201</v>
      </c>
      <c r="C42" s="62" t="s">
        <v>202</v>
      </c>
      <c r="D42" s="19" t="s">
        <v>5633</v>
      </c>
      <c r="E42" s="18" t="s">
        <v>3684</v>
      </c>
      <c r="F42" s="18" t="s">
        <v>5634</v>
      </c>
      <c r="G42" s="18" t="s">
        <v>5635</v>
      </c>
      <c r="H42" s="18" t="s">
        <v>5636</v>
      </c>
      <c r="I42" s="19">
        <v>4</v>
      </c>
      <c r="J42" s="19" t="s">
        <v>5637</v>
      </c>
      <c r="K42" s="18" t="s">
        <v>3473</v>
      </c>
      <c r="L42" s="19"/>
    </row>
    <row r="43" spans="1:12" ht="63.75" customHeight="1">
      <c r="A43" s="15">
        <v>40</v>
      </c>
      <c r="B43" s="61" t="s">
        <v>201</v>
      </c>
      <c r="C43" s="62" t="s">
        <v>202</v>
      </c>
      <c r="D43" s="18" t="s">
        <v>5638</v>
      </c>
      <c r="E43" s="18" t="s">
        <v>5639</v>
      </c>
      <c r="F43" s="18" t="s">
        <v>5640</v>
      </c>
      <c r="G43" s="18" t="s">
        <v>5641</v>
      </c>
      <c r="H43" s="18" t="s">
        <v>5642</v>
      </c>
      <c r="I43" s="19">
        <v>3</v>
      </c>
      <c r="J43" s="19" t="s">
        <v>5643</v>
      </c>
      <c r="K43" s="18"/>
      <c r="L43" s="19"/>
    </row>
    <row r="44" spans="1:12" ht="51" customHeight="1">
      <c r="A44" s="15">
        <v>41</v>
      </c>
      <c r="B44" s="61" t="s">
        <v>201</v>
      </c>
      <c r="C44" s="62" t="s">
        <v>202</v>
      </c>
      <c r="D44" s="18" t="s">
        <v>5644</v>
      </c>
      <c r="E44" s="18" t="s">
        <v>5645</v>
      </c>
      <c r="F44" s="18" t="s">
        <v>5646</v>
      </c>
      <c r="G44" s="18" t="s">
        <v>5647</v>
      </c>
      <c r="H44" s="18" t="s">
        <v>5648</v>
      </c>
      <c r="I44" s="19">
        <v>1</v>
      </c>
      <c r="J44" s="19" t="s">
        <v>5649</v>
      </c>
      <c r="K44" s="18"/>
      <c r="L44" s="19"/>
    </row>
    <row r="45" spans="1:12" ht="25.5" customHeight="1">
      <c r="A45" s="15">
        <v>42</v>
      </c>
      <c r="B45" s="61" t="s">
        <v>201</v>
      </c>
      <c r="C45" s="62" t="s">
        <v>202</v>
      </c>
      <c r="D45" s="19" t="s">
        <v>5650</v>
      </c>
      <c r="E45" s="19" t="s">
        <v>5651</v>
      </c>
      <c r="F45" s="19" t="s">
        <v>5652</v>
      </c>
      <c r="G45" s="19" t="s">
        <v>5653</v>
      </c>
      <c r="H45" s="19" t="s">
        <v>5654</v>
      </c>
      <c r="I45" s="19">
        <v>1</v>
      </c>
      <c r="J45" s="19" t="s">
        <v>5655</v>
      </c>
      <c r="K45" s="18" t="s">
        <v>5656</v>
      </c>
      <c r="L45" s="19"/>
    </row>
    <row r="46" spans="1:12" ht="38.25" customHeight="1">
      <c r="A46" s="15">
        <v>43</v>
      </c>
      <c r="B46" s="61" t="s">
        <v>201</v>
      </c>
      <c r="C46" s="62" t="s">
        <v>202</v>
      </c>
      <c r="D46" s="18" t="s">
        <v>5657</v>
      </c>
      <c r="E46" s="18" t="s">
        <v>5658</v>
      </c>
      <c r="F46" s="18" t="s">
        <v>5659</v>
      </c>
      <c r="G46" s="18" t="s">
        <v>5660</v>
      </c>
      <c r="H46" s="18" t="s">
        <v>5661</v>
      </c>
      <c r="I46" s="19">
        <v>3</v>
      </c>
      <c r="J46" s="19" t="s">
        <v>5662</v>
      </c>
      <c r="K46" s="18" t="s">
        <v>5663</v>
      </c>
      <c r="L46" s="19"/>
    </row>
    <row r="47" spans="1:12" ht="38.25" customHeight="1">
      <c r="A47" s="15">
        <v>44</v>
      </c>
      <c r="B47" s="61" t="s">
        <v>201</v>
      </c>
      <c r="C47" s="62" t="s">
        <v>202</v>
      </c>
      <c r="D47" s="18" t="s">
        <v>5664</v>
      </c>
      <c r="E47" s="18" t="s">
        <v>5665</v>
      </c>
      <c r="F47" s="18" t="s">
        <v>5666</v>
      </c>
      <c r="G47" s="18" t="s">
        <v>5667</v>
      </c>
      <c r="H47" s="18" t="s">
        <v>5668</v>
      </c>
      <c r="I47" s="19">
        <v>4</v>
      </c>
      <c r="J47" s="19" t="s">
        <v>5669</v>
      </c>
      <c r="K47" s="18" t="s">
        <v>5670</v>
      </c>
      <c r="L47" s="19"/>
    </row>
    <row r="48" spans="1:12" ht="25.5" customHeight="1">
      <c r="A48" s="15">
        <v>45</v>
      </c>
      <c r="B48" s="61" t="s">
        <v>201</v>
      </c>
      <c r="C48" s="62" t="s">
        <v>202</v>
      </c>
      <c r="D48" s="18" t="s">
        <v>5671</v>
      </c>
      <c r="E48" s="18" t="s">
        <v>5672</v>
      </c>
      <c r="F48" s="18" t="s">
        <v>5673</v>
      </c>
      <c r="G48" s="18" t="s">
        <v>5674</v>
      </c>
      <c r="H48" s="18" t="s">
        <v>5675</v>
      </c>
      <c r="I48" s="19">
        <v>2</v>
      </c>
      <c r="J48" s="19" t="s">
        <v>5676</v>
      </c>
      <c r="K48" s="18" t="s">
        <v>5677</v>
      </c>
      <c r="L48" s="19"/>
    </row>
    <row r="49" spans="1:12" ht="51" customHeight="1">
      <c r="A49" s="15">
        <v>46</v>
      </c>
      <c r="B49" s="61" t="s">
        <v>201</v>
      </c>
      <c r="C49" s="62" t="s">
        <v>202</v>
      </c>
      <c r="D49" s="18" t="s">
        <v>5678</v>
      </c>
      <c r="E49" s="19" t="s">
        <v>5679</v>
      </c>
      <c r="F49" s="19" t="s">
        <v>5680</v>
      </c>
      <c r="G49" s="19" t="s">
        <v>5681</v>
      </c>
      <c r="H49" s="19" t="s">
        <v>5682</v>
      </c>
      <c r="I49" s="19">
        <v>2</v>
      </c>
      <c r="J49" s="19" t="s">
        <v>5683</v>
      </c>
      <c r="K49" s="18" t="s">
        <v>5684</v>
      </c>
      <c r="L49" s="19"/>
    </row>
    <row r="50" spans="1:12" ht="38.25" customHeight="1">
      <c r="A50" s="15">
        <v>47</v>
      </c>
      <c r="B50" s="61" t="s">
        <v>201</v>
      </c>
      <c r="C50" s="62" t="s">
        <v>202</v>
      </c>
      <c r="D50" s="19" t="s">
        <v>5685</v>
      </c>
      <c r="E50" s="18" t="s">
        <v>5686</v>
      </c>
      <c r="F50" s="18" t="s">
        <v>5687</v>
      </c>
      <c r="G50" s="18" t="s">
        <v>5688</v>
      </c>
      <c r="H50" s="18" t="s">
        <v>5689</v>
      </c>
      <c r="I50" s="19">
        <v>2</v>
      </c>
      <c r="J50" s="19" t="s">
        <v>5690</v>
      </c>
      <c r="K50" s="18"/>
      <c r="L50" s="19"/>
    </row>
    <row r="51" spans="1:12" ht="25.5" customHeight="1">
      <c r="A51" s="15">
        <v>48</v>
      </c>
      <c r="B51" s="61" t="s">
        <v>201</v>
      </c>
      <c r="C51" s="62" t="s">
        <v>202</v>
      </c>
      <c r="D51" s="18" t="s">
        <v>5691</v>
      </c>
      <c r="E51" s="18" t="s">
        <v>5692</v>
      </c>
      <c r="F51" s="18" t="s">
        <v>5693</v>
      </c>
      <c r="G51" s="18" t="s">
        <v>5694</v>
      </c>
      <c r="H51" s="18" t="s">
        <v>5695</v>
      </c>
      <c r="I51" s="19">
        <v>4</v>
      </c>
      <c r="J51" s="19" t="s">
        <v>5696</v>
      </c>
      <c r="K51" s="18" t="s">
        <v>5697</v>
      </c>
      <c r="L51" s="19"/>
    </row>
    <row r="52" spans="1:12" ht="38.25" customHeight="1">
      <c r="A52" s="15">
        <v>49</v>
      </c>
      <c r="B52" s="61" t="s">
        <v>201</v>
      </c>
      <c r="C52" s="62" t="s">
        <v>202</v>
      </c>
      <c r="D52" s="19" t="s">
        <v>5698</v>
      </c>
      <c r="E52" s="18" t="s">
        <v>5699</v>
      </c>
      <c r="F52" s="18" t="s">
        <v>5700</v>
      </c>
      <c r="G52" s="18" t="s">
        <v>5701</v>
      </c>
      <c r="H52" s="18" t="s">
        <v>5702</v>
      </c>
      <c r="I52" s="19">
        <v>4</v>
      </c>
      <c r="J52" s="19" t="s">
        <v>5703</v>
      </c>
      <c r="K52" s="18" t="s">
        <v>1732</v>
      </c>
      <c r="L52" s="19"/>
    </row>
    <row r="53" spans="1:12" ht="25.5" customHeight="1">
      <c r="A53" s="15">
        <v>50</v>
      </c>
      <c r="B53" s="61" t="s">
        <v>201</v>
      </c>
      <c r="C53" s="62" t="s">
        <v>202</v>
      </c>
      <c r="D53" s="18" t="s">
        <v>5704</v>
      </c>
      <c r="E53" s="18" t="s">
        <v>5668</v>
      </c>
      <c r="F53" s="18" t="s">
        <v>5666</v>
      </c>
      <c r="G53" s="18" t="s">
        <v>5705</v>
      </c>
      <c r="H53" s="18" t="s">
        <v>5706</v>
      </c>
      <c r="I53" s="19">
        <v>4</v>
      </c>
      <c r="J53" s="19" t="s">
        <v>5707</v>
      </c>
      <c r="K53" s="18" t="s">
        <v>5670</v>
      </c>
      <c r="L53" s="19"/>
    </row>
    <row r="54" spans="1:12" ht="54.75" customHeight="1">
      <c r="A54" s="15">
        <v>51</v>
      </c>
      <c r="B54" s="61" t="s">
        <v>201</v>
      </c>
      <c r="C54" s="62" t="s">
        <v>202</v>
      </c>
      <c r="D54" s="23" t="s">
        <v>5708</v>
      </c>
      <c r="E54" s="23" t="s">
        <v>5709</v>
      </c>
      <c r="F54" s="23" t="s">
        <v>5710</v>
      </c>
      <c r="G54" s="23" t="s">
        <v>5711</v>
      </c>
      <c r="H54" s="23" t="s">
        <v>5712</v>
      </c>
      <c r="I54" s="23">
        <v>1</v>
      </c>
      <c r="J54" s="24" t="s">
        <v>5713</v>
      </c>
      <c r="K54" s="23" t="s">
        <v>3240</v>
      </c>
      <c r="L54" s="23"/>
    </row>
    <row r="55" spans="1:12" ht="65.25" customHeight="1">
      <c r="A55" s="15">
        <v>52</v>
      </c>
      <c r="B55" s="61" t="s">
        <v>201</v>
      </c>
      <c r="C55" s="62" t="s">
        <v>202</v>
      </c>
      <c r="D55" s="23" t="s">
        <v>5714</v>
      </c>
      <c r="E55" s="23" t="s">
        <v>5715</v>
      </c>
      <c r="F55" s="23" t="s">
        <v>3410</v>
      </c>
      <c r="G55" s="23" t="s">
        <v>5716</v>
      </c>
      <c r="H55" s="23" t="s">
        <v>3412</v>
      </c>
      <c r="I55" s="23">
        <v>3</v>
      </c>
      <c r="J55" s="24" t="s">
        <v>5717</v>
      </c>
      <c r="K55" s="23"/>
      <c r="L55" s="23"/>
    </row>
    <row r="56" spans="1:12" ht="48" customHeight="1">
      <c r="A56" s="15">
        <v>53</v>
      </c>
      <c r="B56" s="61" t="s">
        <v>201</v>
      </c>
      <c r="C56" s="62" t="s">
        <v>202</v>
      </c>
      <c r="D56" s="23" t="s">
        <v>5718</v>
      </c>
      <c r="E56" s="23" t="s">
        <v>4926</v>
      </c>
      <c r="F56" s="23" t="s">
        <v>5719</v>
      </c>
      <c r="G56" s="23" t="s">
        <v>5720</v>
      </c>
      <c r="H56" s="23" t="s">
        <v>5721</v>
      </c>
      <c r="I56" s="23">
        <v>4</v>
      </c>
      <c r="J56" s="24" t="s">
        <v>5722</v>
      </c>
      <c r="K56" s="23" t="s">
        <v>5656</v>
      </c>
      <c r="L56" s="23"/>
    </row>
    <row r="57" spans="1:12" ht="38.25" customHeight="1">
      <c r="A57" s="15">
        <v>54</v>
      </c>
      <c r="B57" s="63" t="s">
        <v>201</v>
      </c>
      <c r="C57" s="64" t="s">
        <v>202</v>
      </c>
      <c r="D57" s="23" t="s">
        <v>5723</v>
      </c>
      <c r="E57" s="23" t="s">
        <v>5724</v>
      </c>
      <c r="F57" s="23" t="s">
        <v>5725</v>
      </c>
      <c r="G57" s="23" t="s">
        <v>5726</v>
      </c>
      <c r="H57" s="23" t="s">
        <v>5727</v>
      </c>
      <c r="I57" s="24">
        <v>4</v>
      </c>
      <c r="J57" s="24" t="s">
        <v>5728</v>
      </c>
      <c r="K57" s="23"/>
      <c r="L57" s="24"/>
    </row>
    <row r="58" spans="1:12" ht="43.5" customHeight="1">
      <c r="A58" s="15">
        <v>55</v>
      </c>
      <c r="B58" s="63" t="s">
        <v>201</v>
      </c>
      <c r="C58" s="64" t="s">
        <v>202</v>
      </c>
      <c r="D58" s="23" t="s">
        <v>5729</v>
      </c>
      <c r="E58" s="23" t="s">
        <v>5730</v>
      </c>
      <c r="F58" s="23" t="s">
        <v>5731</v>
      </c>
      <c r="G58" s="23" t="s">
        <v>5732</v>
      </c>
      <c r="H58" s="23" t="s">
        <v>5733</v>
      </c>
      <c r="I58" s="24">
        <v>2</v>
      </c>
      <c r="J58" s="24" t="s">
        <v>5734</v>
      </c>
      <c r="K58" s="23"/>
      <c r="L58" s="24"/>
    </row>
    <row r="59" spans="1:12" ht="43.5" customHeight="1">
      <c r="A59" s="15">
        <v>56</v>
      </c>
      <c r="B59" s="63" t="s">
        <v>201</v>
      </c>
      <c r="C59" s="64" t="s">
        <v>202</v>
      </c>
      <c r="D59" s="23" t="s">
        <v>5735</v>
      </c>
      <c r="E59" s="23" t="s">
        <v>5736</v>
      </c>
      <c r="F59" s="23" t="s">
        <v>5737</v>
      </c>
      <c r="G59" s="23" t="s">
        <v>5738</v>
      </c>
      <c r="H59" s="23" t="s">
        <v>5739</v>
      </c>
      <c r="I59" s="24">
        <v>4</v>
      </c>
      <c r="J59" s="24" t="s">
        <v>5740</v>
      </c>
      <c r="K59" s="23"/>
      <c r="L59" s="24"/>
    </row>
    <row r="60" spans="1:12" s="104" customFormat="1" ht="43.5" customHeight="1">
      <c r="A60" s="106">
        <v>57</v>
      </c>
      <c r="B60" s="120" t="s">
        <v>201</v>
      </c>
      <c r="C60" s="121" t="s">
        <v>202</v>
      </c>
      <c r="D60" s="102" t="s">
        <v>5741</v>
      </c>
      <c r="E60" s="102" t="s">
        <v>5742</v>
      </c>
      <c r="F60" s="102" t="s">
        <v>5743</v>
      </c>
      <c r="G60" s="102" t="s">
        <v>5744</v>
      </c>
      <c r="H60" s="102" t="s">
        <v>5745</v>
      </c>
      <c r="I60" s="103">
        <v>1</v>
      </c>
      <c r="J60" s="103" t="s">
        <v>5746</v>
      </c>
      <c r="K60" s="118" t="s">
        <v>5747</v>
      </c>
      <c r="L60" s="103">
        <v>260830</v>
      </c>
    </row>
    <row r="61" spans="1:12" ht="43.5" customHeight="1">
      <c r="A61" s="15">
        <v>58</v>
      </c>
      <c r="B61" s="63" t="s">
        <v>201</v>
      </c>
      <c r="C61" s="64" t="s">
        <v>202</v>
      </c>
      <c r="D61" s="23" t="s">
        <v>5748</v>
      </c>
      <c r="E61" s="23" t="s">
        <v>5749</v>
      </c>
      <c r="F61" s="23" t="s">
        <v>5750</v>
      </c>
      <c r="G61" s="23" t="s">
        <v>5751</v>
      </c>
      <c r="H61" s="23" t="s">
        <v>5752</v>
      </c>
      <c r="I61" s="24">
        <v>1</v>
      </c>
      <c r="J61" s="24" t="s">
        <v>5753</v>
      </c>
      <c r="K61" s="23"/>
      <c r="L61" s="24"/>
    </row>
    <row r="62" spans="1:12" s="104" customFormat="1" ht="43.5" customHeight="1">
      <c r="A62" s="106">
        <v>59</v>
      </c>
      <c r="B62" s="120" t="s">
        <v>201</v>
      </c>
      <c r="C62" s="121" t="s">
        <v>202</v>
      </c>
      <c r="D62" s="102" t="s">
        <v>5754</v>
      </c>
      <c r="E62" s="102" t="s">
        <v>5755</v>
      </c>
      <c r="F62" s="102" t="s">
        <v>5756</v>
      </c>
      <c r="G62" s="102" t="s">
        <v>5757</v>
      </c>
      <c r="H62" s="102" t="s">
        <v>5758</v>
      </c>
      <c r="I62" s="103">
        <v>2</v>
      </c>
      <c r="J62" s="103" t="s">
        <v>5759</v>
      </c>
      <c r="K62" s="102" t="s">
        <v>5760</v>
      </c>
      <c r="L62" s="103">
        <v>260830</v>
      </c>
    </row>
    <row r="63" spans="1:12" ht="43.5" customHeight="1">
      <c r="A63" s="15">
        <v>60</v>
      </c>
      <c r="B63" s="63" t="s">
        <v>201</v>
      </c>
      <c r="C63" s="64" t="s">
        <v>202</v>
      </c>
      <c r="D63" s="23" t="s">
        <v>5761</v>
      </c>
      <c r="E63" s="23" t="s">
        <v>5762</v>
      </c>
      <c r="F63" s="23" t="s">
        <v>5763</v>
      </c>
      <c r="G63" s="23" t="s">
        <v>5764</v>
      </c>
      <c r="H63" s="23" t="s">
        <v>5765</v>
      </c>
      <c r="I63" s="24">
        <v>3</v>
      </c>
      <c r="J63" s="23" t="s">
        <v>5766</v>
      </c>
      <c r="K63" s="23" t="s">
        <v>5767</v>
      </c>
      <c r="L63" s="24"/>
    </row>
    <row r="64" spans="1:12" ht="43.5" customHeight="1">
      <c r="A64" s="15">
        <v>61</v>
      </c>
      <c r="B64" s="63" t="s">
        <v>201</v>
      </c>
      <c r="C64" s="64" t="s">
        <v>203</v>
      </c>
      <c r="D64" s="24" t="s">
        <v>5768</v>
      </c>
      <c r="E64" s="23" t="s">
        <v>5769</v>
      </c>
      <c r="F64" s="23" t="s">
        <v>5770</v>
      </c>
      <c r="G64" s="23" t="s">
        <v>5771</v>
      </c>
      <c r="H64" s="23" t="s">
        <v>5772</v>
      </c>
      <c r="I64" s="24">
        <v>2</v>
      </c>
      <c r="J64" s="24" t="s">
        <v>5773</v>
      </c>
      <c r="K64" s="23"/>
      <c r="L64" s="24"/>
    </row>
    <row r="65" spans="1:12" ht="43.5" customHeight="1">
      <c r="A65" s="15">
        <v>62</v>
      </c>
      <c r="B65" s="63" t="s">
        <v>201</v>
      </c>
      <c r="C65" s="64" t="s">
        <v>203</v>
      </c>
      <c r="D65" s="23" t="s">
        <v>5774</v>
      </c>
      <c r="E65" s="23" t="s">
        <v>5775</v>
      </c>
      <c r="F65" s="23" t="s">
        <v>5776</v>
      </c>
      <c r="G65" s="23" t="s">
        <v>5777</v>
      </c>
      <c r="H65" s="23" t="s">
        <v>5778</v>
      </c>
      <c r="I65" s="24">
        <v>2</v>
      </c>
      <c r="J65" s="24" t="s">
        <v>5779</v>
      </c>
      <c r="K65" s="23"/>
      <c r="L65" s="24"/>
    </row>
    <row r="66" spans="1:12" ht="43.5" customHeight="1">
      <c r="A66" s="15">
        <v>63</v>
      </c>
      <c r="B66" s="63" t="s">
        <v>201</v>
      </c>
      <c r="C66" s="64" t="s">
        <v>203</v>
      </c>
      <c r="D66" s="24" t="s">
        <v>5780</v>
      </c>
      <c r="E66" s="23" t="s">
        <v>5781</v>
      </c>
      <c r="F66" s="23" t="s">
        <v>5782</v>
      </c>
      <c r="G66" s="23" t="s">
        <v>5783</v>
      </c>
      <c r="H66" s="23" t="s">
        <v>5784</v>
      </c>
      <c r="I66" s="24">
        <v>4</v>
      </c>
      <c r="J66" s="24" t="s">
        <v>5785</v>
      </c>
      <c r="K66" s="23"/>
      <c r="L66" s="24"/>
    </row>
    <row r="67" spans="1:12" ht="43.5" customHeight="1">
      <c r="A67" s="15">
        <v>64</v>
      </c>
      <c r="B67" s="63" t="s">
        <v>201</v>
      </c>
      <c r="C67" s="64" t="s">
        <v>203</v>
      </c>
      <c r="D67" s="23" t="s">
        <v>5786</v>
      </c>
      <c r="E67" s="23" t="s">
        <v>5787</v>
      </c>
      <c r="F67" s="23" t="s">
        <v>5788</v>
      </c>
      <c r="G67" s="23" t="s">
        <v>5789</v>
      </c>
      <c r="H67" s="23" t="s">
        <v>5790</v>
      </c>
      <c r="I67" s="24">
        <v>4</v>
      </c>
      <c r="J67" s="23" t="s">
        <v>5791</v>
      </c>
      <c r="K67" s="23" t="s">
        <v>1620</v>
      </c>
      <c r="L67" s="24"/>
    </row>
    <row r="68" spans="1:12" ht="43.5" customHeight="1">
      <c r="A68" s="15">
        <v>65</v>
      </c>
      <c r="B68" s="61" t="s">
        <v>201</v>
      </c>
      <c r="C68" s="62" t="s">
        <v>204</v>
      </c>
      <c r="D68" s="19" t="s">
        <v>5792</v>
      </c>
      <c r="E68" s="18" t="s">
        <v>5793</v>
      </c>
      <c r="F68" s="18" t="s">
        <v>3412</v>
      </c>
      <c r="G68" s="18" t="s">
        <v>5794</v>
      </c>
      <c r="H68" s="18" t="s">
        <v>5795</v>
      </c>
      <c r="I68" s="19">
        <v>3</v>
      </c>
      <c r="J68" s="19" t="s">
        <v>5796</v>
      </c>
      <c r="K68" s="18"/>
      <c r="L68" s="19"/>
    </row>
    <row r="69" spans="1:12" ht="43.5" customHeight="1">
      <c r="A69" s="15">
        <v>66</v>
      </c>
      <c r="B69" s="61" t="s">
        <v>201</v>
      </c>
      <c r="C69" s="62" t="s">
        <v>205</v>
      </c>
      <c r="D69" s="19" t="s">
        <v>5797</v>
      </c>
      <c r="E69" s="18" t="s">
        <v>5794</v>
      </c>
      <c r="F69" s="18" t="s">
        <v>3679</v>
      </c>
      <c r="G69" s="18" t="s">
        <v>1529</v>
      </c>
      <c r="H69" s="18" t="s">
        <v>5798</v>
      </c>
      <c r="I69" s="19">
        <v>2</v>
      </c>
      <c r="J69" s="19" t="s">
        <v>5799</v>
      </c>
      <c r="K69" s="18"/>
      <c r="L69" s="19"/>
    </row>
    <row r="70" spans="1:12" ht="43.5" customHeight="1">
      <c r="A70" s="15">
        <v>67</v>
      </c>
      <c r="B70" s="61" t="s">
        <v>201</v>
      </c>
      <c r="C70" s="62" t="s">
        <v>205</v>
      </c>
      <c r="D70" s="18" t="s">
        <v>5800</v>
      </c>
      <c r="E70" s="18" t="s">
        <v>5801</v>
      </c>
      <c r="F70" s="18" t="s">
        <v>5802</v>
      </c>
      <c r="G70" s="18" t="s">
        <v>5803</v>
      </c>
      <c r="H70" s="18" t="s">
        <v>5804</v>
      </c>
      <c r="I70" s="19">
        <v>2</v>
      </c>
      <c r="J70" s="19" t="s">
        <v>5805</v>
      </c>
      <c r="K70" s="18"/>
      <c r="L70" s="19"/>
    </row>
    <row r="71" spans="1:12" ht="43.5" customHeight="1">
      <c r="A71" s="15">
        <v>68</v>
      </c>
      <c r="B71" s="61" t="s">
        <v>201</v>
      </c>
      <c r="C71" s="62" t="s">
        <v>205</v>
      </c>
      <c r="D71" s="18" t="s">
        <v>5806</v>
      </c>
      <c r="E71" s="18" t="s">
        <v>5640</v>
      </c>
      <c r="F71" s="18" t="s">
        <v>5807</v>
      </c>
      <c r="G71" s="18" t="s">
        <v>5808</v>
      </c>
      <c r="H71" s="18" t="s">
        <v>5809</v>
      </c>
      <c r="I71" s="19">
        <v>4</v>
      </c>
      <c r="J71" s="19" t="s">
        <v>5810</v>
      </c>
      <c r="K71" s="18"/>
      <c r="L71" s="19"/>
    </row>
    <row r="72" spans="1:12" ht="43.5" customHeight="1">
      <c r="A72" s="15">
        <v>69</v>
      </c>
      <c r="B72" s="63" t="s">
        <v>201</v>
      </c>
      <c r="C72" s="64" t="s">
        <v>205</v>
      </c>
      <c r="D72" s="23" t="s">
        <v>5811</v>
      </c>
      <c r="E72" s="23" t="s">
        <v>5812</v>
      </c>
      <c r="F72" s="23" t="s">
        <v>5813</v>
      </c>
      <c r="G72" s="23" t="s">
        <v>5814</v>
      </c>
      <c r="H72" s="23" t="s">
        <v>5815</v>
      </c>
      <c r="I72" s="24">
        <v>3</v>
      </c>
      <c r="J72" s="24" t="s">
        <v>5816</v>
      </c>
      <c r="K72" s="23"/>
      <c r="L72" s="24"/>
    </row>
    <row r="73" spans="1:12" ht="42" customHeight="1">
      <c r="A73" s="15">
        <v>70</v>
      </c>
      <c r="B73" s="61" t="s">
        <v>207</v>
      </c>
      <c r="C73" s="62" t="s">
        <v>208</v>
      </c>
      <c r="D73" s="23" t="s">
        <v>5817</v>
      </c>
      <c r="E73" s="23" t="s">
        <v>5818</v>
      </c>
      <c r="F73" s="23" t="s">
        <v>5819</v>
      </c>
      <c r="G73" s="23" t="s">
        <v>5820</v>
      </c>
      <c r="H73" s="23" t="s">
        <v>5821</v>
      </c>
      <c r="I73" s="24">
        <v>3</v>
      </c>
      <c r="J73" s="24" t="s">
        <v>5822</v>
      </c>
      <c r="K73" s="23"/>
      <c r="L73" s="24"/>
    </row>
    <row r="74" spans="1:12" ht="42" customHeight="1">
      <c r="A74" s="15">
        <v>71</v>
      </c>
      <c r="B74" s="61" t="s">
        <v>207</v>
      </c>
      <c r="C74" s="62" t="s">
        <v>209</v>
      </c>
      <c r="D74" s="24" t="s">
        <v>5823</v>
      </c>
      <c r="E74" s="23" t="s">
        <v>5824</v>
      </c>
      <c r="F74" s="23" t="s">
        <v>5825</v>
      </c>
      <c r="G74" s="23" t="s">
        <v>5826</v>
      </c>
      <c r="H74" s="23" t="s">
        <v>5827</v>
      </c>
      <c r="I74" s="24">
        <v>2</v>
      </c>
      <c r="J74" s="24" t="s">
        <v>5828</v>
      </c>
      <c r="K74" s="23" t="s">
        <v>295</v>
      </c>
      <c r="L74" s="24"/>
    </row>
    <row r="75" spans="1:12" ht="67.5" customHeight="1">
      <c r="A75" s="15">
        <v>72</v>
      </c>
      <c r="B75" s="90" t="s">
        <v>190</v>
      </c>
      <c r="C75" s="90" t="s">
        <v>191</v>
      </c>
      <c r="D75" s="91" t="s">
        <v>5829</v>
      </c>
      <c r="E75" s="90" t="s">
        <v>470</v>
      </c>
      <c r="F75" s="90" t="s">
        <v>472</v>
      </c>
      <c r="G75" s="90" t="s">
        <v>471</v>
      </c>
      <c r="H75" s="90" t="s">
        <v>469</v>
      </c>
      <c r="I75" s="90">
        <v>4</v>
      </c>
      <c r="J75" s="91" t="s">
        <v>5830</v>
      </c>
      <c r="K75" s="90"/>
    </row>
    <row r="76" spans="1:12" ht="67.5" customHeight="1">
      <c r="A76" s="15">
        <v>73</v>
      </c>
      <c r="B76" s="90" t="s">
        <v>190</v>
      </c>
      <c r="C76" s="90" t="s">
        <v>191</v>
      </c>
      <c r="D76" s="91" t="s">
        <v>5831</v>
      </c>
      <c r="E76" s="90" t="s">
        <v>478</v>
      </c>
      <c r="F76" s="90" t="s">
        <v>477</v>
      </c>
      <c r="G76" s="90" t="s">
        <v>476</v>
      </c>
      <c r="H76" s="90" t="s">
        <v>475</v>
      </c>
      <c r="I76" s="90">
        <v>4</v>
      </c>
      <c r="J76" s="91" t="s">
        <v>3047</v>
      </c>
      <c r="K76" s="90"/>
    </row>
    <row r="77" spans="1:12" ht="67.5" customHeight="1">
      <c r="A77" s="15">
        <v>74</v>
      </c>
      <c r="B77" s="90" t="s">
        <v>190</v>
      </c>
      <c r="C77" s="90" t="s">
        <v>191</v>
      </c>
      <c r="D77" s="91" t="s">
        <v>5832</v>
      </c>
      <c r="E77" s="90" t="s">
        <v>1071</v>
      </c>
      <c r="F77" s="90" t="s">
        <v>1072</v>
      </c>
      <c r="G77" s="90" t="s">
        <v>1070</v>
      </c>
      <c r="H77" s="90" t="s">
        <v>1069</v>
      </c>
      <c r="I77" s="90">
        <v>3</v>
      </c>
      <c r="J77" s="91" t="s">
        <v>1257</v>
      </c>
      <c r="K77" s="90"/>
    </row>
    <row r="78" spans="1:12" ht="50.75" customHeight="1">
      <c r="A78" s="15">
        <v>75</v>
      </c>
      <c r="B78" s="90" t="s">
        <v>190</v>
      </c>
      <c r="C78" s="90" t="s">
        <v>191</v>
      </c>
      <c r="D78" s="91" t="s">
        <v>5833</v>
      </c>
      <c r="E78" s="90" t="s">
        <v>5834</v>
      </c>
      <c r="F78" s="90" t="s">
        <v>5835</v>
      </c>
      <c r="G78" s="90" t="s">
        <v>5836</v>
      </c>
      <c r="H78" s="90" t="s">
        <v>5837</v>
      </c>
      <c r="I78" s="90">
        <v>2</v>
      </c>
      <c r="J78" s="91" t="s">
        <v>5838</v>
      </c>
      <c r="K78" s="90"/>
    </row>
    <row r="79" spans="1:12" ht="67.5" customHeight="1">
      <c r="A79" s="15">
        <v>76</v>
      </c>
      <c r="B79" s="90" t="s">
        <v>190</v>
      </c>
      <c r="C79" s="90" t="s">
        <v>191</v>
      </c>
      <c r="D79" s="91" t="s">
        <v>1958</v>
      </c>
      <c r="E79" s="90" t="s">
        <v>5839</v>
      </c>
      <c r="F79" s="90" t="s">
        <v>5840</v>
      </c>
      <c r="G79" s="90" t="s">
        <v>5841</v>
      </c>
      <c r="H79" s="90" t="s">
        <v>5842</v>
      </c>
      <c r="I79" s="90">
        <v>4</v>
      </c>
      <c r="J79" s="91" t="s">
        <v>5843</v>
      </c>
      <c r="K79" s="90"/>
    </row>
    <row r="80" spans="1:12" ht="33.75" customHeight="1">
      <c r="A80" s="15">
        <v>77</v>
      </c>
      <c r="B80" s="90" t="s">
        <v>190</v>
      </c>
      <c r="C80" s="90" t="s">
        <v>191</v>
      </c>
      <c r="D80" s="91" t="s">
        <v>5844</v>
      </c>
      <c r="E80" s="90" t="s">
        <v>5845</v>
      </c>
      <c r="F80" s="90" t="s">
        <v>5846</v>
      </c>
      <c r="G80" s="90" t="s">
        <v>5847</v>
      </c>
      <c r="H80" s="90" t="s">
        <v>5848</v>
      </c>
      <c r="I80" s="90">
        <v>3</v>
      </c>
      <c r="J80" s="91" t="s">
        <v>5849</v>
      </c>
      <c r="K80" s="90"/>
    </row>
    <row r="81" spans="1:11" ht="84.5" customHeight="1">
      <c r="A81" s="15">
        <v>78</v>
      </c>
      <c r="B81" s="90" t="s">
        <v>190</v>
      </c>
      <c r="C81" s="90" t="s">
        <v>192</v>
      </c>
      <c r="D81" s="91" t="s">
        <v>5850</v>
      </c>
      <c r="E81" s="90" t="s">
        <v>5851</v>
      </c>
      <c r="F81" s="90" t="s">
        <v>5852</v>
      </c>
      <c r="G81" s="90" t="s">
        <v>5853</v>
      </c>
      <c r="H81" s="90" t="s">
        <v>5854</v>
      </c>
      <c r="I81" s="90">
        <v>2</v>
      </c>
      <c r="J81" s="91" t="s">
        <v>5855</v>
      </c>
      <c r="K81" s="90"/>
    </row>
    <row r="82" spans="1:11" ht="50.75" customHeight="1">
      <c r="A82" s="15">
        <v>79</v>
      </c>
      <c r="B82" s="90" t="s">
        <v>190</v>
      </c>
      <c r="C82" s="90" t="s">
        <v>192</v>
      </c>
      <c r="D82" s="91" t="s">
        <v>5856</v>
      </c>
      <c r="E82" s="90" t="s">
        <v>5857</v>
      </c>
      <c r="F82" s="90" t="s">
        <v>5858</v>
      </c>
      <c r="G82" s="90" t="s">
        <v>5859</v>
      </c>
      <c r="H82" s="90" t="s">
        <v>5860</v>
      </c>
      <c r="I82" s="90">
        <v>3</v>
      </c>
      <c r="J82" s="91" t="s">
        <v>5861</v>
      </c>
      <c r="K82" s="90"/>
    </row>
    <row r="83" spans="1:11" ht="84.5" customHeight="1">
      <c r="A83" s="15">
        <v>80</v>
      </c>
      <c r="B83" s="90" t="s">
        <v>190</v>
      </c>
      <c r="C83" s="90" t="s">
        <v>192</v>
      </c>
      <c r="D83" s="91" t="s">
        <v>5862</v>
      </c>
      <c r="E83" s="90" t="s">
        <v>1649</v>
      </c>
      <c r="F83" s="90" t="s">
        <v>5863</v>
      </c>
      <c r="G83" s="90" t="s">
        <v>1530</v>
      </c>
      <c r="H83" s="90" t="s">
        <v>5864</v>
      </c>
      <c r="I83" s="90">
        <v>3</v>
      </c>
      <c r="J83" s="91" t="s">
        <v>5865</v>
      </c>
      <c r="K83" s="90"/>
    </row>
    <row r="84" spans="1:11" ht="50.75" customHeight="1">
      <c r="A84" s="15">
        <v>81</v>
      </c>
      <c r="B84" s="90" t="s">
        <v>190</v>
      </c>
      <c r="C84" s="90" t="s">
        <v>191</v>
      </c>
      <c r="D84" s="91" t="s">
        <v>5866</v>
      </c>
      <c r="E84" s="90" t="s">
        <v>5867</v>
      </c>
      <c r="F84" s="90" t="s">
        <v>5868</v>
      </c>
      <c r="G84" s="90" t="s">
        <v>5869</v>
      </c>
      <c r="H84" s="90" t="s">
        <v>5870</v>
      </c>
      <c r="I84" s="90">
        <v>2</v>
      </c>
      <c r="J84" s="91" t="s">
        <v>5871</v>
      </c>
      <c r="K84" s="90"/>
    </row>
    <row r="85" spans="1:11" ht="84.5" customHeight="1">
      <c r="A85" s="15">
        <v>82</v>
      </c>
      <c r="B85" s="90" t="s">
        <v>190</v>
      </c>
      <c r="C85" s="90" t="s">
        <v>192</v>
      </c>
      <c r="D85" s="91" t="s">
        <v>5872</v>
      </c>
      <c r="E85" s="90" t="s">
        <v>5873</v>
      </c>
      <c r="F85" s="90" t="s">
        <v>5874</v>
      </c>
      <c r="G85" s="90" t="s">
        <v>5875</v>
      </c>
      <c r="H85" s="90" t="s">
        <v>5876</v>
      </c>
      <c r="I85" s="90">
        <v>2</v>
      </c>
      <c r="J85" s="91" t="s">
        <v>5877</v>
      </c>
      <c r="K85" s="90"/>
    </row>
    <row r="86" spans="1:11" ht="50.75" customHeight="1">
      <c r="A86" s="15">
        <v>83</v>
      </c>
      <c r="B86" s="90" t="s">
        <v>190</v>
      </c>
      <c r="C86" s="90" t="s">
        <v>191</v>
      </c>
      <c r="D86" s="91" t="s">
        <v>5878</v>
      </c>
      <c r="E86" s="90" t="s">
        <v>5879</v>
      </c>
      <c r="F86" s="90" t="s">
        <v>5880</v>
      </c>
      <c r="G86" s="90" t="s">
        <v>5881</v>
      </c>
      <c r="H86" s="90" t="s">
        <v>5882</v>
      </c>
      <c r="I86" s="90">
        <v>2</v>
      </c>
      <c r="J86" s="91" t="s">
        <v>5883</v>
      </c>
      <c r="K86" s="90"/>
    </row>
    <row r="87" spans="1:11" ht="67.5" customHeight="1">
      <c r="A87" s="15">
        <v>84</v>
      </c>
      <c r="B87" s="90" t="s">
        <v>190</v>
      </c>
      <c r="C87" s="90" t="s">
        <v>192</v>
      </c>
      <c r="D87" s="91" t="s">
        <v>5884</v>
      </c>
      <c r="E87" s="90" t="s">
        <v>5885</v>
      </c>
      <c r="F87" s="90" t="s">
        <v>5886</v>
      </c>
      <c r="G87" s="90" t="s">
        <v>5887</v>
      </c>
      <c r="H87" s="90" t="s">
        <v>5888</v>
      </c>
      <c r="I87" s="90">
        <v>2</v>
      </c>
      <c r="J87" s="91" t="s">
        <v>5889</v>
      </c>
      <c r="K87" s="90"/>
    </row>
    <row r="88" spans="1:11" ht="50.75" customHeight="1">
      <c r="A88" s="15">
        <v>85</v>
      </c>
      <c r="B88" s="90" t="s">
        <v>190</v>
      </c>
      <c r="C88" s="90" t="s">
        <v>191</v>
      </c>
      <c r="D88" s="91" t="s">
        <v>5890</v>
      </c>
      <c r="E88" s="90" t="s">
        <v>5891</v>
      </c>
      <c r="F88" s="90" t="s">
        <v>5892</v>
      </c>
      <c r="G88" s="90" t="s">
        <v>5893</v>
      </c>
      <c r="H88" s="90" t="s">
        <v>5894</v>
      </c>
      <c r="I88" s="90">
        <v>3</v>
      </c>
      <c r="J88" s="91" t="s">
        <v>5895</v>
      </c>
      <c r="K88" s="90"/>
    </row>
    <row r="89" spans="1:11" ht="67.5" customHeight="1">
      <c r="A89" s="15">
        <v>86</v>
      </c>
      <c r="B89" s="90" t="s">
        <v>190</v>
      </c>
      <c r="C89" s="90" t="s">
        <v>191</v>
      </c>
      <c r="D89" s="91" t="s">
        <v>5896</v>
      </c>
      <c r="E89" s="90" t="s">
        <v>5897</v>
      </c>
      <c r="F89" s="90" t="s">
        <v>5898</v>
      </c>
      <c r="G89" s="90" t="s">
        <v>5899</v>
      </c>
      <c r="H89" s="90" t="s">
        <v>5900</v>
      </c>
      <c r="I89" s="90">
        <v>2</v>
      </c>
      <c r="J89" s="91" t="s">
        <v>5901</v>
      </c>
      <c r="K89" s="90"/>
    </row>
    <row r="90" spans="1:11" ht="50.75" customHeight="1">
      <c r="A90" s="15">
        <v>87</v>
      </c>
      <c r="B90" s="90" t="s">
        <v>190</v>
      </c>
      <c r="C90" s="90" t="s">
        <v>191</v>
      </c>
      <c r="D90" s="91" t="s">
        <v>5902</v>
      </c>
      <c r="E90" s="90" t="s">
        <v>5903</v>
      </c>
      <c r="F90" s="90" t="s">
        <v>5904</v>
      </c>
      <c r="G90" s="90" t="s">
        <v>5905</v>
      </c>
      <c r="H90" s="90" t="s">
        <v>5906</v>
      </c>
      <c r="I90" s="90">
        <v>1</v>
      </c>
      <c r="J90" s="91" t="s">
        <v>5907</v>
      </c>
      <c r="K90" s="90"/>
    </row>
    <row r="91" spans="1:11" ht="101.25" customHeight="1">
      <c r="A91" s="15">
        <v>88</v>
      </c>
      <c r="B91" s="90" t="s">
        <v>190</v>
      </c>
      <c r="C91" s="90" t="s">
        <v>191</v>
      </c>
      <c r="D91" s="91" t="s">
        <v>5908</v>
      </c>
      <c r="E91" s="90" t="s">
        <v>5909</v>
      </c>
      <c r="F91" s="90" t="s">
        <v>5910</v>
      </c>
      <c r="G91" s="90" t="s">
        <v>5911</v>
      </c>
      <c r="H91" s="90" t="s">
        <v>5912</v>
      </c>
      <c r="I91" s="90">
        <v>1</v>
      </c>
      <c r="J91" s="91" t="s">
        <v>5913</v>
      </c>
      <c r="K91" s="90"/>
    </row>
    <row r="92" spans="1:11" ht="67.5" customHeight="1">
      <c r="A92" s="15">
        <v>89</v>
      </c>
      <c r="B92" s="90" t="s">
        <v>190</v>
      </c>
      <c r="C92" s="90" t="s">
        <v>191</v>
      </c>
      <c r="D92" s="91" t="s">
        <v>5914</v>
      </c>
      <c r="E92" s="90" t="s">
        <v>5915</v>
      </c>
      <c r="F92" s="90" t="s">
        <v>5916</v>
      </c>
      <c r="G92" s="90" t="s">
        <v>5917</v>
      </c>
      <c r="H92" s="90" t="s">
        <v>5918</v>
      </c>
      <c r="I92" s="90">
        <v>1</v>
      </c>
      <c r="J92" s="91" t="s">
        <v>5919</v>
      </c>
      <c r="K92" s="90"/>
    </row>
    <row r="93" spans="1:11" ht="84.5" customHeight="1">
      <c r="A93" s="15">
        <v>90</v>
      </c>
      <c r="B93" s="90" t="s">
        <v>190</v>
      </c>
      <c r="C93" s="90" t="s">
        <v>192</v>
      </c>
      <c r="D93" s="91" t="s">
        <v>5920</v>
      </c>
      <c r="E93" s="90" t="s">
        <v>5921</v>
      </c>
      <c r="F93" s="90" t="s">
        <v>5922</v>
      </c>
      <c r="G93" s="90" t="s">
        <v>5923</v>
      </c>
      <c r="H93" s="90" t="s">
        <v>5924</v>
      </c>
      <c r="I93" s="90">
        <v>1</v>
      </c>
      <c r="J93" s="91" t="s">
        <v>5925</v>
      </c>
      <c r="K93" s="90"/>
    </row>
    <row r="94" spans="1:11" ht="84.5" customHeight="1">
      <c r="A94" s="15">
        <v>91</v>
      </c>
      <c r="B94" s="90" t="s">
        <v>190</v>
      </c>
      <c r="C94" s="90" t="s">
        <v>191</v>
      </c>
      <c r="D94" s="91" t="s">
        <v>5926</v>
      </c>
      <c r="E94" s="90" t="s">
        <v>5891</v>
      </c>
      <c r="F94" s="90" t="s">
        <v>5892</v>
      </c>
      <c r="G94" s="90" t="s">
        <v>5894</v>
      </c>
      <c r="H94" s="90" t="s">
        <v>5927</v>
      </c>
      <c r="I94" s="90">
        <v>4</v>
      </c>
      <c r="J94" s="91" t="s">
        <v>5928</v>
      </c>
      <c r="K94" s="90"/>
    </row>
    <row r="95" spans="1:11" ht="67.5" customHeight="1">
      <c r="A95" s="15">
        <v>92</v>
      </c>
      <c r="B95" s="90" t="s">
        <v>193</v>
      </c>
      <c r="C95" s="90" t="s">
        <v>194</v>
      </c>
      <c r="D95" s="91" t="s">
        <v>5929</v>
      </c>
      <c r="E95" s="90" t="s">
        <v>470</v>
      </c>
      <c r="F95" s="90" t="s">
        <v>471</v>
      </c>
      <c r="G95" s="90" t="s">
        <v>472</v>
      </c>
      <c r="H95" s="90" t="s">
        <v>469</v>
      </c>
      <c r="I95" s="90">
        <v>4</v>
      </c>
      <c r="J95" s="91" t="s">
        <v>5323</v>
      </c>
      <c r="K95" s="90"/>
    </row>
    <row r="96" spans="1:11" ht="67.5" customHeight="1">
      <c r="A96" s="15">
        <v>93</v>
      </c>
      <c r="B96" s="90" t="s">
        <v>193</v>
      </c>
      <c r="C96" s="90" t="s">
        <v>194</v>
      </c>
      <c r="D96" s="91" t="s">
        <v>5930</v>
      </c>
      <c r="E96" s="90" t="s">
        <v>1071</v>
      </c>
      <c r="F96" s="90" t="s">
        <v>1070</v>
      </c>
      <c r="G96" s="90" t="s">
        <v>1069</v>
      </c>
      <c r="H96" s="90" t="s">
        <v>1072</v>
      </c>
      <c r="I96" s="90">
        <v>2</v>
      </c>
      <c r="J96" s="91" t="s">
        <v>2812</v>
      </c>
      <c r="K96" s="90"/>
    </row>
    <row r="97" spans="1:11" ht="50.75" customHeight="1">
      <c r="A97" s="15">
        <v>94</v>
      </c>
      <c r="B97" s="90" t="s">
        <v>193</v>
      </c>
      <c r="C97" s="90" t="s">
        <v>194</v>
      </c>
      <c r="D97" s="91" t="s">
        <v>5931</v>
      </c>
      <c r="E97" s="90" t="s">
        <v>5932</v>
      </c>
      <c r="F97" s="90" t="s">
        <v>5933</v>
      </c>
      <c r="G97" s="90" t="s">
        <v>5934</v>
      </c>
      <c r="H97" s="90" t="s">
        <v>5935</v>
      </c>
      <c r="I97" s="90">
        <v>3</v>
      </c>
      <c r="J97" s="91" t="s">
        <v>5936</v>
      </c>
      <c r="K97" s="90"/>
    </row>
    <row r="98" spans="1:11" ht="33.75" customHeight="1">
      <c r="A98" s="15">
        <v>95</v>
      </c>
      <c r="B98" s="90" t="s">
        <v>193</v>
      </c>
      <c r="C98" s="90" t="s">
        <v>194</v>
      </c>
      <c r="D98" s="91" t="s">
        <v>5937</v>
      </c>
      <c r="E98" s="90" t="s">
        <v>5847</v>
      </c>
      <c r="F98" s="90" t="s">
        <v>5938</v>
      </c>
      <c r="G98" s="90" t="s">
        <v>5939</v>
      </c>
      <c r="H98" s="90" t="s">
        <v>5940</v>
      </c>
      <c r="I98" s="90">
        <v>2</v>
      </c>
      <c r="J98" s="91" t="s">
        <v>5941</v>
      </c>
      <c r="K98" s="90"/>
    </row>
    <row r="99" spans="1:11" ht="33.75" customHeight="1">
      <c r="A99" s="15">
        <v>96</v>
      </c>
      <c r="B99" s="90" t="s">
        <v>193</v>
      </c>
      <c r="C99" s="90" t="s">
        <v>194</v>
      </c>
      <c r="D99" s="91" t="s">
        <v>5942</v>
      </c>
      <c r="E99" s="90" t="s">
        <v>5943</v>
      </c>
      <c r="F99" s="90" t="s">
        <v>5944</v>
      </c>
      <c r="G99" s="90" t="s">
        <v>5945</v>
      </c>
      <c r="H99" s="90" t="s">
        <v>5946</v>
      </c>
      <c r="I99" s="90">
        <v>2</v>
      </c>
      <c r="J99" s="91" t="s">
        <v>5947</v>
      </c>
      <c r="K99" s="90"/>
    </row>
    <row r="100" spans="1:11" ht="50.75" customHeight="1">
      <c r="A100" s="15">
        <v>97</v>
      </c>
      <c r="B100" s="90" t="s">
        <v>193</v>
      </c>
      <c r="C100" s="90" t="s">
        <v>195</v>
      </c>
      <c r="D100" s="91" t="s">
        <v>5948</v>
      </c>
      <c r="E100" s="90" t="s">
        <v>5949</v>
      </c>
      <c r="F100" s="90" t="s">
        <v>5950</v>
      </c>
      <c r="G100" s="90" t="s">
        <v>5951</v>
      </c>
      <c r="H100" s="90" t="s">
        <v>5952</v>
      </c>
      <c r="I100" s="90">
        <v>3</v>
      </c>
      <c r="J100" s="91" t="s">
        <v>5953</v>
      </c>
      <c r="K100" s="90"/>
    </row>
    <row r="101" spans="1:11" ht="67.5" customHeight="1">
      <c r="A101" s="15">
        <v>98</v>
      </c>
      <c r="B101" s="90" t="s">
        <v>193</v>
      </c>
      <c r="C101" s="90" t="s">
        <v>196</v>
      </c>
      <c r="D101" s="91" t="s">
        <v>5954</v>
      </c>
      <c r="E101" s="90" t="s">
        <v>5955</v>
      </c>
      <c r="F101" s="90" t="s">
        <v>5956</v>
      </c>
      <c r="G101" s="90" t="s">
        <v>5957</v>
      </c>
      <c r="H101" s="90" t="s">
        <v>5958</v>
      </c>
      <c r="I101" s="90">
        <v>2</v>
      </c>
      <c r="J101" s="91" t="s">
        <v>5959</v>
      </c>
      <c r="K101" s="90"/>
    </row>
    <row r="102" spans="1:11" ht="67.5" customHeight="1">
      <c r="A102" s="15">
        <v>99</v>
      </c>
      <c r="B102" s="90" t="s">
        <v>197</v>
      </c>
      <c r="C102" s="90" t="s">
        <v>198</v>
      </c>
      <c r="D102" s="91" t="s">
        <v>5960</v>
      </c>
      <c r="E102" s="90" t="s">
        <v>5961</v>
      </c>
      <c r="F102" s="90" t="s">
        <v>5962</v>
      </c>
      <c r="G102" s="90" t="s">
        <v>5963</v>
      </c>
      <c r="H102" s="90" t="s">
        <v>5964</v>
      </c>
      <c r="I102" s="90">
        <v>3</v>
      </c>
      <c r="J102" s="91" t="s">
        <v>5965</v>
      </c>
      <c r="K102" s="90"/>
    </row>
    <row r="103" spans="1:11" ht="50.75" customHeight="1">
      <c r="A103" s="15">
        <v>100</v>
      </c>
      <c r="B103" s="90" t="s">
        <v>193</v>
      </c>
      <c r="C103" s="90" t="s">
        <v>196</v>
      </c>
      <c r="D103" s="91" t="s">
        <v>5966</v>
      </c>
      <c r="E103" s="90" t="s">
        <v>5967</v>
      </c>
      <c r="F103" s="90" t="s">
        <v>5968</v>
      </c>
      <c r="G103" s="90" t="s">
        <v>5969</v>
      </c>
      <c r="H103" s="90" t="s">
        <v>5970</v>
      </c>
      <c r="I103" s="90">
        <v>3</v>
      </c>
      <c r="J103" s="91" t="s">
        <v>5971</v>
      </c>
      <c r="K103" s="90"/>
    </row>
    <row r="104" spans="1:11" ht="50.75" customHeight="1">
      <c r="A104" s="15">
        <v>101</v>
      </c>
      <c r="B104" s="90" t="s">
        <v>193</v>
      </c>
      <c r="C104" s="90" t="s">
        <v>194</v>
      </c>
      <c r="D104" s="91" t="s">
        <v>5972</v>
      </c>
      <c r="E104" s="90" t="s">
        <v>5973</v>
      </c>
      <c r="F104" s="90" t="s">
        <v>5974</v>
      </c>
      <c r="G104" s="90" t="s">
        <v>5975</v>
      </c>
      <c r="H104" s="90" t="s">
        <v>5976</v>
      </c>
      <c r="I104" s="90">
        <v>2</v>
      </c>
      <c r="J104" s="91" t="s">
        <v>5977</v>
      </c>
      <c r="K104" s="90"/>
    </row>
    <row r="105" spans="1:11" ht="50.75" customHeight="1">
      <c r="A105" s="15">
        <v>102</v>
      </c>
      <c r="B105" s="90" t="s">
        <v>193</v>
      </c>
      <c r="C105" s="90" t="s">
        <v>194</v>
      </c>
      <c r="D105" s="91" t="s">
        <v>5978</v>
      </c>
      <c r="E105" s="90" t="s">
        <v>5979</v>
      </c>
      <c r="F105" s="90" t="s">
        <v>5980</v>
      </c>
      <c r="G105" s="90" t="s">
        <v>5981</v>
      </c>
      <c r="H105" s="90" t="s">
        <v>5982</v>
      </c>
      <c r="I105" s="90">
        <v>2</v>
      </c>
      <c r="J105" s="91" t="s">
        <v>5983</v>
      </c>
      <c r="K105" s="90"/>
    </row>
    <row r="106" spans="1:11" ht="50.75" customHeight="1">
      <c r="A106" s="15">
        <v>103</v>
      </c>
      <c r="B106" s="90" t="s">
        <v>193</v>
      </c>
      <c r="C106" s="90" t="s">
        <v>195</v>
      </c>
      <c r="D106" s="91" t="s">
        <v>5984</v>
      </c>
      <c r="E106" s="90" t="s">
        <v>5985</v>
      </c>
      <c r="F106" s="90" t="s">
        <v>5986</v>
      </c>
      <c r="G106" s="90" t="s">
        <v>5987</v>
      </c>
      <c r="H106" s="90" t="s">
        <v>5988</v>
      </c>
      <c r="I106" s="90">
        <v>3</v>
      </c>
      <c r="J106" s="91" t="s">
        <v>5989</v>
      </c>
      <c r="K106" s="90"/>
    </row>
    <row r="107" spans="1:11" ht="50.75" customHeight="1">
      <c r="A107" s="15">
        <v>104</v>
      </c>
      <c r="B107" s="90" t="s">
        <v>193</v>
      </c>
      <c r="C107" s="90" t="s">
        <v>194</v>
      </c>
      <c r="D107" s="91" t="s">
        <v>5990</v>
      </c>
      <c r="E107" s="90" t="s">
        <v>5991</v>
      </c>
      <c r="F107" s="90" t="s">
        <v>5992</v>
      </c>
      <c r="G107" s="90" t="s">
        <v>5993</v>
      </c>
      <c r="H107" s="90" t="s">
        <v>5994</v>
      </c>
      <c r="I107" s="90">
        <v>2</v>
      </c>
      <c r="J107" s="91" t="s">
        <v>5995</v>
      </c>
      <c r="K107" s="90"/>
    </row>
    <row r="108" spans="1:11" ht="50.75" customHeight="1">
      <c r="A108" s="15">
        <v>105</v>
      </c>
      <c r="B108" s="90" t="s">
        <v>193</v>
      </c>
      <c r="C108" s="90" t="s">
        <v>194</v>
      </c>
      <c r="D108" s="91" t="s">
        <v>5996</v>
      </c>
      <c r="E108" s="90" t="s">
        <v>5997</v>
      </c>
      <c r="F108" s="90" t="s">
        <v>5998</v>
      </c>
      <c r="G108" s="90" t="s">
        <v>5999</v>
      </c>
      <c r="H108" s="90" t="s">
        <v>6000</v>
      </c>
      <c r="I108" s="90">
        <v>2</v>
      </c>
      <c r="J108" s="91" t="s">
        <v>6001</v>
      </c>
      <c r="K108" s="90"/>
    </row>
    <row r="109" spans="1:11" ht="50.75" customHeight="1">
      <c r="A109" s="15">
        <v>106</v>
      </c>
      <c r="B109" s="90" t="s">
        <v>193</v>
      </c>
      <c r="C109" s="90" t="s">
        <v>196</v>
      </c>
      <c r="D109" s="91" t="s">
        <v>6002</v>
      </c>
      <c r="E109" s="90" t="s">
        <v>6003</v>
      </c>
      <c r="F109" s="90" t="s">
        <v>6004</v>
      </c>
      <c r="G109" s="90" t="s">
        <v>6005</v>
      </c>
      <c r="H109" s="90" t="s">
        <v>6006</v>
      </c>
      <c r="I109" s="90">
        <v>4</v>
      </c>
      <c r="J109" s="91" t="s">
        <v>6007</v>
      </c>
      <c r="K109" s="90"/>
    </row>
    <row r="110" spans="1:11" ht="84.5" customHeight="1">
      <c r="A110" s="15">
        <v>107</v>
      </c>
      <c r="B110" s="90" t="s">
        <v>193</v>
      </c>
      <c r="C110" s="90" t="s">
        <v>194</v>
      </c>
      <c r="D110" s="91" t="s">
        <v>6008</v>
      </c>
      <c r="E110" s="90" t="s">
        <v>6009</v>
      </c>
      <c r="F110" s="90" t="s">
        <v>6010</v>
      </c>
      <c r="G110" s="90" t="s">
        <v>6011</v>
      </c>
      <c r="H110" s="90" t="s">
        <v>6012</v>
      </c>
      <c r="I110" s="90">
        <v>3</v>
      </c>
      <c r="J110" s="91" t="s">
        <v>6013</v>
      </c>
      <c r="K110" s="90"/>
    </row>
    <row r="111" spans="1:11" ht="67.5" customHeight="1">
      <c r="A111" s="15">
        <v>108</v>
      </c>
      <c r="B111" s="90" t="s">
        <v>193</v>
      </c>
      <c r="C111" s="90" t="s">
        <v>195</v>
      </c>
      <c r="D111" s="91" t="s">
        <v>6014</v>
      </c>
      <c r="E111" s="90" t="s">
        <v>5949</v>
      </c>
      <c r="F111" s="90" t="s">
        <v>5950</v>
      </c>
      <c r="G111" s="90" t="s">
        <v>5952</v>
      </c>
      <c r="H111" s="90" t="s">
        <v>6015</v>
      </c>
      <c r="I111" s="90">
        <v>4</v>
      </c>
      <c r="J111" s="91" t="s">
        <v>6016</v>
      </c>
      <c r="K111" s="90"/>
    </row>
    <row r="112" spans="1:11" ht="67.5" customHeight="1">
      <c r="A112" s="15">
        <v>109</v>
      </c>
      <c r="B112" s="90" t="s">
        <v>193</v>
      </c>
      <c r="C112" s="90" t="s">
        <v>195</v>
      </c>
      <c r="D112" s="91" t="s">
        <v>6017</v>
      </c>
      <c r="E112" s="90" t="s">
        <v>6018</v>
      </c>
      <c r="F112" s="90" t="s">
        <v>6019</v>
      </c>
      <c r="G112" s="90" t="s">
        <v>5986</v>
      </c>
      <c r="H112" s="90" t="s">
        <v>6020</v>
      </c>
      <c r="I112" s="90">
        <v>4</v>
      </c>
      <c r="J112" s="91" t="s">
        <v>6021</v>
      </c>
      <c r="K112" s="90"/>
    </row>
    <row r="113" spans="1:11" ht="67.5" customHeight="1">
      <c r="A113" s="15">
        <v>110</v>
      </c>
      <c r="B113" s="90" t="s">
        <v>193</v>
      </c>
      <c r="C113" s="90" t="s">
        <v>196</v>
      </c>
      <c r="D113" s="91" t="s">
        <v>6022</v>
      </c>
      <c r="E113" s="90" t="s">
        <v>5956</v>
      </c>
      <c r="F113" s="90" t="s">
        <v>6023</v>
      </c>
      <c r="G113" s="90" t="s">
        <v>6024</v>
      </c>
      <c r="H113" s="90" t="s">
        <v>6025</v>
      </c>
      <c r="I113" s="90">
        <v>1</v>
      </c>
      <c r="J113" s="91" t="s">
        <v>6026</v>
      </c>
      <c r="K113" s="90"/>
    </row>
    <row r="114" spans="1:11" ht="50.75" customHeight="1">
      <c r="A114" s="15">
        <v>111</v>
      </c>
      <c r="B114" s="90" t="s">
        <v>193</v>
      </c>
      <c r="C114" s="90" t="s">
        <v>194</v>
      </c>
      <c r="D114" s="91" t="s">
        <v>6027</v>
      </c>
      <c r="E114" s="90" t="s">
        <v>5979</v>
      </c>
      <c r="F114" s="90" t="s">
        <v>5980</v>
      </c>
      <c r="G114" s="90" t="s">
        <v>5981</v>
      </c>
      <c r="H114" s="90" t="s">
        <v>5982</v>
      </c>
      <c r="I114" s="90">
        <v>2</v>
      </c>
      <c r="J114" s="91" t="s">
        <v>6028</v>
      </c>
      <c r="K114" s="90"/>
    </row>
    <row r="115" spans="1:11" ht="67.5" customHeight="1">
      <c r="A115" s="15">
        <v>112</v>
      </c>
      <c r="B115" s="87" t="s">
        <v>197</v>
      </c>
      <c r="C115" s="87" t="s">
        <v>198</v>
      </c>
      <c r="D115" s="88" t="s">
        <v>6029</v>
      </c>
      <c r="E115" s="87" t="s">
        <v>470</v>
      </c>
      <c r="F115" s="87" t="s">
        <v>469</v>
      </c>
      <c r="G115" s="87" t="s">
        <v>472</v>
      </c>
      <c r="H115" s="87" t="s">
        <v>471</v>
      </c>
      <c r="I115" s="87">
        <v>2</v>
      </c>
      <c r="J115" s="88" t="s">
        <v>2809</v>
      </c>
      <c r="K115" s="87"/>
    </row>
    <row r="116" spans="1:11" ht="67.5" customHeight="1">
      <c r="A116" s="15">
        <v>113</v>
      </c>
      <c r="B116" s="87" t="s">
        <v>197</v>
      </c>
      <c r="C116" s="87" t="s">
        <v>198</v>
      </c>
      <c r="D116" s="88" t="s">
        <v>6030</v>
      </c>
      <c r="E116" s="87" t="s">
        <v>1069</v>
      </c>
      <c r="F116" s="87" t="s">
        <v>1070</v>
      </c>
      <c r="G116" s="87" t="s">
        <v>1072</v>
      </c>
      <c r="H116" s="87" t="s">
        <v>1071</v>
      </c>
      <c r="I116" s="87">
        <v>2</v>
      </c>
      <c r="J116" s="88" t="s">
        <v>2812</v>
      </c>
      <c r="K116" s="87"/>
    </row>
    <row r="117" spans="1:11" ht="50.75" customHeight="1">
      <c r="A117" s="15">
        <v>114</v>
      </c>
      <c r="B117" s="87" t="s">
        <v>197</v>
      </c>
      <c r="C117" s="87" t="s">
        <v>198</v>
      </c>
      <c r="D117" s="88" t="s">
        <v>6031</v>
      </c>
      <c r="E117" s="87" t="s">
        <v>6032</v>
      </c>
      <c r="F117" s="87" t="s">
        <v>6033</v>
      </c>
      <c r="G117" s="87" t="s">
        <v>6034</v>
      </c>
      <c r="H117" s="87" t="s">
        <v>6035</v>
      </c>
      <c r="I117" s="87">
        <v>3</v>
      </c>
      <c r="J117" s="88" t="s">
        <v>6036</v>
      </c>
      <c r="K117" s="87"/>
    </row>
    <row r="118" spans="1:11" ht="50.75" customHeight="1">
      <c r="A118" s="15">
        <v>115</v>
      </c>
      <c r="B118" s="87" t="s">
        <v>197</v>
      </c>
      <c r="C118" s="87" t="s">
        <v>198</v>
      </c>
      <c r="D118" s="88" t="s">
        <v>6037</v>
      </c>
      <c r="E118" s="87" t="s">
        <v>6038</v>
      </c>
      <c r="F118" s="87" t="s">
        <v>6039</v>
      </c>
      <c r="G118" s="87" t="s">
        <v>6040</v>
      </c>
      <c r="H118" s="87" t="s">
        <v>6041</v>
      </c>
      <c r="I118" s="87">
        <v>2</v>
      </c>
      <c r="J118" s="88" t="s">
        <v>6042</v>
      </c>
      <c r="K118" s="87"/>
    </row>
    <row r="119" spans="1:11" ht="50.75" customHeight="1">
      <c r="A119" s="15">
        <v>116</v>
      </c>
      <c r="B119" s="87" t="s">
        <v>197</v>
      </c>
      <c r="C119" s="87" t="s">
        <v>199</v>
      </c>
      <c r="D119" s="88" t="s">
        <v>6043</v>
      </c>
      <c r="E119" s="87" t="s">
        <v>6044</v>
      </c>
      <c r="F119" s="87" t="s">
        <v>6045</v>
      </c>
      <c r="G119" s="87" t="s">
        <v>6046</v>
      </c>
      <c r="H119" s="87" t="s">
        <v>6047</v>
      </c>
      <c r="I119" s="87">
        <v>3</v>
      </c>
      <c r="J119" s="88" t="s">
        <v>6048</v>
      </c>
      <c r="K119" s="87"/>
    </row>
    <row r="120" spans="1:11" ht="67.5" customHeight="1">
      <c r="A120" s="15">
        <v>117</v>
      </c>
      <c r="B120" s="87" t="s">
        <v>197</v>
      </c>
      <c r="C120" s="87" t="s">
        <v>200</v>
      </c>
      <c r="D120" s="88" t="s">
        <v>6049</v>
      </c>
      <c r="E120" s="87" t="s">
        <v>6050</v>
      </c>
      <c r="F120" s="87" t="s">
        <v>6051</v>
      </c>
      <c r="G120" s="87" t="s">
        <v>6052</v>
      </c>
      <c r="H120" s="87" t="s">
        <v>6053</v>
      </c>
      <c r="I120" s="87">
        <v>2</v>
      </c>
      <c r="J120" s="88" t="s">
        <v>6054</v>
      </c>
      <c r="K120" s="87"/>
    </row>
    <row r="121" spans="1:11" ht="50.75" customHeight="1">
      <c r="A121" s="15">
        <v>118</v>
      </c>
      <c r="B121" s="87" t="s">
        <v>197</v>
      </c>
      <c r="C121" s="87" t="s">
        <v>198</v>
      </c>
      <c r="D121" s="88" t="s">
        <v>6055</v>
      </c>
      <c r="E121" s="87" t="s">
        <v>6056</v>
      </c>
      <c r="F121" s="87" t="s">
        <v>6057</v>
      </c>
      <c r="G121" s="87" t="s">
        <v>6058</v>
      </c>
      <c r="H121" s="87" t="s">
        <v>6059</v>
      </c>
      <c r="I121" s="87">
        <v>2</v>
      </c>
      <c r="J121" s="88" t="s">
        <v>6060</v>
      </c>
      <c r="K121" s="87"/>
    </row>
    <row r="122" spans="1:11" ht="33.75" customHeight="1">
      <c r="A122" s="15">
        <v>119</v>
      </c>
      <c r="B122" s="87" t="s">
        <v>197</v>
      </c>
      <c r="C122" s="87" t="s">
        <v>198</v>
      </c>
      <c r="D122" s="88" t="s">
        <v>6061</v>
      </c>
      <c r="E122" s="87" t="s">
        <v>6062</v>
      </c>
      <c r="F122" s="87" t="s">
        <v>6063</v>
      </c>
      <c r="G122" s="87" t="s">
        <v>6064</v>
      </c>
      <c r="H122" s="87" t="s">
        <v>6065</v>
      </c>
      <c r="I122" s="87">
        <v>2</v>
      </c>
      <c r="J122" s="88" t="s">
        <v>6066</v>
      </c>
      <c r="K122" s="87"/>
    </row>
    <row r="123" spans="1:11" ht="50.75" customHeight="1">
      <c r="A123" s="15">
        <v>120</v>
      </c>
      <c r="B123" s="87" t="s">
        <v>197</v>
      </c>
      <c r="C123" s="87" t="s">
        <v>198</v>
      </c>
      <c r="D123" s="88" t="s">
        <v>6067</v>
      </c>
      <c r="E123" s="87" t="s">
        <v>6068</v>
      </c>
      <c r="F123" s="87" t="s">
        <v>6069</v>
      </c>
      <c r="G123" s="87" t="s">
        <v>6070</v>
      </c>
      <c r="H123" s="87" t="s">
        <v>6071</v>
      </c>
      <c r="I123" s="87">
        <v>2</v>
      </c>
      <c r="J123" s="88" t="s">
        <v>6072</v>
      </c>
      <c r="K123" s="87"/>
    </row>
    <row r="124" spans="1:11" ht="67.5" customHeight="1">
      <c r="A124" s="15">
        <v>121</v>
      </c>
      <c r="B124" s="87" t="s">
        <v>197</v>
      </c>
      <c r="C124" s="87" t="s">
        <v>198</v>
      </c>
      <c r="D124" s="88" t="s">
        <v>6073</v>
      </c>
      <c r="E124" s="87" t="s">
        <v>6074</v>
      </c>
      <c r="F124" s="87" t="s">
        <v>6075</v>
      </c>
      <c r="G124" s="87" t="s">
        <v>6076</v>
      </c>
      <c r="H124" s="87" t="s">
        <v>6077</v>
      </c>
      <c r="I124" s="87">
        <v>2</v>
      </c>
      <c r="J124" s="88" t="s">
        <v>6078</v>
      </c>
      <c r="K124" s="87"/>
    </row>
    <row r="125" spans="1:11" ht="50.75" customHeight="1">
      <c r="A125" s="15">
        <v>122</v>
      </c>
      <c r="B125" s="87" t="s">
        <v>197</v>
      </c>
      <c r="C125" s="87" t="s">
        <v>198</v>
      </c>
      <c r="D125" s="88" t="s">
        <v>6079</v>
      </c>
      <c r="E125" s="87" t="s">
        <v>6080</v>
      </c>
      <c r="F125" s="87" t="s">
        <v>6081</v>
      </c>
      <c r="G125" s="87" t="s">
        <v>6082</v>
      </c>
      <c r="H125" s="87" t="s">
        <v>6083</v>
      </c>
      <c r="I125" s="87">
        <v>2</v>
      </c>
      <c r="J125" s="88" t="s">
        <v>6084</v>
      </c>
      <c r="K125" s="87"/>
    </row>
    <row r="126" spans="1:11" ht="50.75" customHeight="1">
      <c r="A126" s="15">
        <v>123</v>
      </c>
      <c r="B126" s="87" t="s">
        <v>197</v>
      </c>
      <c r="C126" s="87" t="s">
        <v>199</v>
      </c>
      <c r="D126" s="88" t="s">
        <v>6085</v>
      </c>
      <c r="E126" s="87" t="s">
        <v>6086</v>
      </c>
      <c r="F126" s="87" t="s">
        <v>6087</v>
      </c>
      <c r="G126" s="87" t="s">
        <v>6088</v>
      </c>
      <c r="H126" s="87" t="s">
        <v>6089</v>
      </c>
      <c r="I126" s="87">
        <v>3</v>
      </c>
      <c r="J126" s="88" t="s">
        <v>6090</v>
      </c>
      <c r="K126" s="87"/>
    </row>
    <row r="127" spans="1:11" ht="50.75" customHeight="1">
      <c r="A127" s="15">
        <v>124</v>
      </c>
      <c r="B127" s="87" t="s">
        <v>197</v>
      </c>
      <c r="C127" s="87" t="s">
        <v>200</v>
      </c>
      <c r="D127" s="88" t="s">
        <v>6091</v>
      </c>
      <c r="E127" s="87" t="s">
        <v>6092</v>
      </c>
      <c r="F127" s="87" t="s">
        <v>6093</v>
      </c>
      <c r="G127" s="87" t="s">
        <v>6094</v>
      </c>
      <c r="H127" s="87" t="s">
        <v>6095</v>
      </c>
      <c r="I127" s="87">
        <v>2</v>
      </c>
      <c r="J127" s="88" t="s">
        <v>6096</v>
      </c>
      <c r="K127" s="87"/>
    </row>
    <row r="128" spans="1:11" ht="67.5" customHeight="1">
      <c r="A128" s="15">
        <v>125</v>
      </c>
      <c r="B128" s="87" t="s">
        <v>197</v>
      </c>
      <c r="C128" s="87" t="s">
        <v>198</v>
      </c>
      <c r="D128" s="88" t="s">
        <v>6097</v>
      </c>
      <c r="E128" s="87" t="s">
        <v>6098</v>
      </c>
      <c r="F128" s="87" t="s">
        <v>6099</v>
      </c>
      <c r="G128" s="87" t="s">
        <v>6100</v>
      </c>
      <c r="H128" s="87" t="s">
        <v>6101</v>
      </c>
      <c r="I128" s="87">
        <v>2</v>
      </c>
      <c r="J128" s="88" t="s">
        <v>6102</v>
      </c>
      <c r="K128" s="87"/>
    </row>
    <row r="129" spans="1:11" ht="67.5" customHeight="1">
      <c r="A129" s="15">
        <v>126</v>
      </c>
      <c r="B129" s="87" t="s">
        <v>197</v>
      </c>
      <c r="C129" s="87" t="s">
        <v>198</v>
      </c>
      <c r="D129" s="88" t="s">
        <v>6103</v>
      </c>
      <c r="E129" s="87" t="s">
        <v>6104</v>
      </c>
      <c r="F129" s="87" t="s">
        <v>6105</v>
      </c>
      <c r="G129" s="87" t="s">
        <v>6106</v>
      </c>
      <c r="H129" s="87" t="s">
        <v>6107</v>
      </c>
      <c r="I129" s="87">
        <v>3</v>
      </c>
      <c r="J129" s="88" t="s">
        <v>6108</v>
      </c>
      <c r="K129" s="87"/>
    </row>
    <row r="130" spans="1:11" ht="84.5" customHeight="1">
      <c r="A130" s="15">
        <v>127</v>
      </c>
      <c r="B130" s="87" t="s">
        <v>197</v>
      </c>
      <c r="C130" s="87" t="s">
        <v>198</v>
      </c>
      <c r="D130" s="88" t="s">
        <v>6109</v>
      </c>
      <c r="E130" s="87" t="s">
        <v>6110</v>
      </c>
      <c r="F130" s="87" t="s">
        <v>6111</v>
      </c>
      <c r="G130" s="87" t="s">
        <v>6112</v>
      </c>
      <c r="H130" s="87" t="s">
        <v>6113</v>
      </c>
      <c r="I130" s="87">
        <v>1</v>
      </c>
      <c r="J130" s="88" t="s">
        <v>6114</v>
      </c>
      <c r="K130" s="87"/>
    </row>
    <row r="131" spans="1:11" ht="67.5" customHeight="1">
      <c r="A131" s="15">
        <v>128</v>
      </c>
      <c r="B131" s="87" t="s">
        <v>197</v>
      </c>
      <c r="C131" s="87" t="s">
        <v>200</v>
      </c>
      <c r="D131" s="88" t="s">
        <v>6049</v>
      </c>
      <c r="E131" s="87" t="s">
        <v>6050</v>
      </c>
      <c r="F131" s="87" t="s">
        <v>6051</v>
      </c>
      <c r="G131" s="87" t="s">
        <v>6052</v>
      </c>
      <c r="H131" s="87" t="s">
        <v>6053</v>
      </c>
      <c r="I131" s="87">
        <v>2</v>
      </c>
      <c r="J131" s="88" t="s">
        <v>6115</v>
      </c>
      <c r="K131" s="87"/>
    </row>
    <row r="132" spans="1:11" ht="67.5" customHeight="1">
      <c r="A132" s="15">
        <v>129</v>
      </c>
      <c r="B132" s="87" t="s">
        <v>197</v>
      </c>
      <c r="C132" s="87" t="s">
        <v>198</v>
      </c>
      <c r="D132" s="88" t="s">
        <v>6116</v>
      </c>
      <c r="E132" s="87" t="s">
        <v>6117</v>
      </c>
      <c r="F132" s="87" t="s">
        <v>6056</v>
      </c>
      <c r="G132" s="87" t="s">
        <v>6058</v>
      </c>
      <c r="H132" s="87" t="s">
        <v>6118</v>
      </c>
      <c r="I132" s="87">
        <v>1</v>
      </c>
      <c r="J132" s="88" t="s">
        <v>6119</v>
      </c>
      <c r="K132" s="87"/>
    </row>
    <row r="133" spans="1:11" ht="50.75" customHeight="1">
      <c r="A133" s="15">
        <v>130</v>
      </c>
      <c r="B133" s="87" t="s">
        <v>197</v>
      </c>
      <c r="C133" s="87" t="s">
        <v>198</v>
      </c>
      <c r="D133" s="88" t="s">
        <v>6120</v>
      </c>
      <c r="E133" s="87" t="s">
        <v>6080</v>
      </c>
      <c r="F133" s="87" t="s">
        <v>6081</v>
      </c>
      <c r="G133" s="87" t="s">
        <v>6082</v>
      </c>
      <c r="H133" s="87" t="s">
        <v>6083</v>
      </c>
      <c r="I133" s="87">
        <v>2</v>
      </c>
      <c r="J133" s="88" t="s">
        <v>6121</v>
      </c>
      <c r="K133" s="87"/>
    </row>
    <row r="134" spans="1:11" ht="67.5" customHeight="1">
      <c r="A134" s="15">
        <v>131</v>
      </c>
      <c r="B134" s="87" t="s">
        <v>197</v>
      </c>
      <c r="C134" s="87" t="s">
        <v>199</v>
      </c>
      <c r="D134" s="88" t="s">
        <v>6085</v>
      </c>
      <c r="E134" s="87" t="s">
        <v>6122</v>
      </c>
      <c r="F134" s="87" t="s">
        <v>6123</v>
      </c>
      <c r="G134" s="87" t="s">
        <v>6124</v>
      </c>
      <c r="H134" s="87" t="s">
        <v>6125</v>
      </c>
      <c r="I134" s="87">
        <v>2</v>
      </c>
      <c r="J134" s="88" t="s">
        <v>6126</v>
      </c>
      <c r="K134" s="87"/>
    </row>
    <row r="135" spans="1:11" ht="67.5" customHeight="1">
      <c r="A135" s="15">
        <v>132</v>
      </c>
      <c r="B135" s="87" t="s">
        <v>201</v>
      </c>
      <c r="C135" s="87" t="s">
        <v>202</v>
      </c>
      <c r="D135" s="88" t="s">
        <v>6127</v>
      </c>
      <c r="E135" s="87" t="s">
        <v>469</v>
      </c>
      <c r="F135" s="87" t="s">
        <v>472</v>
      </c>
      <c r="G135" s="87" t="s">
        <v>470</v>
      </c>
      <c r="H135" s="87" t="s">
        <v>471</v>
      </c>
      <c r="I135" s="87">
        <v>1</v>
      </c>
      <c r="J135" s="88" t="s">
        <v>473</v>
      </c>
      <c r="K135" s="87"/>
    </row>
    <row r="136" spans="1:11" ht="67.5" customHeight="1">
      <c r="A136" s="15">
        <v>133</v>
      </c>
      <c r="B136" s="87" t="s">
        <v>201</v>
      </c>
      <c r="C136" s="87" t="s">
        <v>202</v>
      </c>
      <c r="D136" s="88" t="s">
        <v>6128</v>
      </c>
      <c r="E136" s="87" t="s">
        <v>6129</v>
      </c>
      <c r="F136" s="87" t="s">
        <v>6130</v>
      </c>
      <c r="G136" s="87" t="s">
        <v>6131</v>
      </c>
      <c r="H136" s="87" t="s">
        <v>6132</v>
      </c>
      <c r="I136" s="87">
        <v>4</v>
      </c>
      <c r="J136" s="88" t="s">
        <v>6133</v>
      </c>
      <c r="K136" s="87"/>
    </row>
    <row r="137" spans="1:11" ht="33.75" customHeight="1">
      <c r="A137" s="15">
        <v>134</v>
      </c>
      <c r="B137" s="87" t="s">
        <v>201</v>
      </c>
      <c r="C137" s="87" t="s">
        <v>202</v>
      </c>
      <c r="D137" s="88" t="s">
        <v>6134</v>
      </c>
      <c r="E137" s="87" t="s">
        <v>6135</v>
      </c>
      <c r="F137" s="87" t="s">
        <v>6136</v>
      </c>
      <c r="G137" s="87" t="s">
        <v>6137</v>
      </c>
      <c r="H137" s="87" t="s">
        <v>6138</v>
      </c>
      <c r="I137" s="87">
        <v>2</v>
      </c>
      <c r="J137" s="88" t="s">
        <v>6139</v>
      </c>
      <c r="K137" s="87"/>
    </row>
    <row r="138" spans="1:11" ht="50.75" customHeight="1">
      <c r="A138" s="15">
        <v>135</v>
      </c>
      <c r="B138" s="87" t="s">
        <v>201</v>
      </c>
      <c r="C138" s="87" t="s">
        <v>202</v>
      </c>
      <c r="D138" s="88" t="s">
        <v>6140</v>
      </c>
      <c r="E138" s="87" t="s">
        <v>6141</v>
      </c>
      <c r="F138" s="87" t="s">
        <v>6142</v>
      </c>
      <c r="G138" s="87" t="s">
        <v>6143</v>
      </c>
      <c r="H138" s="87" t="s">
        <v>6144</v>
      </c>
      <c r="I138" s="87">
        <v>3</v>
      </c>
      <c r="J138" s="88" t="s">
        <v>6145</v>
      </c>
      <c r="K138" s="87"/>
    </row>
    <row r="139" spans="1:11" ht="50.75" customHeight="1">
      <c r="A139" s="15">
        <v>136</v>
      </c>
      <c r="B139" s="87" t="s">
        <v>201</v>
      </c>
      <c r="C139" s="87" t="s">
        <v>204</v>
      </c>
      <c r="D139" s="88" t="s">
        <v>6146</v>
      </c>
      <c r="E139" s="87" t="s">
        <v>6147</v>
      </c>
      <c r="F139" s="87" t="s">
        <v>6148</v>
      </c>
      <c r="G139" s="87" t="s">
        <v>6149</v>
      </c>
      <c r="H139" s="87" t="s">
        <v>6150</v>
      </c>
      <c r="I139" s="87">
        <v>2</v>
      </c>
      <c r="J139" s="88" t="s">
        <v>6151</v>
      </c>
      <c r="K139" s="87"/>
    </row>
    <row r="140" spans="1:11" ht="50.75" customHeight="1">
      <c r="A140" s="15">
        <v>137</v>
      </c>
      <c r="B140" s="87" t="s">
        <v>201</v>
      </c>
      <c r="C140" s="87" t="s">
        <v>205</v>
      </c>
      <c r="D140" s="88" t="s">
        <v>6152</v>
      </c>
      <c r="E140" s="87" t="s">
        <v>6153</v>
      </c>
      <c r="F140" s="87" t="s">
        <v>6154</v>
      </c>
      <c r="G140" s="87" t="s">
        <v>6155</v>
      </c>
      <c r="H140" s="87" t="s">
        <v>6156</v>
      </c>
      <c r="I140" s="87">
        <v>3</v>
      </c>
      <c r="J140" s="88" t="s">
        <v>6157</v>
      </c>
      <c r="K140" s="87"/>
    </row>
    <row r="141" spans="1:11" ht="33.75" customHeight="1">
      <c r="A141" s="15">
        <v>138</v>
      </c>
      <c r="B141" s="87" t="s">
        <v>201</v>
      </c>
      <c r="C141" s="87" t="s">
        <v>205</v>
      </c>
      <c r="D141" s="88" t="s">
        <v>6158</v>
      </c>
      <c r="E141" s="87" t="s">
        <v>6159</v>
      </c>
      <c r="F141" s="87" t="s">
        <v>6160</v>
      </c>
      <c r="G141" s="87" t="s">
        <v>6161</v>
      </c>
      <c r="H141" s="87" t="s">
        <v>6162</v>
      </c>
      <c r="I141" s="87">
        <v>2</v>
      </c>
      <c r="J141" s="88" t="s">
        <v>6163</v>
      </c>
      <c r="K141" s="87"/>
    </row>
    <row r="142" spans="1:11" ht="67.5" customHeight="1">
      <c r="A142" s="15">
        <v>139</v>
      </c>
      <c r="B142" s="87" t="s">
        <v>201</v>
      </c>
      <c r="C142" s="87" t="s">
        <v>203</v>
      </c>
      <c r="D142" s="88" t="s">
        <v>6164</v>
      </c>
      <c r="E142" s="87" t="s">
        <v>6165</v>
      </c>
      <c r="F142" s="87" t="s">
        <v>6166</v>
      </c>
      <c r="G142" s="87" t="s">
        <v>6167</v>
      </c>
      <c r="H142" s="87" t="s">
        <v>6168</v>
      </c>
      <c r="I142" s="87">
        <v>3</v>
      </c>
      <c r="J142" s="88" t="s">
        <v>6169</v>
      </c>
      <c r="K142" s="87"/>
    </row>
    <row r="143" spans="1:11" ht="50.75" customHeight="1">
      <c r="A143" s="15">
        <v>140</v>
      </c>
      <c r="B143" s="87" t="s">
        <v>201</v>
      </c>
      <c r="C143" s="87" t="s">
        <v>206</v>
      </c>
      <c r="D143" s="88" t="s">
        <v>6170</v>
      </c>
      <c r="E143" s="87" t="s">
        <v>6171</v>
      </c>
      <c r="F143" s="87" t="s">
        <v>6172</v>
      </c>
      <c r="G143" s="87" t="s">
        <v>6173</v>
      </c>
      <c r="H143" s="87" t="s">
        <v>6174</v>
      </c>
      <c r="I143" s="87">
        <v>3</v>
      </c>
      <c r="J143" s="88" t="s">
        <v>6175</v>
      </c>
      <c r="K143" s="87"/>
    </row>
    <row r="144" spans="1:11" ht="50.75" customHeight="1">
      <c r="A144" s="15">
        <v>141</v>
      </c>
      <c r="B144" s="87" t="s">
        <v>201</v>
      </c>
      <c r="C144" s="87" t="s">
        <v>202</v>
      </c>
      <c r="D144" s="88" t="s">
        <v>6176</v>
      </c>
      <c r="E144" s="87" t="s">
        <v>6177</v>
      </c>
      <c r="F144" s="87" t="s">
        <v>6178</v>
      </c>
      <c r="G144" s="87" t="s">
        <v>6179</v>
      </c>
      <c r="H144" s="87" t="s">
        <v>6180</v>
      </c>
      <c r="I144" s="87">
        <v>4</v>
      </c>
      <c r="J144" s="88" t="s">
        <v>6181</v>
      </c>
      <c r="K144" s="87"/>
    </row>
    <row r="145" spans="1:11" ht="50.75" customHeight="1">
      <c r="A145" s="15">
        <v>142</v>
      </c>
      <c r="B145" s="87" t="s">
        <v>201</v>
      </c>
      <c r="C145" s="87" t="s">
        <v>203</v>
      </c>
      <c r="D145" s="88" t="s">
        <v>6182</v>
      </c>
      <c r="E145" s="87" t="s">
        <v>6183</v>
      </c>
      <c r="F145" s="87" t="s">
        <v>6184</v>
      </c>
      <c r="G145" s="87" t="s">
        <v>6185</v>
      </c>
      <c r="H145" s="87" t="s">
        <v>6186</v>
      </c>
      <c r="I145" s="87">
        <v>3</v>
      </c>
      <c r="J145" s="88" t="s">
        <v>6187</v>
      </c>
      <c r="K145" s="87"/>
    </row>
    <row r="146" spans="1:11" ht="50.75" customHeight="1">
      <c r="A146" s="15">
        <v>143</v>
      </c>
      <c r="B146" s="87" t="s">
        <v>201</v>
      </c>
      <c r="C146" s="87" t="s">
        <v>202</v>
      </c>
      <c r="D146" s="88" t="s">
        <v>6188</v>
      </c>
      <c r="E146" s="87" t="s">
        <v>6189</v>
      </c>
      <c r="F146" s="87" t="s">
        <v>6190</v>
      </c>
      <c r="G146" s="87" t="s">
        <v>6191</v>
      </c>
      <c r="H146" s="87" t="s">
        <v>6192</v>
      </c>
      <c r="I146" s="87">
        <v>3</v>
      </c>
      <c r="J146" s="88" t="s">
        <v>6193</v>
      </c>
      <c r="K146" s="87"/>
    </row>
    <row r="147" spans="1:11" ht="67.5" customHeight="1">
      <c r="A147" s="15">
        <v>144</v>
      </c>
      <c r="B147" s="87" t="s">
        <v>201</v>
      </c>
      <c r="C147" s="87" t="s">
        <v>203</v>
      </c>
      <c r="D147" s="88" t="s">
        <v>6194</v>
      </c>
      <c r="E147" s="87" t="s">
        <v>6195</v>
      </c>
      <c r="F147" s="87" t="s">
        <v>6196</v>
      </c>
      <c r="G147" s="87" t="s">
        <v>6197</v>
      </c>
      <c r="H147" s="87" t="s">
        <v>6198</v>
      </c>
      <c r="I147" s="87">
        <v>2</v>
      </c>
      <c r="J147" s="88" t="s">
        <v>6199</v>
      </c>
      <c r="K147" s="87"/>
    </row>
    <row r="148" spans="1:11" ht="84.5" customHeight="1">
      <c r="A148" s="15">
        <v>145</v>
      </c>
      <c r="B148" s="87" t="s">
        <v>201</v>
      </c>
      <c r="C148" s="87" t="s">
        <v>204</v>
      </c>
      <c r="D148" s="88" t="s">
        <v>6200</v>
      </c>
      <c r="E148" s="87" t="s">
        <v>6201</v>
      </c>
      <c r="F148" s="87" t="s">
        <v>6202</v>
      </c>
      <c r="G148" s="87" t="s">
        <v>6203</v>
      </c>
      <c r="H148" s="87" t="s">
        <v>6204</v>
      </c>
      <c r="I148" s="87">
        <v>2</v>
      </c>
      <c r="J148" s="88" t="s">
        <v>6205</v>
      </c>
      <c r="K148" s="87"/>
    </row>
    <row r="149" spans="1:11" ht="50.75" customHeight="1">
      <c r="A149" s="15">
        <v>146</v>
      </c>
      <c r="B149" s="87" t="s">
        <v>201</v>
      </c>
      <c r="C149" s="87" t="s">
        <v>202</v>
      </c>
      <c r="D149" s="88" t="s">
        <v>6206</v>
      </c>
      <c r="E149" s="87" t="s">
        <v>6207</v>
      </c>
      <c r="F149" s="87" t="s">
        <v>6208</v>
      </c>
      <c r="G149" s="87" t="s">
        <v>6209</v>
      </c>
      <c r="H149" s="87" t="s">
        <v>6210</v>
      </c>
      <c r="I149" s="87">
        <v>3</v>
      </c>
      <c r="J149" s="88" t="s">
        <v>6211</v>
      </c>
      <c r="K149" s="87"/>
    </row>
    <row r="150" spans="1:11" ht="84.5" customHeight="1">
      <c r="A150" s="15">
        <v>147</v>
      </c>
      <c r="B150" s="87" t="s">
        <v>201</v>
      </c>
      <c r="C150" s="87" t="s">
        <v>202</v>
      </c>
      <c r="D150" s="88" t="s">
        <v>6212</v>
      </c>
      <c r="E150" s="87" t="s">
        <v>6213</v>
      </c>
      <c r="F150" s="87" t="s">
        <v>6214</v>
      </c>
      <c r="G150" s="87" t="s">
        <v>6215</v>
      </c>
      <c r="H150" s="87" t="s">
        <v>6216</v>
      </c>
      <c r="I150" s="87">
        <v>1</v>
      </c>
      <c r="J150" s="88" t="s">
        <v>6217</v>
      </c>
      <c r="K150" s="87"/>
    </row>
    <row r="151" spans="1:11" ht="67.5" customHeight="1">
      <c r="A151" s="15">
        <v>148</v>
      </c>
      <c r="B151" s="87" t="s">
        <v>201</v>
      </c>
      <c r="C151" s="87" t="s">
        <v>205</v>
      </c>
      <c r="D151" s="88" t="s">
        <v>6218</v>
      </c>
      <c r="E151" s="87" t="s">
        <v>6219</v>
      </c>
      <c r="F151" s="87" t="s">
        <v>6220</v>
      </c>
      <c r="G151" s="87" t="s">
        <v>6221</v>
      </c>
      <c r="H151" s="87" t="s">
        <v>6222</v>
      </c>
      <c r="I151" s="87">
        <v>4</v>
      </c>
      <c r="J151" s="88" t="s">
        <v>6223</v>
      </c>
      <c r="K151" s="87"/>
    </row>
    <row r="152" spans="1:11" ht="84.5" customHeight="1">
      <c r="A152" s="15">
        <v>149</v>
      </c>
      <c r="B152" s="87" t="s">
        <v>201</v>
      </c>
      <c r="C152" s="87" t="s">
        <v>204</v>
      </c>
      <c r="D152" s="88" t="s">
        <v>6224</v>
      </c>
      <c r="E152" s="87" t="s">
        <v>6225</v>
      </c>
      <c r="F152" s="87" t="s">
        <v>6226</v>
      </c>
      <c r="G152" s="87" t="s">
        <v>6227</v>
      </c>
      <c r="H152" s="87" t="s">
        <v>6228</v>
      </c>
      <c r="I152" s="87">
        <v>1</v>
      </c>
      <c r="J152" s="88" t="s">
        <v>6229</v>
      </c>
      <c r="K152" s="87"/>
    </row>
    <row r="153" spans="1:11" ht="67.5" customHeight="1">
      <c r="A153" s="15">
        <v>150</v>
      </c>
      <c r="B153" s="87" t="s">
        <v>201</v>
      </c>
      <c r="C153" s="87" t="s">
        <v>202</v>
      </c>
      <c r="D153" s="88" t="s">
        <v>6230</v>
      </c>
      <c r="E153" s="87" t="s">
        <v>6231</v>
      </c>
      <c r="F153" s="87" t="s">
        <v>6232</v>
      </c>
      <c r="G153" s="87" t="s">
        <v>6233</v>
      </c>
      <c r="H153" s="87" t="s">
        <v>6234</v>
      </c>
      <c r="I153" s="87">
        <v>4</v>
      </c>
      <c r="J153" s="88" t="s">
        <v>6235</v>
      </c>
      <c r="K153" s="87"/>
    </row>
    <row r="154" spans="1:11" ht="67.5" customHeight="1">
      <c r="A154" s="15">
        <v>151</v>
      </c>
      <c r="B154" s="87" t="s">
        <v>201</v>
      </c>
      <c r="C154" s="87" t="s">
        <v>203</v>
      </c>
      <c r="D154" s="88" t="s">
        <v>6236</v>
      </c>
      <c r="E154" s="87" t="s">
        <v>6237</v>
      </c>
      <c r="F154" s="87" t="s">
        <v>6238</v>
      </c>
      <c r="G154" s="87" t="s">
        <v>6239</v>
      </c>
      <c r="H154" s="87" t="s">
        <v>6240</v>
      </c>
      <c r="I154" s="87">
        <v>1</v>
      </c>
      <c r="J154" s="88" t="s">
        <v>6241</v>
      </c>
      <c r="K154" s="87"/>
    </row>
    <row r="155" spans="1:11" ht="67.5" customHeight="1">
      <c r="A155" s="15">
        <v>152</v>
      </c>
      <c r="B155" s="87" t="s">
        <v>207</v>
      </c>
      <c r="C155" s="87" t="s">
        <v>208</v>
      </c>
      <c r="D155" s="88" t="s">
        <v>6242</v>
      </c>
      <c r="E155" s="87" t="s">
        <v>471</v>
      </c>
      <c r="F155" s="87" t="s">
        <v>469</v>
      </c>
      <c r="G155" s="87" t="s">
        <v>472</v>
      </c>
      <c r="H155" s="87" t="s">
        <v>470</v>
      </c>
      <c r="I155" s="87">
        <v>2</v>
      </c>
      <c r="J155" s="88" t="s">
        <v>2809</v>
      </c>
      <c r="K155" s="87"/>
    </row>
    <row r="156" spans="1:11" ht="67.5" customHeight="1">
      <c r="A156" s="15">
        <v>153</v>
      </c>
      <c r="B156" s="87" t="s">
        <v>207</v>
      </c>
      <c r="C156" s="87" t="s">
        <v>208</v>
      </c>
      <c r="D156" s="88" t="s">
        <v>6243</v>
      </c>
      <c r="E156" s="87" t="s">
        <v>1069</v>
      </c>
      <c r="F156" s="87" t="s">
        <v>1072</v>
      </c>
      <c r="G156" s="87" t="s">
        <v>1070</v>
      </c>
      <c r="H156" s="87" t="s">
        <v>1071</v>
      </c>
      <c r="I156" s="87">
        <v>3</v>
      </c>
      <c r="J156" s="88" t="s">
        <v>1257</v>
      </c>
      <c r="K156" s="87"/>
    </row>
    <row r="157" spans="1:11" ht="84.5" customHeight="1">
      <c r="A157" s="15">
        <v>154</v>
      </c>
      <c r="B157" s="87" t="s">
        <v>207</v>
      </c>
      <c r="C157" s="87" t="s">
        <v>209</v>
      </c>
      <c r="D157" s="88" t="s">
        <v>6244</v>
      </c>
      <c r="E157" s="87" t="s">
        <v>6245</v>
      </c>
      <c r="F157" s="87" t="s">
        <v>6246</v>
      </c>
      <c r="G157" s="87" t="s">
        <v>6247</v>
      </c>
      <c r="H157" s="87" t="s">
        <v>6248</v>
      </c>
      <c r="I157" s="87">
        <v>1</v>
      </c>
      <c r="J157" s="88" t="s">
        <v>6249</v>
      </c>
      <c r="K157" s="87"/>
    </row>
    <row r="158" spans="1:11" ht="101.25" customHeight="1">
      <c r="A158" s="15">
        <v>155</v>
      </c>
      <c r="B158" s="87" t="s">
        <v>207</v>
      </c>
      <c r="C158" s="87" t="s">
        <v>208</v>
      </c>
      <c r="D158" s="88" t="s">
        <v>6250</v>
      </c>
      <c r="E158" s="87" t="s">
        <v>6251</v>
      </c>
      <c r="F158" s="87" t="s">
        <v>6252</v>
      </c>
      <c r="G158" s="87" t="s">
        <v>6253</v>
      </c>
      <c r="H158" s="87" t="s">
        <v>6254</v>
      </c>
      <c r="I158" s="87">
        <v>3</v>
      </c>
      <c r="J158" s="88" t="s">
        <v>6255</v>
      </c>
      <c r="K158" s="87"/>
    </row>
    <row r="159" spans="1:11" ht="67.5" customHeight="1">
      <c r="A159" s="15">
        <v>156</v>
      </c>
      <c r="B159" s="87" t="s">
        <v>207</v>
      </c>
      <c r="C159" s="87" t="s">
        <v>209</v>
      </c>
      <c r="D159" s="88" t="s">
        <v>6256</v>
      </c>
      <c r="E159" s="87" t="s">
        <v>6257</v>
      </c>
      <c r="F159" s="87" t="s">
        <v>6258</v>
      </c>
      <c r="G159" s="87" t="s">
        <v>6259</v>
      </c>
      <c r="H159" s="87" t="s">
        <v>6260</v>
      </c>
      <c r="I159" s="87">
        <v>3</v>
      </c>
      <c r="J159" s="88" t="s">
        <v>6261</v>
      </c>
      <c r="K159" s="87"/>
    </row>
    <row r="160" spans="1:11" ht="67.5" customHeight="1">
      <c r="A160" s="15">
        <v>157</v>
      </c>
      <c r="B160" s="87" t="s">
        <v>207</v>
      </c>
      <c r="C160" s="87" t="s">
        <v>209</v>
      </c>
      <c r="D160" s="88" t="s">
        <v>6262</v>
      </c>
      <c r="E160" s="87" t="s">
        <v>6263</v>
      </c>
      <c r="F160" s="87" t="s">
        <v>6264</v>
      </c>
      <c r="G160" s="87" t="s">
        <v>6265</v>
      </c>
      <c r="H160" s="87" t="s">
        <v>6266</v>
      </c>
      <c r="I160" s="87">
        <v>3</v>
      </c>
      <c r="J160" s="88" t="s">
        <v>6267</v>
      </c>
      <c r="K160" s="87"/>
    </row>
    <row r="161" spans="1:11" ht="50.75" customHeight="1">
      <c r="A161" s="15">
        <v>158</v>
      </c>
      <c r="B161" s="87" t="s">
        <v>207</v>
      </c>
      <c r="C161" s="87" t="s">
        <v>209</v>
      </c>
      <c r="D161" s="88" t="s">
        <v>6268</v>
      </c>
      <c r="E161" s="87" t="s">
        <v>6269</v>
      </c>
      <c r="F161" s="87" t="s">
        <v>6270</v>
      </c>
      <c r="G161" s="87" t="s">
        <v>6271</v>
      </c>
      <c r="H161" s="87" t="s">
        <v>6272</v>
      </c>
      <c r="I161" s="87">
        <v>3</v>
      </c>
      <c r="J161" s="88" t="s">
        <v>6273</v>
      </c>
      <c r="K161" s="87"/>
    </row>
    <row r="162" spans="1:11" ht="101.25" customHeight="1">
      <c r="A162" s="15">
        <v>159</v>
      </c>
      <c r="B162" s="87" t="s">
        <v>207</v>
      </c>
      <c r="C162" s="87" t="s">
        <v>209</v>
      </c>
      <c r="D162" s="88" t="s">
        <v>6274</v>
      </c>
      <c r="E162" s="87" t="s">
        <v>6275</v>
      </c>
      <c r="F162" s="87" t="s">
        <v>6276</v>
      </c>
      <c r="G162" s="87" t="s">
        <v>6277</v>
      </c>
      <c r="H162" s="87" t="s">
        <v>6278</v>
      </c>
      <c r="I162" s="87">
        <v>2</v>
      </c>
      <c r="J162" s="88" t="s">
        <v>6279</v>
      </c>
      <c r="K162" s="87"/>
    </row>
    <row r="163" spans="1:11" ht="67.5" customHeight="1">
      <c r="A163" s="15">
        <v>160</v>
      </c>
      <c r="B163" s="87" t="s">
        <v>207</v>
      </c>
      <c r="C163" s="87" t="s">
        <v>209</v>
      </c>
      <c r="D163" s="88" t="s">
        <v>6280</v>
      </c>
      <c r="E163" s="87" t="s">
        <v>6281</v>
      </c>
      <c r="F163" s="87" t="s">
        <v>6282</v>
      </c>
      <c r="G163" s="87" t="s">
        <v>6283</v>
      </c>
      <c r="H163" s="87" t="s">
        <v>6284</v>
      </c>
      <c r="I163" s="87">
        <v>3</v>
      </c>
      <c r="J163" s="88" t="s">
        <v>6285</v>
      </c>
      <c r="K163" s="87"/>
    </row>
    <row r="164" spans="1:11" ht="84.5" customHeight="1">
      <c r="A164" s="15">
        <v>161</v>
      </c>
      <c r="B164" s="87" t="s">
        <v>207</v>
      </c>
      <c r="C164" s="87" t="s">
        <v>209</v>
      </c>
      <c r="D164" s="88" t="s">
        <v>6286</v>
      </c>
      <c r="E164" s="87" t="s">
        <v>6287</v>
      </c>
      <c r="F164" s="87" t="s">
        <v>6288</v>
      </c>
      <c r="G164" s="87" t="s">
        <v>6289</v>
      </c>
      <c r="H164" s="87" t="s">
        <v>6290</v>
      </c>
      <c r="I164" s="87">
        <v>2</v>
      </c>
      <c r="J164" s="88" t="s">
        <v>6291</v>
      </c>
      <c r="K164" s="87"/>
    </row>
    <row r="165" spans="1:11" ht="50.75" customHeight="1">
      <c r="A165" s="15">
        <v>162</v>
      </c>
      <c r="B165" s="87" t="s">
        <v>207</v>
      </c>
      <c r="C165" s="87" t="s">
        <v>208</v>
      </c>
      <c r="D165" s="88" t="s">
        <v>6292</v>
      </c>
      <c r="E165" s="87" t="s">
        <v>6293</v>
      </c>
      <c r="F165" s="87" t="s">
        <v>6294</v>
      </c>
      <c r="G165" s="87" t="s">
        <v>6295</v>
      </c>
      <c r="H165" s="87" t="s">
        <v>6296</v>
      </c>
      <c r="I165" s="87">
        <v>3</v>
      </c>
      <c r="J165" s="88" t="s">
        <v>6297</v>
      </c>
      <c r="K165" s="87"/>
    </row>
    <row r="166" spans="1:11" ht="67.5" customHeight="1">
      <c r="A166" s="15">
        <v>163</v>
      </c>
      <c r="B166" s="87" t="s">
        <v>207</v>
      </c>
      <c r="C166" s="87" t="s">
        <v>209</v>
      </c>
      <c r="D166" s="88" t="s">
        <v>6298</v>
      </c>
      <c r="E166" s="87" t="s">
        <v>6299</v>
      </c>
      <c r="F166" s="87" t="s">
        <v>6300</v>
      </c>
      <c r="G166" s="87" t="s">
        <v>6301</v>
      </c>
      <c r="H166" s="87" t="s">
        <v>6302</v>
      </c>
      <c r="I166" s="87">
        <v>2</v>
      </c>
      <c r="J166" s="88" t="s">
        <v>6303</v>
      </c>
      <c r="K166" s="87"/>
    </row>
    <row r="167" spans="1:11" ht="54" customHeight="1">
      <c r="A167" s="15">
        <v>164</v>
      </c>
      <c r="B167" s="87" t="s">
        <v>207</v>
      </c>
      <c r="C167" s="87" t="s">
        <v>208</v>
      </c>
      <c r="D167" s="92" t="s">
        <v>6304</v>
      </c>
      <c r="E167" s="92" t="s">
        <v>6305</v>
      </c>
      <c r="F167" s="92" t="s">
        <v>6306</v>
      </c>
      <c r="G167" s="92" t="s">
        <v>6307</v>
      </c>
      <c r="H167" s="92" t="s">
        <v>6308</v>
      </c>
      <c r="I167" s="92">
        <v>3</v>
      </c>
      <c r="J167" s="92" t="s">
        <v>6309</v>
      </c>
      <c r="K167" s="87"/>
    </row>
    <row r="168" spans="1:11" ht="50.75" customHeight="1">
      <c r="A168" s="15">
        <v>165</v>
      </c>
      <c r="B168" s="87" t="s">
        <v>207</v>
      </c>
      <c r="C168" s="87" t="s">
        <v>209</v>
      </c>
      <c r="D168" s="88" t="s">
        <v>6310</v>
      </c>
      <c r="E168" s="87" t="s">
        <v>6311</v>
      </c>
      <c r="F168" s="87" t="s">
        <v>6312</v>
      </c>
      <c r="G168" s="87" t="s">
        <v>6313</v>
      </c>
      <c r="H168" s="87" t="s">
        <v>6314</v>
      </c>
      <c r="I168" s="87">
        <v>2</v>
      </c>
      <c r="J168" s="88" t="s">
        <v>6315</v>
      </c>
      <c r="K168" s="87"/>
    </row>
    <row r="169" spans="1:11" ht="67.5" customHeight="1">
      <c r="A169" s="15">
        <v>166</v>
      </c>
      <c r="B169" s="87" t="s">
        <v>207</v>
      </c>
      <c r="C169" s="87" t="s">
        <v>208</v>
      </c>
      <c r="D169" s="88" t="s">
        <v>6316</v>
      </c>
      <c r="E169" s="87" t="s">
        <v>6317</v>
      </c>
      <c r="F169" s="87" t="s">
        <v>6318</v>
      </c>
      <c r="G169" s="87" t="s">
        <v>6319</v>
      </c>
      <c r="H169" s="87" t="s">
        <v>6320</v>
      </c>
      <c r="I169" s="87">
        <v>2</v>
      </c>
      <c r="J169" s="88" t="s">
        <v>6321</v>
      </c>
      <c r="K169" s="87"/>
    </row>
    <row r="170" spans="1:11" ht="67.5" customHeight="1">
      <c r="A170" s="15">
        <v>167</v>
      </c>
      <c r="B170" s="87" t="s">
        <v>207</v>
      </c>
      <c r="C170" s="87" t="s">
        <v>208</v>
      </c>
      <c r="D170" s="88" t="s">
        <v>6322</v>
      </c>
      <c r="E170" s="87" t="s">
        <v>6323</v>
      </c>
      <c r="F170" s="87" t="s">
        <v>6324</v>
      </c>
      <c r="G170" s="87" t="s">
        <v>6325</v>
      </c>
      <c r="H170" s="87" t="s">
        <v>6326</v>
      </c>
      <c r="I170" s="87">
        <v>4</v>
      </c>
      <c r="J170" s="88" t="s">
        <v>6327</v>
      </c>
      <c r="K170" s="87"/>
    </row>
    <row r="171" spans="1:11" ht="101.25" customHeight="1">
      <c r="A171" s="15">
        <v>168</v>
      </c>
      <c r="B171" s="87" t="s">
        <v>207</v>
      </c>
      <c r="C171" s="87" t="s">
        <v>209</v>
      </c>
      <c r="D171" s="88" t="s">
        <v>6328</v>
      </c>
      <c r="E171" s="87" t="s">
        <v>6329</v>
      </c>
      <c r="F171" s="87" t="s">
        <v>6330</v>
      </c>
      <c r="G171" s="87" t="s">
        <v>6331</v>
      </c>
      <c r="H171" s="87" t="s">
        <v>6332</v>
      </c>
      <c r="I171" s="87">
        <v>1</v>
      </c>
      <c r="J171" s="88" t="s">
        <v>6333</v>
      </c>
      <c r="K171" s="87"/>
    </row>
    <row r="172" spans="1:11" ht="67.5" customHeight="1">
      <c r="A172" s="15">
        <v>169</v>
      </c>
      <c r="B172" s="87" t="s">
        <v>207</v>
      </c>
      <c r="C172" s="87" t="s">
        <v>209</v>
      </c>
      <c r="D172" s="88" t="s">
        <v>534</v>
      </c>
      <c r="E172" s="87" t="s">
        <v>6334</v>
      </c>
      <c r="F172" s="87" t="s">
        <v>536</v>
      </c>
      <c r="G172" s="87" t="s">
        <v>6335</v>
      </c>
      <c r="H172" s="87" t="s">
        <v>6336</v>
      </c>
      <c r="I172" s="87">
        <v>4</v>
      </c>
      <c r="J172" s="88" t="s">
        <v>6337</v>
      </c>
      <c r="K172" s="87"/>
    </row>
    <row r="173" spans="1:11" ht="84.5" customHeight="1">
      <c r="A173" s="15">
        <v>170</v>
      </c>
      <c r="B173" s="87" t="s">
        <v>207</v>
      </c>
      <c r="C173" s="87" t="s">
        <v>209</v>
      </c>
      <c r="D173" s="88" t="s">
        <v>6338</v>
      </c>
      <c r="E173" s="87" t="s">
        <v>6339</v>
      </c>
      <c r="F173" s="87" t="s">
        <v>542</v>
      </c>
      <c r="G173" s="87" t="s">
        <v>543</v>
      </c>
      <c r="H173" s="87" t="s">
        <v>6340</v>
      </c>
      <c r="I173" s="87">
        <v>1</v>
      </c>
      <c r="J173" s="88" t="s">
        <v>6341</v>
      </c>
      <c r="K173" s="87"/>
    </row>
    <row r="174" spans="1:11" ht="67.5" customHeight="1">
      <c r="A174" s="15">
        <v>171</v>
      </c>
      <c r="B174" s="87" t="s">
        <v>207</v>
      </c>
      <c r="C174" s="87" t="s">
        <v>208</v>
      </c>
      <c r="D174" s="88" t="s">
        <v>6342</v>
      </c>
      <c r="E174" s="87" t="s">
        <v>6343</v>
      </c>
      <c r="F174" s="87" t="s">
        <v>6344</v>
      </c>
      <c r="G174" s="87" t="s">
        <v>6345</v>
      </c>
      <c r="H174" s="87" t="s">
        <v>6346</v>
      </c>
      <c r="I174" s="87">
        <v>2</v>
      </c>
      <c r="J174" s="88" t="s">
        <v>6347</v>
      </c>
      <c r="K174" s="87"/>
    </row>
    <row r="175" spans="1:11">
      <c r="A175">
        <v>172</v>
      </c>
      <c r="B175" t="s">
        <v>201</v>
      </c>
      <c r="C175" t="s">
        <v>203</v>
      </c>
      <c r="D175" t="s">
        <v>6348</v>
      </c>
      <c r="E175" t="s">
        <v>6349</v>
      </c>
      <c r="F175" t="s">
        <v>6350</v>
      </c>
      <c r="G175" t="s">
        <v>6351</v>
      </c>
      <c r="H175" t="s">
        <v>6352</v>
      </c>
      <c r="I175">
        <v>4</v>
      </c>
      <c r="J175" t="s">
        <v>6353</v>
      </c>
      <c r="K175" t="s">
        <v>6354</v>
      </c>
    </row>
  </sheetData>
  <mergeCells count="2">
    <mergeCell ref="A2:L2"/>
    <mergeCell ref="A1:L1"/>
  </mergeCells>
  <phoneticPr fontId="58" type="noConversion"/>
  <pageMargins left="0.75" right="0.75" top="1" bottom="1" header="0.511811023622047" footer="0.511811023622047"/>
  <pageSetup fitToHeight="0"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220"/>
  <sheetViews>
    <sheetView zoomScale="108" zoomScaleNormal="108" workbookViewId="0">
      <pane xSplit="3" ySplit="3" topLeftCell="G216" activePane="bottomRight" state="frozen"/>
      <selection pane="topRight" activeCell="D1" sqref="D1"/>
      <selection pane="bottomLeft" activeCell="A151" sqref="A151"/>
      <selection pane="bottomRight" activeCell="L3" sqref="L3:M3"/>
    </sheetView>
  </sheetViews>
  <sheetFormatPr baseColWidth="10" defaultColWidth="8.6640625" defaultRowHeight="15"/>
  <cols>
    <col min="1" max="1" width="4.5" style="6" customWidth="1"/>
    <col min="2" max="2" width="12.1640625" style="65" customWidth="1"/>
    <col min="3" max="3" width="25.5" style="65" customWidth="1"/>
    <col min="4" max="4" width="42" style="5" customWidth="1"/>
    <col min="5" max="8" width="20" style="5" customWidth="1"/>
    <col min="9" max="9" width="10" style="6" customWidth="1"/>
    <col min="10" max="10" width="44" style="5" customWidth="1"/>
    <col min="11" max="11" width="24" style="5" customWidth="1"/>
    <col min="12" max="12" width="8.5" style="5" bestFit="1" customWidth="1"/>
    <col min="13" max="14" width="8.6640625" style="5" customWidth="1"/>
    <col min="15" max="16384" width="8.6640625" style="5"/>
  </cols>
  <sheetData>
    <row r="1" spans="1:13" ht="15.75" customHeight="1">
      <c r="A1" s="66"/>
      <c r="B1" s="67"/>
      <c r="C1" s="67"/>
      <c r="D1" s="68"/>
      <c r="E1" s="68"/>
      <c r="F1" s="68"/>
      <c r="G1" s="68"/>
      <c r="H1" s="68"/>
      <c r="I1" s="68"/>
      <c r="J1" s="68"/>
      <c r="K1" s="68"/>
      <c r="L1" s="68"/>
    </row>
    <row r="2" spans="1:13" ht="18" customHeight="1">
      <c r="A2" s="178" t="s">
        <v>6355</v>
      </c>
      <c r="B2" s="179"/>
      <c r="C2" s="179"/>
      <c r="D2" s="151"/>
      <c r="E2" s="151"/>
      <c r="F2" s="151"/>
      <c r="G2" s="151"/>
      <c r="H2" s="151"/>
      <c r="I2" s="152"/>
      <c r="J2" s="151"/>
      <c r="K2" s="151"/>
      <c r="L2" s="151"/>
    </row>
    <row r="3" spans="1:13" ht="19.5" customHeight="1">
      <c r="A3" s="8" t="s">
        <v>0</v>
      </c>
      <c r="B3" s="8" t="s">
        <v>1</v>
      </c>
      <c r="C3" s="8" t="s">
        <v>2</v>
      </c>
      <c r="D3" s="8" t="s">
        <v>3</v>
      </c>
      <c r="E3" s="8" t="s">
        <v>4</v>
      </c>
      <c r="F3" s="8" t="s">
        <v>5</v>
      </c>
      <c r="G3" s="8" t="s">
        <v>6</v>
      </c>
      <c r="H3" s="8" t="s">
        <v>7</v>
      </c>
      <c r="I3" s="8" t="s">
        <v>8</v>
      </c>
      <c r="J3" s="8" t="s">
        <v>9</v>
      </c>
      <c r="K3" s="8" t="s">
        <v>10</v>
      </c>
      <c r="L3" s="93" t="s">
        <v>737</v>
      </c>
      <c r="M3" s="94" t="s">
        <v>738</v>
      </c>
    </row>
    <row r="4" spans="1:13" ht="57.75" customHeight="1">
      <c r="A4" s="69">
        <v>1</v>
      </c>
      <c r="B4" s="70" t="s">
        <v>212</v>
      </c>
      <c r="C4" s="71" t="s">
        <v>213</v>
      </c>
      <c r="D4" s="72" t="s">
        <v>6356</v>
      </c>
      <c r="E4" s="72" t="s">
        <v>6357</v>
      </c>
      <c r="F4" s="72" t="s">
        <v>6358</v>
      </c>
      <c r="G4" s="72" t="s">
        <v>6359</v>
      </c>
      <c r="H4" s="72" t="s">
        <v>6360</v>
      </c>
      <c r="I4" s="69">
        <v>2</v>
      </c>
      <c r="J4" s="73" t="s">
        <v>6361</v>
      </c>
      <c r="K4" s="72" t="s">
        <v>979</v>
      </c>
      <c r="L4" s="73"/>
    </row>
    <row r="5" spans="1:13" ht="55.5" customHeight="1">
      <c r="A5" s="69">
        <v>2</v>
      </c>
      <c r="B5" s="70" t="s">
        <v>212</v>
      </c>
      <c r="C5" s="71" t="s">
        <v>213</v>
      </c>
      <c r="D5" s="72" t="s">
        <v>6362</v>
      </c>
      <c r="E5" s="72" t="s">
        <v>6363</v>
      </c>
      <c r="F5" s="72" t="s">
        <v>6364</v>
      </c>
      <c r="G5" s="72" t="s">
        <v>6365</v>
      </c>
      <c r="H5" s="72" t="s">
        <v>6366</v>
      </c>
      <c r="I5" s="69">
        <v>3</v>
      </c>
      <c r="J5" s="73" t="s">
        <v>6367</v>
      </c>
      <c r="K5" s="72" t="s">
        <v>979</v>
      </c>
      <c r="L5" s="73"/>
    </row>
    <row r="6" spans="1:13" ht="55.5" customHeight="1">
      <c r="A6" s="69">
        <v>3</v>
      </c>
      <c r="B6" s="70" t="s">
        <v>212</v>
      </c>
      <c r="C6" s="71" t="s">
        <v>213</v>
      </c>
      <c r="D6" s="72" t="s">
        <v>6368</v>
      </c>
      <c r="E6" s="72" t="s">
        <v>6369</v>
      </c>
      <c r="F6" s="72" t="s">
        <v>6370</v>
      </c>
      <c r="G6" s="72" t="s">
        <v>6371</v>
      </c>
      <c r="H6" s="72" t="s">
        <v>6372</v>
      </c>
      <c r="I6" s="69">
        <v>4</v>
      </c>
      <c r="J6" s="73" t="s">
        <v>6373</v>
      </c>
      <c r="K6" s="72" t="s">
        <v>6374</v>
      </c>
      <c r="L6" s="73"/>
    </row>
    <row r="7" spans="1:13" ht="42" customHeight="1">
      <c r="A7" s="69">
        <v>4</v>
      </c>
      <c r="B7" s="70" t="s">
        <v>212</v>
      </c>
      <c r="C7" s="71" t="s">
        <v>213</v>
      </c>
      <c r="D7" s="72" t="s">
        <v>6375</v>
      </c>
      <c r="E7" s="72" t="s">
        <v>6376</v>
      </c>
      <c r="F7" s="72" t="s">
        <v>6377</v>
      </c>
      <c r="G7" s="72" t="s">
        <v>6378</v>
      </c>
      <c r="H7" s="72" t="s">
        <v>6379</v>
      </c>
      <c r="I7" s="69">
        <v>3</v>
      </c>
      <c r="J7" s="73" t="s">
        <v>6380</v>
      </c>
      <c r="K7" s="72" t="s">
        <v>979</v>
      </c>
      <c r="L7" s="73"/>
    </row>
    <row r="8" spans="1:13" ht="42" customHeight="1">
      <c r="A8" s="69">
        <v>5</v>
      </c>
      <c r="B8" s="70" t="s">
        <v>212</v>
      </c>
      <c r="C8" s="71" t="s">
        <v>213</v>
      </c>
      <c r="D8" s="73" t="s">
        <v>6381</v>
      </c>
      <c r="E8" s="72" t="s">
        <v>6382</v>
      </c>
      <c r="F8" s="72" t="s">
        <v>6383</v>
      </c>
      <c r="G8" s="72" t="s">
        <v>6384</v>
      </c>
      <c r="H8" s="72" t="s">
        <v>6385</v>
      </c>
      <c r="I8" s="69">
        <v>4</v>
      </c>
      <c r="J8" s="73" t="s">
        <v>6386</v>
      </c>
      <c r="K8" s="72" t="s">
        <v>6374</v>
      </c>
      <c r="L8" s="73"/>
    </row>
    <row r="9" spans="1:13" ht="29.25" customHeight="1">
      <c r="A9" s="69">
        <v>6</v>
      </c>
      <c r="B9" s="70" t="s">
        <v>212</v>
      </c>
      <c r="C9" s="71" t="s">
        <v>214</v>
      </c>
      <c r="D9" s="72" t="s">
        <v>6387</v>
      </c>
      <c r="E9" s="72" t="s">
        <v>6388</v>
      </c>
      <c r="F9" s="72" t="s">
        <v>6389</v>
      </c>
      <c r="G9" s="72" t="s">
        <v>6390</v>
      </c>
      <c r="H9" s="72" t="s">
        <v>6391</v>
      </c>
      <c r="I9" s="69">
        <v>3</v>
      </c>
      <c r="J9" s="73" t="s">
        <v>6392</v>
      </c>
      <c r="K9" s="72" t="s">
        <v>6393</v>
      </c>
      <c r="L9" s="73"/>
    </row>
    <row r="10" spans="1:13" ht="55.5" customHeight="1">
      <c r="A10" s="69">
        <v>7</v>
      </c>
      <c r="B10" s="70" t="s">
        <v>212</v>
      </c>
      <c r="C10" s="71" t="s">
        <v>214</v>
      </c>
      <c r="D10" s="72" t="s">
        <v>6394</v>
      </c>
      <c r="E10" s="72" t="s">
        <v>6395</v>
      </c>
      <c r="F10" s="72" t="s">
        <v>6396</v>
      </c>
      <c r="G10" s="72" t="s">
        <v>6397</v>
      </c>
      <c r="H10" s="72" t="s">
        <v>6398</v>
      </c>
      <c r="I10" s="69">
        <v>4</v>
      </c>
      <c r="J10" s="73" t="s">
        <v>6399</v>
      </c>
      <c r="K10" s="72" t="s">
        <v>6400</v>
      </c>
      <c r="L10" s="73"/>
    </row>
    <row r="11" spans="1:13" ht="27.75" customHeight="1">
      <c r="A11" s="69">
        <v>8</v>
      </c>
      <c r="B11" s="70" t="s">
        <v>212</v>
      </c>
      <c r="C11" s="71" t="s">
        <v>214</v>
      </c>
      <c r="D11" s="72" t="s">
        <v>6401</v>
      </c>
      <c r="E11" s="72" t="s">
        <v>6402</v>
      </c>
      <c r="F11" s="72" t="s">
        <v>6403</v>
      </c>
      <c r="G11" s="72" t="s">
        <v>6404</v>
      </c>
      <c r="H11" s="72" t="s">
        <v>6405</v>
      </c>
      <c r="I11" s="69">
        <v>2</v>
      </c>
      <c r="J11" s="73" t="s">
        <v>6406</v>
      </c>
      <c r="K11" s="72" t="s">
        <v>6393</v>
      </c>
      <c r="L11" s="73"/>
    </row>
    <row r="12" spans="1:13" ht="27.75" customHeight="1">
      <c r="A12" s="69">
        <v>9</v>
      </c>
      <c r="B12" s="70" t="s">
        <v>212</v>
      </c>
      <c r="C12" s="71" t="s">
        <v>214</v>
      </c>
      <c r="D12" s="72" t="s">
        <v>6407</v>
      </c>
      <c r="E12" s="72" t="s">
        <v>6408</v>
      </c>
      <c r="F12" s="72" t="s">
        <v>6409</v>
      </c>
      <c r="G12" s="72" t="s">
        <v>6410</v>
      </c>
      <c r="H12" s="72" t="s">
        <v>6411</v>
      </c>
      <c r="I12" s="69">
        <v>1</v>
      </c>
      <c r="J12" s="73" t="s">
        <v>6412</v>
      </c>
      <c r="K12" s="72" t="s">
        <v>6393</v>
      </c>
      <c r="L12" s="73"/>
    </row>
    <row r="13" spans="1:13" ht="42" customHeight="1">
      <c r="A13" s="69">
        <v>10</v>
      </c>
      <c r="B13" s="70" t="s">
        <v>212</v>
      </c>
      <c r="C13" s="71" t="s">
        <v>214</v>
      </c>
      <c r="D13" s="73" t="s">
        <v>6413</v>
      </c>
      <c r="E13" s="72" t="s">
        <v>6414</v>
      </c>
      <c r="F13" s="72" t="s">
        <v>6415</v>
      </c>
      <c r="G13" s="72" t="s">
        <v>6416</v>
      </c>
      <c r="H13" s="72" t="s">
        <v>6417</v>
      </c>
      <c r="I13" s="69">
        <v>3</v>
      </c>
      <c r="J13" s="73" t="s">
        <v>6418</v>
      </c>
      <c r="K13" s="72" t="s">
        <v>6393</v>
      </c>
      <c r="L13" s="73"/>
    </row>
    <row r="14" spans="1:13" ht="55.5" customHeight="1">
      <c r="A14" s="69">
        <v>11</v>
      </c>
      <c r="B14" s="70" t="s">
        <v>212</v>
      </c>
      <c r="C14" s="71" t="s">
        <v>214</v>
      </c>
      <c r="D14" s="72" t="s">
        <v>6419</v>
      </c>
      <c r="E14" s="72" t="s">
        <v>6420</v>
      </c>
      <c r="F14" s="72" t="s">
        <v>6421</v>
      </c>
      <c r="G14" s="72" t="s">
        <v>6422</v>
      </c>
      <c r="H14" s="72" t="s">
        <v>6423</v>
      </c>
      <c r="I14" s="74">
        <v>3</v>
      </c>
      <c r="J14" s="73" t="s">
        <v>6424</v>
      </c>
      <c r="K14" s="72" t="s">
        <v>6425</v>
      </c>
      <c r="L14" s="72"/>
    </row>
    <row r="15" spans="1:13" ht="55.5" customHeight="1">
      <c r="A15" s="69">
        <v>12</v>
      </c>
      <c r="B15" s="70" t="s">
        <v>212</v>
      </c>
      <c r="C15" s="71" t="s">
        <v>214</v>
      </c>
      <c r="D15" s="73" t="s">
        <v>6426</v>
      </c>
      <c r="E15" s="72" t="s">
        <v>6427</v>
      </c>
      <c r="F15" s="72" t="s">
        <v>6428</v>
      </c>
      <c r="G15" s="72" t="s">
        <v>6429</v>
      </c>
      <c r="H15" s="72" t="s">
        <v>6430</v>
      </c>
      <c r="I15" s="69">
        <v>1</v>
      </c>
      <c r="J15" s="73" t="s">
        <v>6431</v>
      </c>
      <c r="K15" s="72" t="s">
        <v>6393</v>
      </c>
      <c r="L15" s="72"/>
    </row>
    <row r="16" spans="1:13" ht="57.75" customHeight="1">
      <c r="A16" s="69">
        <v>13</v>
      </c>
      <c r="B16" s="70" t="s">
        <v>212</v>
      </c>
      <c r="C16" s="71" t="s">
        <v>215</v>
      </c>
      <c r="D16" s="72" t="s">
        <v>6432</v>
      </c>
      <c r="E16" s="72" t="s">
        <v>6433</v>
      </c>
      <c r="F16" s="72" t="s">
        <v>6434</v>
      </c>
      <c r="G16" s="72" t="s">
        <v>6435</v>
      </c>
      <c r="H16" s="72" t="s">
        <v>6436</v>
      </c>
      <c r="I16" s="69">
        <v>3</v>
      </c>
      <c r="J16" s="73" t="s">
        <v>6437</v>
      </c>
      <c r="K16" s="72"/>
      <c r="L16" s="73"/>
    </row>
    <row r="17" spans="1:12" ht="27.75" customHeight="1">
      <c r="A17" s="69">
        <v>14</v>
      </c>
      <c r="B17" s="70" t="s">
        <v>212</v>
      </c>
      <c r="C17" s="71" t="s">
        <v>215</v>
      </c>
      <c r="D17" s="72" t="s">
        <v>6438</v>
      </c>
      <c r="E17" s="72" t="s">
        <v>6439</v>
      </c>
      <c r="F17" s="72" t="s">
        <v>6440</v>
      </c>
      <c r="G17" s="72" t="s">
        <v>6441</v>
      </c>
      <c r="H17" s="72" t="s">
        <v>6442</v>
      </c>
      <c r="I17" s="69">
        <v>4</v>
      </c>
      <c r="J17" s="73" t="s">
        <v>6443</v>
      </c>
      <c r="K17" s="72"/>
      <c r="L17" s="73"/>
    </row>
    <row r="18" spans="1:12" ht="27.75" customHeight="1">
      <c r="A18" s="69">
        <v>15</v>
      </c>
      <c r="B18" s="70" t="s">
        <v>212</v>
      </c>
      <c r="C18" s="71" t="s">
        <v>215</v>
      </c>
      <c r="D18" s="72" t="s">
        <v>6444</v>
      </c>
      <c r="E18" s="72" t="s">
        <v>6445</v>
      </c>
      <c r="F18" s="72" t="s">
        <v>6446</v>
      </c>
      <c r="G18" s="72" t="s">
        <v>6447</v>
      </c>
      <c r="H18" s="72" t="s">
        <v>6448</v>
      </c>
      <c r="I18" s="69">
        <v>3</v>
      </c>
      <c r="J18" s="73" t="s">
        <v>6449</v>
      </c>
      <c r="K18" s="72" t="s">
        <v>6450</v>
      </c>
      <c r="L18" s="73"/>
    </row>
    <row r="19" spans="1:12" ht="42" customHeight="1">
      <c r="A19" s="69">
        <v>16</v>
      </c>
      <c r="B19" s="70" t="s">
        <v>212</v>
      </c>
      <c r="C19" s="71" t="s">
        <v>215</v>
      </c>
      <c r="D19" s="72" t="s">
        <v>6451</v>
      </c>
      <c r="E19" s="72" t="s">
        <v>6452</v>
      </c>
      <c r="F19" s="72" t="s">
        <v>6453</v>
      </c>
      <c r="G19" s="72" t="s">
        <v>6454</v>
      </c>
      <c r="H19" s="72" t="s">
        <v>6455</v>
      </c>
      <c r="I19" s="69">
        <v>2</v>
      </c>
      <c r="J19" s="73" t="s">
        <v>6456</v>
      </c>
      <c r="K19" s="72"/>
      <c r="L19" s="73"/>
    </row>
    <row r="20" spans="1:12" ht="42" customHeight="1">
      <c r="A20" s="69">
        <v>17</v>
      </c>
      <c r="B20" s="70" t="s">
        <v>212</v>
      </c>
      <c r="C20" s="71" t="s">
        <v>215</v>
      </c>
      <c r="D20" s="73" t="s">
        <v>6457</v>
      </c>
      <c r="E20" s="72" t="s">
        <v>6458</v>
      </c>
      <c r="F20" s="72" t="s">
        <v>6459</v>
      </c>
      <c r="G20" s="72" t="s">
        <v>6460</v>
      </c>
      <c r="H20" s="72" t="s">
        <v>6461</v>
      </c>
      <c r="I20" s="69">
        <v>4</v>
      </c>
      <c r="J20" s="73" t="s">
        <v>6462</v>
      </c>
      <c r="K20" s="72"/>
      <c r="L20" s="73"/>
    </row>
    <row r="21" spans="1:12" ht="29.25" customHeight="1">
      <c r="A21" s="69">
        <v>18</v>
      </c>
      <c r="B21" s="70" t="s">
        <v>212</v>
      </c>
      <c r="C21" s="71" t="s">
        <v>216</v>
      </c>
      <c r="D21" s="72" t="s">
        <v>6463</v>
      </c>
      <c r="E21" s="72" t="s">
        <v>6464</v>
      </c>
      <c r="F21" s="72" t="s">
        <v>6404</v>
      </c>
      <c r="G21" s="72" t="s">
        <v>6465</v>
      </c>
      <c r="H21" s="72" t="s">
        <v>6466</v>
      </c>
      <c r="I21" s="69">
        <v>3</v>
      </c>
      <c r="J21" s="73" t="s">
        <v>6467</v>
      </c>
      <c r="K21" s="72"/>
      <c r="L21" s="73"/>
    </row>
    <row r="22" spans="1:12" ht="42" customHeight="1">
      <c r="A22" s="69">
        <v>19</v>
      </c>
      <c r="B22" s="70" t="s">
        <v>212</v>
      </c>
      <c r="C22" s="71" t="s">
        <v>216</v>
      </c>
      <c r="D22" s="72" t="s">
        <v>6468</v>
      </c>
      <c r="E22" s="72" t="s">
        <v>6469</v>
      </c>
      <c r="F22" s="72" t="s">
        <v>6470</v>
      </c>
      <c r="G22" s="72" t="s">
        <v>6471</v>
      </c>
      <c r="H22" s="72" t="s">
        <v>6472</v>
      </c>
      <c r="I22" s="69">
        <v>1</v>
      </c>
      <c r="J22" s="73" t="s">
        <v>6473</v>
      </c>
      <c r="K22" s="72"/>
      <c r="L22" s="73"/>
    </row>
    <row r="23" spans="1:12" ht="55.5" customHeight="1">
      <c r="A23" s="69">
        <v>20</v>
      </c>
      <c r="B23" s="70" t="s">
        <v>212</v>
      </c>
      <c r="C23" s="71" t="s">
        <v>216</v>
      </c>
      <c r="D23" s="72" t="s">
        <v>6474</v>
      </c>
      <c r="E23" s="72" t="s">
        <v>6475</v>
      </c>
      <c r="F23" s="72" t="s">
        <v>6476</v>
      </c>
      <c r="G23" s="72" t="s">
        <v>6477</v>
      </c>
      <c r="H23" s="72" t="s">
        <v>6478</v>
      </c>
      <c r="I23" s="69">
        <v>1</v>
      </c>
      <c r="J23" s="73" t="s">
        <v>6479</v>
      </c>
      <c r="K23" s="72"/>
      <c r="L23" s="73"/>
    </row>
    <row r="24" spans="1:12" ht="27.75" customHeight="1">
      <c r="A24" s="69">
        <v>21</v>
      </c>
      <c r="B24" s="70" t="s">
        <v>212</v>
      </c>
      <c r="C24" s="71" t="s">
        <v>216</v>
      </c>
      <c r="D24" s="72" t="s">
        <v>6480</v>
      </c>
      <c r="E24" s="72" t="s">
        <v>6481</v>
      </c>
      <c r="F24" s="72" t="s">
        <v>6482</v>
      </c>
      <c r="G24" s="72" t="s">
        <v>6483</v>
      </c>
      <c r="H24" s="72" t="s">
        <v>6484</v>
      </c>
      <c r="I24" s="69">
        <v>2</v>
      </c>
      <c r="J24" s="73" t="s">
        <v>6485</v>
      </c>
      <c r="K24" s="72"/>
      <c r="L24" s="73"/>
    </row>
    <row r="25" spans="1:12" ht="55.5" customHeight="1">
      <c r="A25" s="69">
        <v>22</v>
      </c>
      <c r="B25" s="70" t="s">
        <v>212</v>
      </c>
      <c r="C25" s="71" t="s">
        <v>216</v>
      </c>
      <c r="D25" s="73" t="s">
        <v>6486</v>
      </c>
      <c r="E25" s="72" t="s">
        <v>6487</v>
      </c>
      <c r="F25" s="72" t="s">
        <v>6488</v>
      </c>
      <c r="G25" s="72" t="s">
        <v>6489</v>
      </c>
      <c r="H25" s="72" t="s">
        <v>6490</v>
      </c>
      <c r="I25" s="69">
        <v>3</v>
      </c>
      <c r="J25" s="73" t="s">
        <v>6491</v>
      </c>
      <c r="K25" s="72"/>
      <c r="L25" s="73"/>
    </row>
    <row r="26" spans="1:12" ht="43.5" customHeight="1">
      <c r="A26" s="69">
        <v>23</v>
      </c>
      <c r="B26" s="70" t="s">
        <v>212</v>
      </c>
      <c r="C26" s="71" t="s">
        <v>217</v>
      </c>
      <c r="D26" s="72" t="s">
        <v>6492</v>
      </c>
      <c r="E26" s="72" t="s">
        <v>6493</v>
      </c>
      <c r="F26" s="72" t="s">
        <v>6494</v>
      </c>
      <c r="G26" s="72" t="s">
        <v>6495</v>
      </c>
      <c r="H26" s="72" t="s">
        <v>6496</v>
      </c>
      <c r="I26" s="69">
        <v>1</v>
      </c>
      <c r="J26" s="73" t="s">
        <v>6497</v>
      </c>
      <c r="K26" s="72" t="s">
        <v>6498</v>
      </c>
      <c r="L26" s="73"/>
    </row>
    <row r="27" spans="1:12" ht="42" customHeight="1">
      <c r="A27" s="69">
        <v>24</v>
      </c>
      <c r="B27" s="70" t="s">
        <v>212</v>
      </c>
      <c r="C27" s="71" t="s">
        <v>217</v>
      </c>
      <c r="D27" s="72" t="s">
        <v>6499</v>
      </c>
      <c r="E27" s="72" t="s">
        <v>6500</v>
      </c>
      <c r="F27" s="72" t="s">
        <v>6501</v>
      </c>
      <c r="G27" s="72" t="s">
        <v>6502</v>
      </c>
      <c r="H27" s="72" t="s">
        <v>6503</v>
      </c>
      <c r="I27" s="69">
        <v>1</v>
      </c>
      <c r="J27" s="73" t="s">
        <v>6504</v>
      </c>
      <c r="K27" s="72" t="s">
        <v>6505</v>
      </c>
      <c r="L27" s="73"/>
    </row>
    <row r="28" spans="1:12" ht="42" customHeight="1">
      <c r="A28" s="69">
        <v>25</v>
      </c>
      <c r="B28" s="70" t="s">
        <v>212</v>
      </c>
      <c r="C28" s="71" t="s">
        <v>217</v>
      </c>
      <c r="D28" s="72" t="s">
        <v>6506</v>
      </c>
      <c r="E28" s="72" t="s">
        <v>6507</v>
      </c>
      <c r="F28" s="72" t="s">
        <v>6508</v>
      </c>
      <c r="G28" s="72" t="s">
        <v>6509</v>
      </c>
      <c r="H28" s="72" t="s">
        <v>6510</v>
      </c>
      <c r="I28" s="69">
        <v>1</v>
      </c>
      <c r="J28" s="73" t="s">
        <v>6511</v>
      </c>
      <c r="K28" s="72" t="s">
        <v>6512</v>
      </c>
      <c r="L28" s="73"/>
    </row>
    <row r="29" spans="1:12" ht="42" customHeight="1">
      <c r="A29" s="69">
        <v>26</v>
      </c>
      <c r="B29" s="70" t="s">
        <v>212</v>
      </c>
      <c r="C29" s="71" t="s">
        <v>217</v>
      </c>
      <c r="D29" s="72" t="s">
        <v>6513</v>
      </c>
      <c r="E29" s="72" t="s">
        <v>6514</v>
      </c>
      <c r="F29" s="72" t="s">
        <v>6515</v>
      </c>
      <c r="G29" s="72" t="s">
        <v>6516</v>
      </c>
      <c r="H29" s="72" t="s">
        <v>6517</v>
      </c>
      <c r="I29" s="69">
        <v>3</v>
      </c>
      <c r="J29" s="73" t="s">
        <v>6518</v>
      </c>
      <c r="K29" s="72" t="s">
        <v>6505</v>
      </c>
      <c r="L29" s="73"/>
    </row>
    <row r="30" spans="1:12" ht="42" customHeight="1">
      <c r="A30" s="69">
        <v>27</v>
      </c>
      <c r="B30" s="70" t="s">
        <v>212</v>
      </c>
      <c r="C30" s="71" t="s">
        <v>217</v>
      </c>
      <c r="D30" s="73" t="s">
        <v>6519</v>
      </c>
      <c r="E30" s="72" t="s">
        <v>6520</v>
      </c>
      <c r="F30" s="72" t="s">
        <v>6521</v>
      </c>
      <c r="G30" s="72" t="s">
        <v>6522</v>
      </c>
      <c r="H30" s="72" t="s">
        <v>6523</v>
      </c>
      <c r="I30" s="69">
        <v>4</v>
      </c>
      <c r="J30" s="73" t="s">
        <v>6524</v>
      </c>
      <c r="K30" s="72" t="s">
        <v>6505</v>
      </c>
      <c r="L30" s="73"/>
    </row>
    <row r="31" spans="1:12" ht="55.5" customHeight="1">
      <c r="A31" s="69">
        <v>28</v>
      </c>
      <c r="B31" s="70" t="s">
        <v>212</v>
      </c>
      <c r="C31" s="71" t="s">
        <v>217</v>
      </c>
      <c r="D31" s="72" t="s">
        <v>6525</v>
      </c>
      <c r="E31" s="72" t="s">
        <v>6526</v>
      </c>
      <c r="F31" s="72" t="s">
        <v>6527</v>
      </c>
      <c r="G31" s="72" t="s">
        <v>6528</v>
      </c>
      <c r="H31" s="72" t="s">
        <v>6529</v>
      </c>
      <c r="I31" s="69">
        <v>3</v>
      </c>
      <c r="J31" s="73" t="s">
        <v>6530</v>
      </c>
      <c r="K31" s="72" t="s">
        <v>6531</v>
      </c>
      <c r="L31" s="72"/>
    </row>
    <row r="32" spans="1:12" ht="55.5" customHeight="1">
      <c r="A32" s="69">
        <v>29</v>
      </c>
      <c r="B32" s="70" t="s">
        <v>212</v>
      </c>
      <c r="C32" s="71" t="s">
        <v>217</v>
      </c>
      <c r="D32" s="73" t="s">
        <v>6532</v>
      </c>
      <c r="E32" s="72" t="s">
        <v>6533</v>
      </c>
      <c r="F32" s="72" t="s">
        <v>6534</v>
      </c>
      <c r="G32" s="72" t="s">
        <v>6535</v>
      </c>
      <c r="H32" s="72" t="s">
        <v>6536</v>
      </c>
      <c r="I32" s="69">
        <v>2</v>
      </c>
      <c r="J32" s="73" t="s">
        <v>6537</v>
      </c>
      <c r="K32" s="72" t="s">
        <v>6538</v>
      </c>
      <c r="L32" s="72"/>
    </row>
    <row r="33" spans="1:12" ht="42" customHeight="1">
      <c r="A33" s="69">
        <v>30</v>
      </c>
      <c r="B33" s="70" t="s">
        <v>212</v>
      </c>
      <c r="C33" s="71" t="s">
        <v>217</v>
      </c>
      <c r="D33" s="72" t="s">
        <v>6539</v>
      </c>
      <c r="E33" s="72" t="s">
        <v>6540</v>
      </c>
      <c r="F33" s="72" t="s">
        <v>6541</v>
      </c>
      <c r="G33" s="72" t="s">
        <v>6542</v>
      </c>
      <c r="H33" s="72" t="s">
        <v>6543</v>
      </c>
      <c r="I33" s="69">
        <v>4</v>
      </c>
      <c r="J33" s="73" t="s">
        <v>6544</v>
      </c>
      <c r="K33" s="72" t="s">
        <v>6545</v>
      </c>
      <c r="L33" s="72"/>
    </row>
    <row r="34" spans="1:12" ht="57.75" customHeight="1">
      <c r="A34" s="69">
        <v>31</v>
      </c>
      <c r="B34" s="70" t="s">
        <v>218</v>
      </c>
      <c r="C34" s="71" t="s">
        <v>219</v>
      </c>
      <c r="D34" s="72" t="s">
        <v>6546</v>
      </c>
      <c r="E34" s="72" t="s">
        <v>6547</v>
      </c>
      <c r="F34" s="72" t="s">
        <v>6548</v>
      </c>
      <c r="G34" s="72" t="s">
        <v>6549</v>
      </c>
      <c r="H34" s="72" t="s">
        <v>6550</v>
      </c>
      <c r="I34" s="69">
        <v>1</v>
      </c>
      <c r="J34" s="73" t="s">
        <v>6551</v>
      </c>
      <c r="K34" s="72" t="s">
        <v>6552</v>
      </c>
      <c r="L34" s="73"/>
    </row>
    <row r="35" spans="1:12" ht="27.75" customHeight="1">
      <c r="A35" s="69">
        <v>32</v>
      </c>
      <c r="B35" s="70" t="s">
        <v>218</v>
      </c>
      <c r="C35" s="71" t="s">
        <v>219</v>
      </c>
      <c r="D35" s="72" t="s">
        <v>6553</v>
      </c>
      <c r="E35" s="72" t="s">
        <v>6554</v>
      </c>
      <c r="F35" s="72" t="s">
        <v>6555</v>
      </c>
      <c r="G35" s="72" t="s">
        <v>6556</v>
      </c>
      <c r="H35" s="72" t="s">
        <v>6557</v>
      </c>
      <c r="I35" s="69">
        <v>2</v>
      </c>
      <c r="J35" s="73" t="s">
        <v>6558</v>
      </c>
      <c r="K35" s="72" t="s">
        <v>6552</v>
      </c>
      <c r="L35" s="73"/>
    </row>
    <row r="36" spans="1:12" ht="27.75" customHeight="1">
      <c r="A36" s="69">
        <v>33</v>
      </c>
      <c r="B36" s="70" t="s">
        <v>218</v>
      </c>
      <c r="C36" s="71" t="s">
        <v>219</v>
      </c>
      <c r="D36" s="72" t="s">
        <v>6559</v>
      </c>
      <c r="E36" s="72" t="s">
        <v>6560</v>
      </c>
      <c r="F36" s="72" t="s">
        <v>6561</v>
      </c>
      <c r="G36" s="72" t="s">
        <v>6562</v>
      </c>
      <c r="H36" s="72" t="s">
        <v>6563</v>
      </c>
      <c r="I36" s="69">
        <v>4</v>
      </c>
      <c r="J36" s="73" t="s">
        <v>6564</v>
      </c>
      <c r="K36" s="72" t="s">
        <v>6552</v>
      </c>
      <c r="L36" s="73"/>
    </row>
    <row r="37" spans="1:12" ht="27.75" customHeight="1">
      <c r="A37" s="69">
        <v>34</v>
      </c>
      <c r="B37" s="70" t="s">
        <v>218</v>
      </c>
      <c r="C37" s="71" t="s">
        <v>219</v>
      </c>
      <c r="D37" s="72" t="s">
        <v>6565</v>
      </c>
      <c r="E37" s="72" t="s">
        <v>6566</v>
      </c>
      <c r="F37" s="72" t="s">
        <v>6567</v>
      </c>
      <c r="G37" s="72" t="s">
        <v>6568</v>
      </c>
      <c r="H37" s="72" t="s">
        <v>6569</v>
      </c>
      <c r="I37" s="69">
        <v>1</v>
      </c>
      <c r="J37" s="73" t="s">
        <v>6570</v>
      </c>
      <c r="K37" s="72" t="s">
        <v>6552</v>
      </c>
      <c r="L37" s="73"/>
    </row>
    <row r="38" spans="1:12" ht="42" customHeight="1">
      <c r="A38" s="69">
        <v>35</v>
      </c>
      <c r="B38" s="70" t="s">
        <v>218</v>
      </c>
      <c r="C38" s="71" t="s">
        <v>219</v>
      </c>
      <c r="D38" s="73" t="s">
        <v>6571</v>
      </c>
      <c r="E38" s="72" t="s">
        <v>6572</v>
      </c>
      <c r="F38" s="72" t="s">
        <v>6573</v>
      </c>
      <c r="G38" s="72" t="s">
        <v>6574</v>
      </c>
      <c r="H38" s="72" t="s">
        <v>6575</v>
      </c>
      <c r="I38" s="69">
        <v>1</v>
      </c>
      <c r="J38" s="73" t="s">
        <v>6576</v>
      </c>
      <c r="K38" s="72" t="s">
        <v>6552</v>
      </c>
      <c r="L38" s="73"/>
    </row>
    <row r="39" spans="1:12" ht="55.5" customHeight="1">
      <c r="A39" s="69">
        <v>36</v>
      </c>
      <c r="B39" s="70" t="s">
        <v>218</v>
      </c>
      <c r="C39" s="71" t="s">
        <v>219</v>
      </c>
      <c r="D39" s="72" t="s">
        <v>6577</v>
      </c>
      <c r="E39" s="72" t="s">
        <v>6578</v>
      </c>
      <c r="F39" s="72" t="s">
        <v>6579</v>
      </c>
      <c r="G39" s="72" t="s">
        <v>6580</v>
      </c>
      <c r="H39" s="72" t="s">
        <v>6581</v>
      </c>
      <c r="I39" s="74">
        <v>1</v>
      </c>
      <c r="J39" s="73" t="s">
        <v>6582</v>
      </c>
      <c r="K39" s="72" t="s">
        <v>3461</v>
      </c>
      <c r="L39" s="72"/>
    </row>
    <row r="40" spans="1:12" ht="55.5" customHeight="1">
      <c r="A40" s="69">
        <v>37</v>
      </c>
      <c r="B40" s="70" t="s">
        <v>218</v>
      </c>
      <c r="C40" s="71" t="s">
        <v>219</v>
      </c>
      <c r="D40" s="72" t="s">
        <v>6583</v>
      </c>
      <c r="E40" s="72" t="s">
        <v>6584</v>
      </c>
      <c r="F40" s="72" t="s">
        <v>6585</v>
      </c>
      <c r="G40" s="72" t="s">
        <v>6586</v>
      </c>
      <c r="H40" s="72" t="s">
        <v>6587</v>
      </c>
      <c r="I40" s="69">
        <v>2</v>
      </c>
      <c r="J40" s="73" t="s">
        <v>6588</v>
      </c>
      <c r="K40" s="72" t="s">
        <v>3461</v>
      </c>
      <c r="L40" s="72"/>
    </row>
    <row r="41" spans="1:12" ht="69.75" customHeight="1">
      <c r="A41" s="69">
        <v>38</v>
      </c>
      <c r="B41" s="70" t="s">
        <v>218</v>
      </c>
      <c r="C41" s="71" t="s">
        <v>219</v>
      </c>
      <c r="D41" s="72" t="s">
        <v>6589</v>
      </c>
      <c r="E41" s="72" t="s">
        <v>6590</v>
      </c>
      <c r="F41" s="72" t="s">
        <v>6591</v>
      </c>
      <c r="G41" s="72" t="s">
        <v>6592</v>
      </c>
      <c r="H41" s="72" t="s">
        <v>6593</v>
      </c>
      <c r="I41" s="69">
        <v>1</v>
      </c>
      <c r="J41" s="73" t="s">
        <v>6594</v>
      </c>
      <c r="K41" s="72" t="s">
        <v>3461</v>
      </c>
      <c r="L41" s="72"/>
    </row>
    <row r="42" spans="1:12" ht="29.25" customHeight="1">
      <c r="A42" s="69">
        <v>39</v>
      </c>
      <c r="B42" s="63" t="s">
        <v>218</v>
      </c>
      <c r="C42" s="64" t="s">
        <v>219</v>
      </c>
      <c r="D42" s="56" t="s">
        <v>6595</v>
      </c>
      <c r="E42" s="23" t="s">
        <v>6596</v>
      </c>
      <c r="F42" s="23" t="s">
        <v>6597</v>
      </c>
      <c r="G42" s="23" t="s">
        <v>6598</v>
      </c>
      <c r="H42" s="23" t="s">
        <v>6599</v>
      </c>
      <c r="I42" s="20">
        <v>2</v>
      </c>
      <c r="J42" s="24" t="s">
        <v>6600</v>
      </c>
      <c r="K42" s="23" t="s">
        <v>6601</v>
      </c>
      <c r="L42" s="23"/>
    </row>
    <row r="43" spans="1:12" ht="42" customHeight="1">
      <c r="A43" s="69">
        <v>40</v>
      </c>
      <c r="B43" s="70" t="s">
        <v>218</v>
      </c>
      <c r="C43" s="71" t="s">
        <v>220</v>
      </c>
      <c r="D43" s="72" t="s">
        <v>6602</v>
      </c>
      <c r="E43" s="72" t="s">
        <v>6603</v>
      </c>
      <c r="F43" s="72" t="s">
        <v>6604</v>
      </c>
      <c r="G43" s="72" t="s">
        <v>6605</v>
      </c>
      <c r="H43" s="72" t="s">
        <v>6606</v>
      </c>
      <c r="I43" s="69">
        <v>2</v>
      </c>
      <c r="J43" s="73" t="s">
        <v>6607</v>
      </c>
      <c r="K43" s="72" t="s">
        <v>6608</v>
      </c>
      <c r="L43" s="73"/>
    </row>
    <row r="44" spans="1:12" ht="42" customHeight="1">
      <c r="A44" s="69">
        <v>41</v>
      </c>
      <c r="B44" s="70" t="s">
        <v>218</v>
      </c>
      <c r="C44" s="71" t="s">
        <v>220</v>
      </c>
      <c r="D44" s="72" t="s">
        <v>6609</v>
      </c>
      <c r="E44" s="72" t="s">
        <v>6610</v>
      </c>
      <c r="F44" s="72" t="s">
        <v>6611</v>
      </c>
      <c r="G44" s="72" t="s">
        <v>6612</v>
      </c>
      <c r="H44" s="72" t="s">
        <v>6613</v>
      </c>
      <c r="I44" s="69">
        <v>1</v>
      </c>
      <c r="J44" s="73" t="s">
        <v>6614</v>
      </c>
      <c r="K44" s="72" t="s">
        <v>6608</v>
      </c>
      <c r="L44" s="73"/>
    </row>
    <row r="45" spans="1:12" ht="27.75" customHeight="1">
      <c r="A45" s="69">
        <v>42</v>
      </c>
      <c r="B45" s="70" t="s">
        <v>218</v>
      </c>
      <c r="C45" s="71" t="s">
        <v>220</v>
      </c>
      <c r="D45" s="72" t="s">
        <v>6615</v>
      </c>
      <c r="E45" s="72" t="s">
        <v>6616</v>
      </c>
      <c r="F45" s="72" t="s">
        <v>6617</v>
      </c>
      <c r="G45" s="72" t="s">
        <v>6618</v>
      </c>
      <c r="H45" s="72" t="s">
        <v>6619</v>
      </c>
      <c r="I45" s="69">
        <v>3</v>
      </c>
      <c r="J45" s="73" t="s">
        <v>6620</v>
      </c>
      <c r="K45" s="72" t="s">
        <v>6608</v>
      </c>
      <c r="L45" s="73"/>
    </row>
    <row r="46" spans="1:12" ht="55.5" customHeight="1">
      <c r="A46" s="69">
        <v>43</v>
      </c>
      <c r="B46" s="70" t="s">
        <v>218</v>
      </c>
      <c r="C46" s="71" t="s">
        <v>220</v>
      </c>
      <c r="D46" s="72" t="s">
        <v>6621</v>
      </c>
      <c r="E46" s="72" t="s">
        <v>6622</v>
      </c>
      <c r="F46" s="72" t="s">
        <v>6623</v>
      </c>
      <c r="G46" s="72" t="s">
        <v>6624</v>
      </c>
      <c r="H46" s="72" t="s">
        <v>6625</v>
      </c>
      <c r="I46" s="69">
        <v>2</v>
      </c>
      <c r="J46" s="73" t="s">
        <v>6626</v>
      </c>
      <c r="K46" s="72" t="s">
        <v>6608</v>
      </c>
      <c r="L46" s="73"/>
    </row>
    <row r="47" spans="1:12" ht="42" customHeight="1">
      <c r="A47" s="69">
        <v>44</v>
      </c>
      <c r="B47" s="70" t="s">
        <v>218</v>
      </c>
      <c r="C47" s="71" t="s">
        <v>220</v>
      </c>
      <c r="D47" s="73" t="s">
        <v>6627</v>
      </c>
      <c r="E47" s="72" t="s">
        <v>6415</v>
      </c>
      <c r="F47" s="72" t="s">
        <v>6628</v>
      </c>
      <c r="G47" s="72" t="s">
        <v>6629</v>
      </c>
      <c r="H47" s="72" t="s">
        <v>6630</v>
      </c>
      <c r="I47" s="69">
        <v>3</v>
      </c>
      <c r="J47" s="73" t="s">
        <v>6631</v>
      </c>
      <c r="K47" s="72" t="s">
        <v>6608</v>
      </c>
      <c r="L47" s="73"/>
    </row>
    <row r="48" spans="1:12" ht="57.75" customHeight="1">
      <c r="A48" s="69">
        <v>45</v>
      </c>
      <c r="B48" s="70" t="s">
        <v>218</v>
      </c>
      <c r="C48" s="71" t="s">
        <v>220</v>
      </c>
      <c r="D48" s="72" t="s">
        <v>6632</v>
      </c>
      <c r="E48" s="72" t="s">
        <v>6633</v>
      </c>
      <c r="F48" s="72" t="s">
        <v>6634</v>
      </c>
      <c r="G48" s="72" t="s">
        <v>6635</v>
      </c>
      <c r="H48" s="72" t="s">
        <v>6636</v>
      </c>
      <c r="I48" s="69">
        <v>2</v>
      </c>
      <c r="J48" s="73" t="s">
        <v>6637</v>
      </c>
      <c r="K48" s="72" t="s">
        <v>6608</v>
      </c>
      <c r="L48" s="72"/>
    </row>
    <row r="49" spans="1:12" ht="42" customHeight="1">
      <c r="A49" s="69">
        <v>46</v>
      </c>
      <c r="B49" s="63" t="s">
        <v>218</v>
      </c>
      <c r="C49" s="64" t="s">
        <v>220</v>
      </c>
      <c r="D49" s="56" t="s">
        <v>6638</v>
      </c>
      <c r="E49" s="23" t="s">
        <v>6639</v>
      </c>
      <c r="F49" s="23" t="s">
        <v>6640</v>
      </c>
      <c r="G49" s="23" t="s">
        <v>6641</v>
      </c>
      <c r="H49" s="23" t="s">
        <v>6642</v>
      </c>
      <c r="I49" s="20">
        <v>4</v>
      </c>
      <c r="J49" s="24" t="s">
        <v>6643</v>
      </c>
      <c r="K49" s="23"/>
      <c r="L49" s="23"/>
    </row>
    <row r="50" spans="1:12" ht="42" customHeight="1">
      <c r="A50" s="69">
        <v>47</v>
      </c>
      <c r="B50" s="63" t="s">
        <v>218</v>
      </c>
      <c r="C50" s="64" t="s">
        <v>220</v>
      </c>
      <c r="D50" s="56" t="s">
        <v>6644</v>
      </c>
      <c r="E50" s="23" t="s">
        <v>6645</v>
      </c>
      <c r="F50" s="23" t="s">
        <v>6646</v>
      </c>
      <c r="G50" s="23" t="s">
        <v>6647</v>
      </c>
      <c r="H50" s="23" t="s">
        <v>6648</v>
      </c>
      <c r="I50" s="20">
        <v>1</v>
      </c>
      <c r="J50" s="24" t="s">
        <v>6649</v>
      </c>
      <c r="K50" s="23" t="s">
        <v>6650</v>
      </c>
      <c r="L50" s="23"/>
    </row>
    <row r="51" spans="1:12" ht="27.75" customHeight="1">
      <c r="A51" s="69">
        <v>48</v>
      </c>
      <c r="B51" s="70" t="s">
        <v>218</v>
      </c>
      <c r="C51" s="71" t="s">
        <v>221</v>
      </c>
      <c r="D51" s="72" t="s">
        <v>6651</v>
      </c>
      <c r="E51" s="72" t="s">
        <v>6652</v>
      </c>
      <c r="F51" s="72" t="s">
        <v>6653</v>
      </c>
      <c r="G51" s="72" t="s">
        <v>6654</v>
      </c>
      <c r="H51" s="72" t="s">
        <v>6655</v>
      </c>
      <c r="I51" s="69">
        <v>1</v>
      </c>
      <c r="J51" s="73" t="s">
        <v>6656</v>
      </c>
      <c r="K51" s="72" t="s">
        <v>5663</v>
      </c>
      <c r="L51" s="73"/>
    </row>
    <row r="52" spans="1:12" ht="55.5" customHeight="1">
      <c r="A52" s="69">
        <v>49</v>
      </c>
      <c r="B52" s="70" t="s">
        <v>218</v>
      </c>
      <c r="C52" s="71" t="s">
        <v>221</v>
      </c>
      <c r="D52" s="72" t="s">
        <v>6657</v>
      </c>
      <c r="E52" s="72" t="s">
        <v>6658</v>
      </c>
      <c r="F52" s="72" t="s">
        <v>6659</v>
      </c>
      <c r="G52" s="72" t="s">
        <v>6660</v>
      </c>
      <c r="H52" s="72" t="s">
        <v>6661</v>
      </c>
      <c r="I52" s="69">
        <v>2</v>
      </c>
      <c r="J52" s="73" t="s">
        <v>6662</v>
      </c>
      <c r="K52" s="72" t="s">
        <v>6663</v>
      </c>
      <c r="L52" s="73"/>
    </row>
    <row r="53" spans="1:12" ht="97.5" customHeight="1">
      <c r="A53" s="69">
        <v>50</v>
      </c>
      <c r="B53" s="70" t="s">
        <v>218</v>
      </c>
      <c r="C53" s="71" t="s">
        <v>221</v>
      </c>
      <c r="D53" s="72" t="s">
        <v>6664</v>
      </c>
      <c r="E53" s="72" t="s">
        <v>6665</v>
      </c>
      <c r="F53" s="72" t="s">
        <v>6666</v>
      </c>
      <c r="G53" s="72" t="s">
        <v>6667</v>
      </c>
      <c r="H53" s="72" t="s">
        <v>6668</v>
      </c>
      <c r="I53" s="69">
        <v>2</v>
      </c>
      <c r="J53" s="73" t="s">
        <v>6669</v>
      </c>
      <c r="K53" s="72" t="s">
        <v>6670</v>
      </c>
      <c r="L53" s="73"/>
    </row>
    <row r="54" spans="1:12" ht="29.25" customHeight="1">
      <c r="A54" s="69">
        <v>51</v>
      </c>
      <c r="B54" s="70" t="s">
        <v>218</v>
      </c>
      <c r="C54" s="71" t="s">
        <v>221</v>
      </c>
      <c r="D54" s="72" t="s">
        <v>6671</v>
      </c>
      <c r="E54" s="72" t="s">
        <v>6672</v>
      </c>
      <c r="F54" s="72" t="s">
        <v>6673</v>
      </c>
      <c r="G54" s="72" t="s">
        <v>6674</v>
      </c>
      <c r="H54" s="72" t="s">
        <v>6675</v>
      </c>
      <c r="I54" s="69">
        <v>4</v>
      </c>
      <c r="J54" s="73" t="s">
        <v>6676</v>
      </c>
      <c r="K54" s="72" t="s">
        <v>5663</v>
      </c>
      <c r="L54" s="73"/>
    </row>
    <row r="55" spans="1:12" ht="69.75" customHeight="1">
      <c r="A55" s="69">
        <v>52</v>
      </c>
      <c r="B55" s="70" t="s">
        <v>218</v>
      </c>
      <c r="C55" s="71" t="s">
        <v>221</v>
      </c>
      <c r="D55" s="73" t="s">
        <v>6677</v>
      </c>
      <c r="E55" s="72" t="s">
        <v>6678</v>
      </c>
      <c r="F55" s="72" t="s">
        <v>6679</v>
      </c>
      <c r="G55" s="72" t="s">
        <v>6680</v>
      </c>
      <c r="H55" s="72" t="s">
        <v>6681</v>
      </c>
      <c r="I55" s="69">
        <v>4</v>
      </c>
      <c r="J55" s="73" t="s">
        <v>6682</v>
      </c>
      <c r="K55" s="72" t="s">
        <v>6683</v>
      </c>
      <c r="L55" s="73"/>
    </row>
    <row r="56" spans="1:12" ht="27.75" customHeight="1">
      <c r="A56" s="69">
        <v>53</v>
      </c>
      <c r="B56" s="70" t="s">
        <v>218</v>
      </c>
      <c r="C56" s="71" t="s">
        <v>221</v>
      </c>
      <c r="D56" s="72" t="s">
        <v>6684</v>
      </c>
      <c r="E56" s="72" t="s">
        <v>6685</v>
      </c>
      <c r="F56" s="72" t="s">
        <v>6686</v>
      </c>
      <c r="G56" s="72" t="s">
        <v>6687</v>
      </c>
      <c r="H56" s="72" t="s">
        <v>6688</v>
      </c>
      <c r="I56" s="69">
        <v>2</v>
      </c>
      <c r="J56" s="73" t="s">
        <v>6689</v>
      </c>
      <c r="K56" s="72" t="s">
        <v>6690</v>
      </c>
      <c r="L56" s="72"/>
    </row>
    <row r="57" spans="1:12" ht="27.75" customHeight="1">
      <c r="A57" s="69">
        <v>54</v>
      </c>
      <c r="B57" s="70" t="s">
        <v>218</v>
      </c>
      <c r="C57" s="71" t="s">
        <v>222</v>
      </c>
      <c r="D57" s="72" t="s">
        <v>6691</v>
      </c>
      <c r="E57" s="72" t="s">
        <v>6692</v>
      </c>
      <c r="F57" s="72" t="s">
        <v>6693</v>
      </c>
      <c r="G57" s="72" t="s">
        <v>6694</v>
      </c>
      <c r="H57" s="72" t="s">
        <v>6695</v>
      </c>
      <c r="I57" s="69">
        <v>4</v>
      </c>
      <c r="J57" s="73" t="s">
        <v>6696</v>
      </c>
      <c r="K57" s="72" t="s">
        <v>6697</v>
      </c>
      <c r="L57" s="73"/>
    </row>
    <row r="58" spans="1:12" ht="42" customHeight="1">
      <c r="A58" s="69">
        <v>55</v>
      </c>
      <c r="B58" s="70" t="s">
        <v>218</v>
      </c>
      <c r="C58" s="71" t="s">
        <v>222</v>
      </c>
      <c r="D58" s="72" t="s">
        <v>6698</v>
      </c>
      <c r="E58" s="72" t="s">
        <v>6699</v>
      </c>
      <c r="F58" s="72" t="s">
        <v>6700</v>
      </c>
      <c r="G58" s="72" t="s">
        <v>6701</v>
      </c>
      <c r="H58" s="72" t="s">
        <v>6702</v>
      </c>
      <c r="I58" s="69">
        <v>2</v>
      </c>
      <c r="J58" s="73" t="s">
        <v>6703</v>
      </c>
      <c r="K58" s="72" t="s">
        <v>6704</v>
      </c>
      <c r="L58" s="73"/>
    </row>
    <row r="59" spans="1:12" ht="29.25" customHeight="1">
      <c r="A59" s="69">
        <v>56</v>
      </c>
      <c r="B59" s="70" t="s">
        <v>218</v>
      </c>
      <c r="C59" s="71" t="s">
        <v>222</v>
      </c>
      <c r="D59" s="72" t="s">
        <v>6705</v>
      </c>
      <c r="E59" s="72" t="s">
        <v>6706</v>
      </c>
      <c r="F59" s="72" t="s">
        <v>6707</v>
      </c>
      <c r="G59" s="72" t="s">
        <v>6708</v>
      </c>
      <c r="H59" s="72" t="s">
        <v>6709</v>
      </c>
      <c r="I59" s="69">
        <v>1</v>
      </c>
      <c r="J59" s="73" t="s">
        <v>6710</v>
      </c>
      <c r="K59" s="72" t="s">
        <v>6704</v>
      </c>
      <c r="L59" s="73"/>
    </row>
    <row r="60" spans="1:12" ht="42" customHeight="1">
      <c r="A60" s="69">
        <v>57</v>
      </c>
      <c r="B60" s="70" t="s">
        <v>218</v>
      </c>
      <c r="C60" s="71" t="s">
        <v>222</v>
      </c>
      <c r="D60" s="72" t="s">
        <v>6711</v>
      </c>
      <c r="E60" s="72" t="s">
        <v>6712</v>
      </c>
      <c r="F60" s="72" t="s">
        <v>6713</v>
      </c>
      <c r="G60" s="72" t="s">
        <v>6714</v>
      </c>
      <c r="H60" s="72" t="s">
        <v>6715</v>
      </c>
      <c r="I60" s="69">
        <v>1</v>
      </c>
      <c r="J60" s="73" t="s">
        <v>6716</v>
      </c>
      <c r="K60" s="72" t="s">
        <v>6704</v>
      </c>
      <c r="L60" s="73"/>
    </row>
    <row r="61" spans="1:12" ht="27.75" customHeight="1">
      <c r="A61" s="69">
        <v>58</v>
      </c>
      <c r="B61" s="70" t="s">
        <v>218</v>
      </c>
      <c r="C61" s="71" t="s">
        <v>222</v>
      </c>
      <c r="D61" s="73" t="s">
        <v>6717</v>
      </c>
      <c r="E61" s="72" t="s">
        <v>6718</v>
      </c>
      <c r="F61" s="72" t="s">
        <v>6719</v>
      </c>
      <c r="G61" s="72" t="s">
        <v>6720</v>
      </c>
      <c r="H61" s="72" t="s">
        <v>6721</v>
      </c>
      <c r="I61" s="69">
        <v>4</v>
      </c>
      <c r="J61" s="73" t="s">
        <v>6722</v>
      </c>
      <c r="K61" s="72" t="s">
        <v>6723</v>
      </c>
      <c r="L61" s="73"/>
    </row>
    <row r="62" spans="1:12" ht="27.75" customHeight="1">
      <c r="A62" s="69">
        <v>59</v>
      </c>
      <c r="B62" s="70" t="s">
        <v>218</v>
      </c>
      <c r="C62" s="71" t="s">
        <v>223</v>
      </c>
      <c r="D62" s="72" t="s">
        <v>6724</v>
      </c>
      <c r="E62" s="72" t="s">
        <v>5548</v>
      </c>
      <c r="F62" s="72" t="s">
        <v>6725</v>
      </c>
      <c r="G62" s="72" t="s">
        <v>6726</v>
      </c>
      <c r="H62" s="72" t="s">
        <v>6727</v>
      </c>
      <c r="I62" s="69">
        <v>4</v>
      </c>
      <c r="J62" s="73" t="s">
        <v>6728</v>
      </c>
      <c r="K62" s="72" t="s">
        <v>295</v>
      </c>
      <c r="L62" s="73"/>
    </row>
    <row r="63" spans="1:12" ht="42" customHeight="1">
      <c r="A63" s="69">
        <v>60</v>
      </c>
      <c r="B63" s="70" t="s">
        <v>218</v>
      </c>
      <c r="C63" s="71" t="s">
        <v>223</v>
      </c>
      <c r="D63" s="72" t="s">
        <v>6729</v>
      </c>
      <c r="E63" s="72" t="s">
        <v>6730</v>
      </c>
      <c r="F63" s="72" t="s">
        <v>6731</v>
      </c>
      <c r="G63" s="72" t="s">
        <v>6411</v>
      </c>
      <c r="H63" s="72" t="s">
        <v>6732</v>
      </c>
      <c r="I63" s="69">
        <v>1</v>
      </c>
      <c r="J63" s="73" t="s">
        <v>6733</v>
      </c>
      <c r="K63" s="75" t="s">
        <v>288</v>
      </c>
      <c r="L63" s="73"/>
    </row>
    <row r="64" spans="1:12" ht="69.75" customHeight="1">
      <c r="A64" s="69">
        <v>61</v>
      </c>
      <c r="B64" s="70" t="s">
        <v>218</v>
      </c>
      <c r="C64" s="71" t="s">
        <v>223</v>
      </c>
      <c r="D64" s="72" t="s">
        <v>6734</v>
      </c>
      <c r="E64" s="72" t="s">
        <v>6735</v>
      </c>
      <c r="F64" s="72" t="s">
        <v>6736</v>
      </c>
      <c r="G64" s="72" t="s">
        <v>6737</v>
      </c>
      <c r="H64" s="72" t="s">
        <v>6738</v>
      </c>
      <c r="I64" s="69">
        <v>3</v>
      </c>
      <c r="J64" s="73" t="s">
        <v>6739</v>
      </c>
      <c r="K64" s="75" t="s">
        <v>6740</v>
      </c>
      <c r="L64" s="73"/>
    </row>
    <row r="65" spans="1:12" ht="64.5" customHeight="1">
      <c r="A65" s="69">
        <v>62</v>
      </c>
      <c r="B65" s="70" t="s">
        <v>218</v>
      </c>
      <c r="C65" s="71" t="s">
        <v>223</v>
      </c>
      <c r="D65" s="72" t="s">
        <v>6741</v>
      </c>
      <c r="E65" s="72" t="s">
        <v>6742</v>
      </c>
      <c r="F65" s="72" t="s">
        <v>6743</v>
      </c>
      <c r="G65" s="72" t="s">
        <v>6744</v>
      </c>
      <c r="H65" s="72" t="s">
        <v>6745</v>
      </c>
      <c r="I65" s="69">
        <v>4</v>
      </c>
      <c r="J65" s="73" t="s">
        <v>6746</v>
      </c>
      <c r="K65" s="75" t="s">
        <v>288</v>
      </c>
      <c r="L65" s="73"/>
    </row>
    <row r="66" spans="1:12" ht="43.5" customHeight="1">
      <c r="A66" s="69">
        <v>63</v>
      </c>
      <c r="B66" s="70" t="s">
        <v>218</v>
      </c>
      <c r="C66" s="71" t="s">
        <v>223</v>
      </c>
      <c r="D66" s="73" t="s">
        <v>6747</v>
      </c>
      <c r="E66" s="72" t="s">
        <v>6748</v>
      </c>
      <c r="F66" s="72" t="s">
        <v>6749</v>
      </c>
      <c r="G66" s="72" t="s">
        <v>6750</v>
      </c>
      <c r="H66" s="72" t="s">
        <v>6751</v>
      </c>
      <c r="I66" s="69">
        <v>2</v>
      </c>
      <c r="J66" s="73" t="s">
        <v>6752</v>
      </c>
      <c r="K66" s="75" t="s">
        <v>295</v>
      </c>
      <c r="L66" s="73"/>
    </row>
    <row r="67" spans="1:12" ht="42" customHeight="1">
      <c r="A67" s="69">
        <v>64</v>
      </c>
      <c r="B67" s="70" t="s">
        <v>218</v>
      </c>
      <c r="C67" s="71" t="s">
        <v>223</v>
      </c>
      <c r="D67" s="72" t="s">
        <v>6753</v>
      </c>
      <c r="E67" s="72" t="s">
        <v>6754</v>
      </c>
      <c r="F67" s="72" t="s">
        <v>6755</v>
      </c>
      <c r="G67" s="72" t="s">
        <v>6756</v>
      </c>
      <c r="H67" s="72" t="s">
        <v>6757</v>
      </c>
      <c r="I67" s="69">
        <v>4</v>
      </c>
      <c r="J67" s="73" t="s">
        <v>6758</v>
      </c>
      <c r="K67" s="72" t="s">
        <v>295</v>
      </c>
      <c r="L67" s="72"/>
    </row>
    <row r="68" spans="1:12" ht="42" customHeight="1">
      <c r="A68" s="69">
        <v>65</v>
      </c>
      <c r="B68" s="70" t="s">
        <v>218</v>
      </c>
      <c r="C68" s="71" t="s">
        <v>223</v>
      </c>
      <c r="D68" s="72" t="s">
        <v>6759</v>
      </c>
      <c r="E68" s="72" t="s">
        <v>6760</v>
      </c>
      <c r="F68" s="75" t="s">
        <v>6761</v>
      </c>
      <c r="G68" s="72" t="s">
        <v>6762</v>
      </c>
      <c r="H68" s="72" t="s">
        <v>6763</v>
      </c>
      <c r="I68" s="69">
        <v>4</v>
      </c>
      <c r="J68" s="73" t="s">
        <v>6764</v>
      </c>
      <c r="K68" s="72" t="s">
        <v>295</v>
      </c>
      <c r="L68" s="72"/>
    </row>
    <row r="69" spans="1:12" ht="42" customHeight="1">
      <c r="A69" s="69">
        <v>66</v>
      </c>
      <c r="B69" s="63" t="s">
        <v>218</v>
      </c>
      <c r="C69" s="64" t="s">
        <v>223</v>
      </c>
      <c r="D69" s="56" t="s">
        <v>6765</v>
      </c>
      <c r="E69" s="23" t="s">
        <v>6766</v>
      </c>
      <c r="F69" s="23" t="s">
        <v>6767</v>
      </c>
      <c r="G69" s="23" t="s">
        <v>6768</v>
      </c>
      <c r="H69" s="23" t="s">
        <v>6769</v>
      </c>
      <c r="I69" s="20">
        <v>4</v>
      </c>
      <c r="J69" s="23" t="s">
        <v>6770</v>
      </c>
      <c r="K69" s="23" t="s">
        <v>6771</v>
      </c>
      <c r="L69" s="23"/>
    </row>
    <row r="70" spans="1:12" ht="42" customHeight="1">
      <c r="A70" s="69">
        <v>67</v>
      </c>
      <c r="B70" s="63" t="s">
        <v>218</v>
      </c>
      <c r="C70" s="64" t="s">
        <v>223</v>
      </c>
      <c r="D70" s="56" t="s">
        <v>6772</v>
      </c>
      <c r="E70" s="23" t="s">
        <v>6773</v>
      </c>
      <c r="F70" s="23" t="s">
        <v>6774</v>
      </c>
      <c r="G70" s="23" t="s">
        <v>6775</v>
      </c>
      <c r="H70" s="23" t="s">
        <v>6776</v>
      </c>
      <c r="I70" s="20">
        <v>1</v>
      </c>
      <c r="J70" s="24" t="s">
        <v>6777</v>
      </c>
      <c r="K70" s="23" t="s">
        <v>6778</v>
      </c>
      <c r="L70" s="23"/>
    </row>
    <row r="71" spans="1:12" ht="27.75" customHeight="1">
      <c r="A71" s="69">
        <v>68</v>
      </c>
      <c r="B71" s="63" t="s">
        <v>218</v>
      </c>
      <c r="C71" s="64" t="s">
        <v>223</v>
      </c>
      <c r="D71" s="56" t="s">
        <v>6779</v>
      </c>
      <c r="E71" s="23" t="s">
        <v>6780</v>
      </c>
      <c r="F71" s="23" t="s">
        <v>6781</v>
      </c>
      <c r="G71" s="23" t="s">
        <v>306</v>
      </c>
      <c r="H71" s="23" t="s">
        <v>305</v>
      </c>
      <c r="I71" s="20">
        <v>2</v>
      </c>
      <c r="J71" s="24" t="s">
        <v>6782</v>
      </c>
      <c r="K71" s="23" t="s">
        <v>6783</v>
      </c>
      <c r="L71" s="23"/>
    </row>
    <row r="72" spans="1:12" ht="27.75" customHeight="1">
      <c r="A72" s="69">
        <v>69</v>
      </c>
      <c r="B72" s="70" t="s">
        <v>224</v>
      </c>
      <c r="C72" s="71" t="s">
        <v>225</v>
      </c>
      <c r="D72" s="72" t="s">
        <v>6784</v>
      </c>
      <c r="E72" s="72" t="s">
        <v>6785</v>
      </c>
      <c r="F72" s="72" t="s">
        <v>6786</v>
      </c>
      <c r="G72" s="72" t="s">
        <v>6787</v>
      </c>
      <c r="H72" s="72" t="s">
        <v>6788</v>
      </c>
      <c r="I72" s="69">
        <v>1</v>
      </c>
      <c r="J72" s="73" t="s">
        <v>6789</v>
      </c>
      <c r="K72" s="75" t="s">
        <v>6790</v>
      </c>
      <c r="L72" s="73"/>
    </row>
    <row r="73" spans="1:12" ht="57.75" customHeight="1">
      <c r="A73" s="69">
        <v>70</v>
      </c>
      <c r="B73" s="70" t="s">
        <v>224</v>
      </c>
      <c r="C73" s="71" t="s">
        <v>225</v>
      </c>
      <c r="D73" s="72" t="s">
        <v>6791</v>
      </c>
      <c r="E73" s="72" t="s">
        <v>6792</v>
      </c>
      <c r="F73" s="72" t="s">
        <v>6793</v>
      </c>
      <c r="G73" s="72" t="s">
        <v>6794</v>
      </c>
      <c r="H73" s="72" t="s">
        <v>6795</v>
      </c>
      <c r="I73" s="69">
        <v>4</v>
      </c>
      <c r="J73" s="73" t="s">
        <v>6796</v>
      </c>
      <c r="K73" s="75" t="s">
        <v>6790</v>
      </c>
      <c r="L73" s="73"/>
    </row>
    <row r="74" spans="1:12" ht="42" customHeight="1">
      <c r="A74" s="69">
        <v>71</v>
      </c>
      <c r="B74" s="70" t="s">
        <v>224</v>
      </c>
      <c r="C74" s="71" t="s">
        <v>225</v>
      </c>
      <c r="D74" s="72" t="s">
        <v>6797</v>
      </c>
      <c r="E74" s="72" t="s">
        <v>6798</v>
      </c>
      <c r="F74" s="72" t="s">
        <v>6799</v>
      </c>
      <c r="G74" s="72" t="s">
        <v>6800</v>
      </c>
      <c r="H74" s="72" t="s">
        <v>6801</v>
      </c>
      <c r="I74" s="69">
        <v>3</v>
      </c>
      <c r="J74" s="73" t="s">
        <v>6802</v>
      </c>
      <c r="K74" s="72" t="s">
        <v>5677</v>
      </c>
      <c r="L74" s="73"/>
    </row>
    <row r="75" spans="1:12" ht="42" customHeight="1">
      <c r="A75" s="69">
        <v>72</v>
      </c>
      <c r="B75" s="70" t="s">
        <v>224</v>
      </c>
      <c r="C75" s="71" t="s">
        <v>225</v>
      </c>
      <c r="D75" s="72" t="s">
        <v>6803</v>
      </c>
      <c r="E75" s="72" t="s">
        <v>6804</v>
      </c>
      <c r="F75" s="72" t="s">
        <v>6805</v>
      </c>
      <c r="G75" s="72" t="s">
        <v>6806</v>
      </c>
      <c r="H75" s="72" t="s">
        <v>6807</v>
      </c>
      <c r="I75" s="69">
        <v>2</v>
      </c>
      <c r="J75" s="73" t="s">
        <v>6808</v>
      </c>
      <c r="K75" s="75" t="s">
        <v>6790</v>
      </c>
      <c r="L75" s="73"/>
    </row>
    <row r="76" spans="1:12" ht="27.75" customHeight="1">
      <c r="A76" s="69">
        <v>73</v>
      </c>
      <c r="B76" s="70" t="s">
        <v>224</v>
      </c>
      <c r="C76" s="71" t="s">
        <v>225</v>
      </c>
      <c r="D76" s="73" t="s">
        <v>6809</v>
      </c>
      <c r="E76" s="72" t="s">
        <v>6810</v>
      </c>
      <c r="F76" s="72" t="s">
        <v>6811</v>
      </c>
      <c r="G76" s="72" t="s">
        <v>6812</v>
      </c>
      <c r="H76" s="72" t="s">
        <v>6813</v>
      </c>
      <c r="I76" s="69">
        <v>3</v>
      </c>
      <c r="J76" s="73" t="s">
        <v>6814</v>
      </c>
      <c r="K76" s="72" t="s">
        <v>6815</v>
      </c>
      <c r="L76" s="73"/>
    </row>
    <row r="77" spans="1:12" ht="42" customHeight="1">
      <c r="A77" s="69">
        <v>74</v>
      </c>
      <c r="B77" s="70" t="s">
        <v>224</v>
      </c>
      <c r="C77" s="71" t="s">
        <v>225</v>
      </c>
      <c r="D77" s="72" t="s">
        <v>6816</v>
      </c>
      <c r="E77" s="72" t="s">
        <v>6817</v>
      </c>
      <c r="F77" s="72" t="s">
        <v>6818</v>
      </c>
      <c r="G77" s="72" t="s">
        <v>6819</v>
      </c>
      <c r="H77" s="72" t="s">
        <v>6820</v>
      </c>
      <c r="I77" s="69">
        <v>4</v>
      </c>
      <c r="J77" s="73" t="s">
        <v>6821</v>
      </c>
      <c r="K77" s="75" t="s">
        <v>6790</v>
      </c>
      <c r="L77" s="72"/>
    </row>
    <row r="78" spans="1:12" ht="42" customHeight="1">
      <c r="A78" s="69">
        <v>75</v>
      </c>
      <c r="B78" s="70" t="s">
        <v>224</v>
      </c>
      <c r="C78" s="71" t="s">
        <v>225</v>
      </c>
      <c r="D78" s="72" t="s">
        <v>6822</v>
      </c>
      <c r="E78" s="72" t="s">
        <v>6823</v>
      </c>
      <c r="F78" s="72" t="s">
        <v>6824</v>
      </c>
      <c r="G78" s="72" t="s">
        <v>6825</v>
      </c>
      <c r="H78" s="72" t="s">
        <v>6826</v>
      </c>
      <c r="I78" s="69">
        <v>4</v>
      </c>
      <c r="J78" s="73" t="s">
        <v>6827</v>
      </c>
      <c r="K78" s="75" t="s">
        <v>6790</v>
      </c>
      <c r="L78" s="72"/>
    </row>
    <row r="79" spans="1:12" ht="27.75" customHeight="1">
      <c r="A79" s="69">
        <v>76</v>
      </c>
      <c r="B79" s="70" t="s">
        <v>224</v>
      </c>
      <c r="C79" s="71" t="s">
        <v>226</v>
      </c>
      <c r="D79" s="72" t="s">
        <v>6828</v>
      </c>
      <c r="E79" s="72" t="s">
        <v>6829</v>
      </c>
      <c r="F79" s="72" t="s">
        <v>6830</v>
      </c>
      <c r="G79" s="72" t="s">
        <v>6831</v>
      </c>
      <c r="H79" s="72" t="s">
        <v>6832</v>
      </c>
      <c r="I79" s="69">
        <v>1</v>
      </c>
      <c r="J79" s="73" t="s">
        <v>6833</v>
      </c>
      <c r="K79" s="72"/>
      <c r="L79" s="73"/>
    </row>
    <row r="80" spans="1:12" ht="29.25" customHeight="1">
      <c r="A80" s="69">
        <v>77</v>
      </c>
      <c r="B80" s="70" t="s">
        <v>224</v>
      </c>
      <c r="C80" s="71" t="s">
        <v>226</v>
      </c>
      <c r="D80" s="72" t="s">
        <v>6834</v>
      </c>
      <c r="E80" s="72" t="s">
        <v>6835</v>
      </c>
      <c r="F80" s="72" t="s">
        <v>6836</v>
      </c>
      <c r="G80" s="72" t="s">
        <v>6837</v>
      </c>
      <c r="H80" s="72" t="s">
        <v>6838</v>
      </c>
      <c r="I80" s="69">
        <v>4</v>
      </c>
      <c r="J80" s="73" t="s">
        <v>6839</v>
      </c>
      <c r="K80" s="72" t="s">
        <v>6840</v>
      </c>
      <c r="L80" s="73"/>
    </row>
    <row r="81" spans="1:12" ht="48" customHeight="1">
      <c r="A81" s="69">
        <v>78</v>
      </c>
      <c r="B81" s="70" t="s">
        <v>224</v>
      </c>
      <c r="C81" s="71" t="s">
        <v>226</v>
      </c>
      <c r="D81" s="72" t="s">
        <v>6841</v>
      </c>
      <c r="E81" s="72" t="s">
        <v>6842</v>
      </c>
      <c r="F81" s="72" t="s">
        <v>6843</v>
      </c>
      <c r="G81" s="72" t="s">
        <v>6810</v>
      </c>
      <c r="H81" s="72" t="s">
        <v>6844</v>
      </c>
      <c r="I81" s="69">
        <v>1</v>
      </c>
      <c r="J81" s="73" t="s">
        <v>6845</v>
      </c>
      <c r="K81" s="72" t="s">
        <v>6840</v>
      </c>
      <c r="L81" s="73"/>
    </row>
    <row r="82" spans="1:12" ht="27.75" customHeight="1">
      <c r="A82" s="69">
        <v>79</v>
      </c>
      <c r="B82" s="70" t="s">
        <v>224</v>
      </c>
      <c r="C82" s="71" t="s">
        <v>226</v>
      </c>
      <c r="D82" s="72" t="s">
        <v>6846</v>
      </c>
      <c r="E82" s="72" t="s">
        <v>6847</v>
      </c>
      <c r="F82" s="72" t="s">
        <v>6848</v>
      </c>
      <c r="G82" s="72" t="s">
        <v>6849</v>
      </c>
      <c r="H82" s="72" t="s">
        <v>6850</v>
      </c>
      <c r="I82" s="69">
        <v>3</v>
      </c>
      <c r="J82" s="73" t="s">
        <v>6851</v>
      </c>
      <c r="K82" s="72" t="s">
        <v>6840</v>
      </c>
      <c r="L82" s="73"/>
    </row>
    <row r="83" spans="1:12" ht="27.75" customHeight="1">
      <c r="A83" s="69">
        <v>80</v>
      </c>
      <c r="B83" s="70" t="s">
        <v>224</v>
      </c>
      <c r="C83" s="71" t="s">
        <v>226</v>
      </c>
      <c r="D83" s="73" t="s">
        <v>6852</v>
      </c>
      <c r="E83" s="72" t="s">
        <v>6487</v>
      </c>
      <c r="F83" s="72" t="s">
        <v>6853</v>
      </c>
      <c r="G83" s="72" t="s">
        <v>6854</v>
      </c>
      <c r="H83" s="72" t="s">
        <v>6855</v>
      </c>
      <c r="I83" s="69">
        <v>2</v>
      </c>
      <c r="J83" s="73" t="s">
        <v>6856</v>
      </c>
      <c r="K83" s="72" t="s">
        <v>6840</v>
      </c>
      <c r="L83" s="73"/>
    </row>
    <row r="84" spans="1:12" ht="42" customHeight="1">
      <c r="A84" s="69">
        <v>81</v>
      </c>
      <c r="B84" s="70" t="s">
        <v>224</v>
      </c>
      <c r="C84" s="71" t="s">
        <v>226</v>
      </c>
      <c r="D84" s="72" t="s">
        <v>6857</v>
      </c>
      <c r="E84" s="72" t="s">
        <v>6858</v>
      </c>
      <c r="F84" s="72" t="s">
        <v>6859</v>
      </c>
      <c r="G84" s="72" t="s">
        <v>6860</v>
      </c>
      <c r="H84" s="72" t="s">
        <v>6861</v>
      </c>
      <c r="I84" s="69">
        <v>2</v>
      </c>
      <c r="J84" s="73" t="s">
        <v>6862</v>
      </c>
      <c r="K84" s="72" t="s">
        <v>6840</v>
      </c>
      <c r="L84" s="72"/>
    </row>
    <row r="85" spans="1:12" ht="43.5" customHeight="1">
      <c r="A85" s="69">
        <v>82</v>
      </c>
      <c r="B85" s="70" t="s">
        <v>224</v>
      </c>
      <c r="C85" s="71" t="s">
        <v>226</v>
      </c>
      <c r="D85" s="72" t="s">
        <v>6863</v>
      </c>
      <c r="E85" s="72" t="s">
        <v>6864</v>
      </c>
      <c r="F85" s="72" t="s">
        <v>6860</v>
      </c>
      <c r="G85" s="72" t="s">
        <v>6859</v>
      </c>
      <c r="H85" s="72" t="s">
        <v>6865</v>
      </c>
      <c r="I85" s="69">
        <v>2</v>
      </c>
      <c r="J85" s="73" t="s">
        <v>6866</v>
      </c>
      <c r="K85" s="72" t="s">
        <v>6840</v>
      </c>
      <c r="L85" s="72"/>
    </row>
    <row r="86" spans="1:12" ht="27.75" customHeight="1">
      <c r="A86" s="69">
        <v>83</v>
      </c>
      <c r="B86" s="63" t="s">
        <v>224</v>
      </c>
      <c r="C86" s="64" t="s">
        <v>226</v>
      </c>
      <c r="D86" s="56" t="s">
        <v>6867</v>
      </c>
      <c r="E86" s="23" t="s">
        <v>6868</v>
      </c>
      <c r="F86" s="23" t="s">
        <v>6869</v>
      </c>
      <c r="G86" s="23" t="s">
        <v>6870</v>
      </c>
      <c r="H86" s="23" t="s">
        <v>6871</v>
      </c>
      <c r="I86" s="20">
        <v>4</v>
      </c>
      <c r="J86" s="24" t="s">
        <v>6872</v>
      </c>
      <c r="K86" s="23" t="s">
        <v>6873</v>
      </c>
      <c r="L86" s="23"/>
    </row>
    <row r="87" spans="1:12" ht="42" customHeight="1">
      <c r="A87" s="69">
        <v>84</v>
      </c>
      <c r="B87" s="70" t="s">
        <v>224</v>
      </c>
      <c r="C87" s="71" t="s">
        <v>227</v>
      </c>
      <c r="D87" s="72" t="s">
        <v>6874</v>
      </c>
      <c r="E87" s="72" t="s">
        <v>5636</v>
      </c>
      <c r="F87" s="72" t="s">
        <v>6875</v>
      </c>
      <c r="G87" s="72" t="s">
        <v>6708</v>
      </c>
      <c r="H87" s="75" t="s">
        <v>6876</v>
      </c>
      <c r="I87" s="69">
        <v>1</v>
      </c>
      <c r="J87" s="73" t="s">
        <v>6877</v>
      </c>
      <c r="K87" s="72" t="s">
        <v>3473</v>
      </c>
      <c r="L87" s="73"/>
    </row>
    <row r="88" spans="1:12" ht="27.75" customHeight="1">
      <c r="A88" s="69">
        <v>85</v>
      </c>
      <c r="B88" s="70" t="s">
        <v>224</v>
      </c>
      <c r="C88" s="71" t="s">
        <v>227</v>
      </c>
      <c r="D88" s="72" t="s">
        <v>6878</v>
      </c>
      <c r="E88" s="72" t="s">
        <v>6879</v>
      </c>
      <c r="F88" s="72" t="s">
        <v>6880</v>
      </c>
      <c r="G88" s="72" t="s">
        <v>6881</v>
      </c>
      <c r="H88" s="72" t="s">
        <v>6882</v>
      </c>
      <c r="I88" s="69">
        <v>3</v>
      </c>
      <c r="J88" s="73" t="s">
        <v>6883</v>
      </c>
      <c r="K88" s="75" t="s">
        <v>6884</v>
      </c>
      <c r="L88" s="73"/>
    </row>
    <row r="89" spans="1:12" ht="55.5" customHeight="1">
      <c r="A89" s="69">
        <v>86</v>
      </c>
      <c r="B89" s="70" t="s">
        <v>224</v>
      </c>
      <c r="C89" s="71" t="s">
        <v>227</v>
      </c>
      <c r="D89" s="72" t="s">
        <v>6885</v>
      </c>
      <c r="E89" s="72" t="s">
        <v>6886</v>
      </c>
      <c r="F89" s="72" t="s">
        <v>6887</v>
      </c>
      <c r="G89" s="72" t="s">
        <v>6888</v>
      </c>
      <c r="H89" s="72" t="s">
        <v>6889</v>
      </c>
      <c r="I89" s="69">
        <v>3</v>
      </c>
      <c r="J89" s="73" t="s">
        <v>6890</v>
      </c>
      <c r="K89" s="72" t="s">
        <v>3473</v>
      </c>
      <c r="L89" s="73"/>
    </row>
    <row r="90" spans="1:12" ht="55.5" customHeight="1">
      <c r="A90" s="69">
        <v>87</v>
      </c>
      <c r="B90" s="70" t="s">
        <v>224</v>
      </c>
      <c r="C90" s="71" t="s">
        <v>227</v>
      </c>
      <c r="D90" s="72" t="s">
        <v>6891</v>
      </c>
      <c r="E90" s="72" t="s">
        <v>6892</v>
      </c>
      <c r="F90" s="72" t="s">
        <v>6893</v>
      </c>
      <c r="G90" s="72" t="s">
        <v>6894</v>
      </c>
      <c r="H90" s="72" t="s">
        <v>6895</v>
      </c>
      <c r="I90" s="69">
        <v>1</v>
      </c>
      <c r="J90" s="73" t="s">
        <v>6896</v>
      </c>
      <c r="K90" s="72" t="s">
        <v>3473</v>
      </c>
      <c r="L90" s="73"/>
    </row>
    <row r="91" spans="1:12" ht="42" customHeight="1">
      <c r="A91" s="69">
        <v>88</v>
      </c>
      <c r="B91" s="70" t="s">
        <v>224</v>
      </c>
      <c r="C91" s="71" t="s">
        <v>227</v>
      </c>
      <c r="D91" s="73" t="s">
        <v>6897</v>
      </c>
      <c r="E91" s="72" t="s">
        <v>6898</v>
      </c>
      <c r="F91" s="72" t="s">
        <v>6899</v>
      </c>
      <c r="G91" s="72" t="s">
        <v>6900</v>
      </c>
      <c r="H91" s="72" t="s">
        <v>6901</v>
      </c>
      <c r="I91" s="69">
        <v>4</v>
      </c>
      <c r="J91" s="73" t="s">
        <v>6902</v>
      </c>
      <c r="K91" s="72" t="s">
        <v>3473</v>
      </c>
      <c r="L91" s="73"/>
    </row>
    <row r="92" spans="1:12" ht="27.75" customHeight="1">
      <c r="A92" s="69">
        <v>89</v>
      </c>
      <c r="B92" s="70" t="s">
        <v>224</v>
      </c>
      <c r="C92" s="71" t="s">
        <v>228</v>
      </c>
      <c r="D92" s="72" t="s">
        <v>6903</v>
      </c>
      <c r="E92" s="72" t="s">
        <v>6904</v>
      </c>
      <c r="F92" s="72" t="s">
        <v>6905</v>
      </c>
      <c r="G92" s="72" t="s">
        <v>6906</v>
      </c>
      <c r="H92" s="72" t="s">
        <v>6907</v>
      </c>
      <c r="I92" s="69">
        <v>1</v>
      </c>
      <c r="J92" s="73" t="s">
        <v>6908</v>
      </c>
      <c r="K92" s="72" t="s">
        <v>6909</v>
      </c>
      <c r="L92" s="73"/>
    </row>
    <row r="93" spans="1:12" ht="42" customHeight="1">
      <c r="A93" s="69">
        <v>90</v>
      </c>
      <c r="B93" s="70" t="s">
        <v>224</v>
      </c>
      <c r="C93" s="71" t="s">
        <v>228</v>
      </c>
      <c r="D93" s="72" t="s">
        <v>6910</v>
      </c>
      <c r="E93" s="72" t="s">
        <v>6911</v>
      </c>
      <c r="F93" s="72" t="s">
        <v>6912</v>
      </c>
      <c r="G93" s="72" t="s">
        <v>6913</v>
      </c>
      <c r="H93" s="72" t="s">
        <v>6914</v>
      </c>
      <c r="I93" s="69">
        <v>3</v>
      </c>
      <c r="J93" s="73" t="s">
        <v>6915</v>
      </c>
      <c r="K93" s="72" t="s">
        <v>6909</v>
      </c>
      <c r="L93" s="73"/>
    </row>
    <row r="94" spans="1:12" ht="42" customHeight="1">
      <c r="A94" s="69">
        <v>91</v>
      </c>
      <c r="B94" s="70" t="s">
        <v>224</v>
      </c>
      <c r="C94" s="71" t="s">
        <v>228</v>
      </c>
      <c r="D94" s="72" t="s">
        <v>6916</v>
      </c>
      <c r="E94" s="72" t="s">
        <v>6917</v>
      </c>
      <c r="F94" s="72" t="s">
        <v>6918</v>
      </c>
      <c r="G94" s="72" t="s">
        <v>6919</v>
      </c>
      <c r="H94" s="72" t="s">
        <v>6920</v>
      </c>
      <c r="I94" s="69">
        <v>1</v>
      </c>
      <c r="J94" s="73" t="s">
        <v>6921</v>
      </c>
      <c r="K94" s="72" t="s">
        <v>6909</v>
      </c>
      <c r="L94" s="73"/>
    </row>
    <row r="95" spans="1:12" ht="43.5" customHeight="1">
      <c r="A95" s="69">
        <v>92</v>
      </c>
      <c r="B95" s="70" t="s">
        <v>224</v>
      </c>
      <c r="C95" s="71" t="s">
        <v>228</v>
      </c>
      <c r="D95" s="72" t="s">
        <v>6922</v>
      </c>
      <c r="E95" s="72" t="s">
        <v>6923</v>
      </c>
      <c r="F95" s="72" t="s">
        <v>6924</v>
      </c>
      <c r="G95" s="72" t="s">
        <v>6925</v>
      </c>
      <c r="H95" s="72" t="s">
        <v>6926</v>
      </c>
      <c r="I95" s="69">
        <v>4</v>
      </c>
      <c r="J95" s="73" t="s">
        <v>6927</v>
      </c>
      <c r="K95" s="72" t="s">
        <v>6909</v>
      </c>
      <c r="L95" s="73"/>
    </row>
    <row r="96" spans="1:12" ht="27.75" customHeight="1">
      <c r="A96" s="69">
        <v>93</v>
      </c>
      <c r="B96" s="70" t="s">
        <v>224</v>
      </c>
      <c r="C96" s="71" t="s">
        <v>228</v>
      </c>
      <c r="D96" s="73" t="s">
        <v>6928</v>
      </c>
      <c r="E96" s="72" t="s">
        <v>6929</v>
      </c>
      <c r="F96" s="72" t="s">
        <v>6417</v>
      </c>
      <c r="G96" s="72" t="s">
        <v>6930</v>
      </c>
      <c r="H96" s="72" t="s">
        <v>6415</v>
      </c>
      <c r="I96" s="69">
        <v>3</v>
      </c>
      <c r="J96" s="73" t="s">
        <v>6931</v>
      </c>
      <c r="K96" s="72" t="s">
        <v>6909</v>
      </c>
      <c r="L96" s="73"/>
    </row>
    <row r="97" spans="1:12" ht="27.75" customHeight="1">
      <c r="A97" s="69">
        <v>94</v>
      </c>
      <c r="B97" s="70" t="s">
        <v>224</v>
      </c>
      <c r="C97" s="71" t="s">
        <v>228</v>
      </c>
      <c r="D97" s="72" t="s">
        <v>6932</v>
      </c>
      <c r="E97" s="73" t="s">
        <v>6933</v>
      </c>
      <c r="F97" s="73" t="s">
        <v>6934</v>
      </c>
      <c r="G97" s="73" t="s">
        <v>6935</v>
      </c>
      <c r="H97" s="73" t="s">
        <v>4653</v>
      </c>
      <c r="I97" s="69">
        <v>2</v>
      </c>
      <c r="J97" s="73" t="s">
        <v>6936</v>
      </c>
      <c r="K97" s="72" t="s">
        <v>6937</v>
      </c>
      <c r="L97" s="72"/>
    </row>
    <row r="98" spans="1:12" ht="27.75" customHeight="1">
      <c r="A98" s="69">
        <v>95</v>
      </c>
      <c r="B98" s="70" t="s">
        <v>224</v>
      </c>
      <c r="C98" s="71" t="s">
        <v>228</v>
      </c>
      <c r="D98" s="72" t="s">
        <v>6938</v>
      </c>
      <c r="E98" s="73" t="s">
        <v>6939</v>
      </c>
      <c r="F98" s="73" t="s">
        <v>6940</v>
      </c>
      <c r="G98" s="72" t="s">
        <v>6941</v>
      </c>
      <c r="H98" s="72" t="s">
        <v>6942</v>
      </c>
      <c r="I98" s="69">
        <v>4</v>
      </c>
      <c r="J98" s="73" t="s">
        <v>6943</v>
      </c>
      <c r="K98" s="72" t="s">
        <v>6909</v>
      </c>
      <c r="L98" s="72"/>
    </row>
    <row r="99" spans="1:12" ht="55.5" customHeight="1">
      <c r="A99" s="69">
        <v>96</v>
      </c>
      <c r="B99" s="70" t="s">
        <v>224</v>
      </c>
      <c r="C99" s="71" t="s">
        <v>228</v>
      </c>
      <c r="D99" s="72" t="s">
        <v>6944</v>
      </c>
      <c r="E99" s="72" t="s">
        <v>6945</v>
      </c>
      <c r="F99" s="72" t="s">
        <v>6946</v>
      </c>
      <c r="G99" s="72" t="s">
        <v>6947</v>
      </c>
      <c r="H99" s="72" t="s">
        <v>6948</v>
      </c>
      <c r="I99" s="69">
        <v>3</v>
      </c>
      <c r="J99" s="73" t="s">
        <v>6949</v>
      </c>
      <c r="K99" s="73" t="s">
        <v>6950</v>
      </c>
      <c r="L99" s="72"/>
    </row>
    <row r="100" spans="1:12" ht="55.5" customHeight="1">
      <c r="A100" s="69">
        <v>97</v>
      </c>
      <c r="B100" s="70" t="s">
        <v>224</v>
      </c>
      <c r="C100" s="71" t="s">
        <v>228</v>
      </c>
      <c r="D100" s="72" t="s">
        <v>6951</v>
      </c>
      <c r="E100" s="72" t="s">
        <v>6952</v>
      </c>
      <c r="F100" s="72" t="s">
        <v>6953</v>
      </c>
      <c r="G100" s="72" t="s">
        <v>6954</v>
      </c>
      <c r="H100" s="72" t="s">
        <v>6955</v>
      </c>
      <c r="I100" s="69">
        <v>1</v>
      </c>
      <c r="J100" s="73" t="s">
        <v>6956</v>
      </c>
      <c r="K100" s="73" t="s">
        <v>6950</v>
      </c>
      <c r="L100" s="72"/>
    </row>
    <row r="101" spans="1:12" ht="42" customHeight="1">
      <c r="A101" s="69">
        <v>98</v>
      </c>
      <c r="B101" s="70" t="s">
        <v>224</v>
      </c>
      <c r="C101" s="71" t="s">
        <v>228</v>
      </c>
      <c r="D101" s="72" t="s">
        <v>6957</v>
      </c>
      <c r="E101" s="72" t="s">
        <v>6958</v>
      </c>
      <c r="F101" s="72" t="s">
        <v>6959</v>
      </c>
      <c r="G101" s="72" t="s">
        <v>6960</v>
      </c>
      <c r="H101" s="72" t="s">
        <v>6961</v>
      </c>
      <c r="I101" s="69">
        <v>4</v>
      </c>
      <c r="J101" s="73" t="s">
        <v>6962</v>
      </c>
      <c r="K101" s="72" t="s">
        <v>6909</v>
      </c>
      <c r="L101" s="72"/>
    </row>
    <row r="102" spans="1:12" ht="42" customHeight="1">
      <c r="A102" s="69">
        <v>99</v>
      </c>
      <c r="B102" s="70" t="s">
        <v>224</v>
      </c>
      <c r="C102" s="71" t="s">
        <v>229</v>
      </c>
      <c r="D102" s="72" t="s">
        <v>6963</v>
      </c>
      <c r="E102" s="72" t="s">
        <v>6707</v>
      </c>
      <c r="F102" s="72" t="s">
        <v>6709</v>
      </c>
      <c r="G102" s="72" t="s">
        <v>6964</v>
      </c>
      <c r="H102" s="72" t="s">
        <v>6965</v>
      </c>
      <c r="I102" s="69">
        <v>4</v>
      </c>
      <c r="J102" s="73" t="s">
        <v>6966</v>
      </c>
      <c r="K102" s="72"/>
      <c r="L102" s="73"/>
    </row>
    <row r="103" spans="1:12" ht="42" customHeight="1">
      <c r="A103" s="69">
        <v>100</v>
      </c>
      <c r="B103" s="70" t="s">
        <v>224</v>
      </c>
      <c r="C103" s="71" t="s">
        <v>229</v>
      </c>
      <c r="D103" s="72" t="s">
        <v>6967</v>
      </c>
      <c r="E103" s="72" t="s">
        <v>6968</v>
      </c>
      <c r="F103" s="72" t="s">
        <v>6969</v>
      </c>
      <c r="G103" s="72" t="s">
        <v>6970</v>
      </c>
      <c r="H103" s="72" t="s">
        <v>6971</v>
      </c>
      <c r="I103" s="69">
        <v>3</v>
      </c>
      <c r="J103" s="73" t="s">
        <v>6972</v>
      </c>
      <c r="K103" s="72" t="s">
        <v>6973</v>
      </c>
      <c r="L103" s="73"/>
    </row>
    <row r="104" spans="1:12" ht="57.75" customHeight="1">
      <c r="A104" s="69">
        <v>101</v>
      </c>
      <c r="B104" s="70" t="s">
        <v>224</v>
      </c>
      <c r="C104" s="71" t="s">
        <v>229</v>
      </c>
      <c r="D104" s="72" t="s">
        <v>6974</v>
      </c>
      <c r="E104" s="72" t="s">
        <v>6975</v>
      </c>
      <c r="F104" s="72" t="s">
        <v>6976</v>
      </c>
      <c r="G104" s="72" t="s">
        <v>6977</v>
      </c>
      <c r="H104" s="72" t="s">
        <v>6978</v>
      </c>
      <c r="I104" s="69">
        <v>1</v>
      </c>
      <c r="J104" s="73" t="s">
        <v>6979</v>
      </c>
      <c r="K104" s="72" t="s">
        <v>6973</v>
      </c>
      <c r="L104" s="73"/>
    </row>
    <row r="105" spans="1:12" ht="27.75" customHeight="1">
      <c r="A105" s="69">
        <v>102</v>
      </c>
      <c r="B105" s="70" t="s">
        <v>224</v>
      </c>
      <c r="C105" s="71" t="s">
        <v>229</v>
      </c>
      <c r="D105" s="72" t="s">
        <v>6980</v>
      </c>
      <c r="E105" s="72" t="s">
        <v>6981</v>
      </c>
      <c r="F105" s="72" t="s">
        <v>6982</v>
      </c>
      <c r="G105" s="72" t="s">
        <v>6983</v>
      </c>
      <c r="H105" s="72" t="s">
        <v>6984</v>
      </c>
      <c r="I105" s="69">
        <v>1</v>
      </c>
      <c r="J105" s="73" t="s">
        <v>6985</v>
      </c>
      <c r="K105" s="72" t="s">
        <v>6973</v>
      </c>
      <c r="L105" s="73"/>
    </row>
    <row r="106" spans="1:12" ht="27.75" customHeight="1">
      <c r="A106" s="69">
        <v>103</v>
      </c>
      <c r="B106" s="70" t="s">
        <v>224</v>
      </c>
      <c r="C106" s="71" t="s">
        <v>229</v>
      </c>
      <c r="D106" s="73" t="s">
        <v>6986</v>
      </c>
      <c r="E106" s="72" t="s">
        <v>6987</v>
      </c>
      <c r="F106" s="72" t="s">
        <v>6988</v>
      </c>
      <c r="G106" s="72" t="s">
        <v>6989</v>
      </c>
      <c r="H106" s="72" t="s">
        <v>6990</v>
      </c>
      <c r="I106" s="69">
        <v>1</v>
      </c>
      <c r="J106" s="73" t="s">
        <v>6991</v>
      </c>
      <c r="K106" s="72" t="s">
        <v>6973</v>
      </c>
      <c r="L106" s="73"/>
    </row>
    <row r="107" spans="1:12" ht="27.75" customHeight="1">
      <c r="A107" s="69">
        <v>104</v>
      </c>
      <c r="B107" s="70" t="s">
        <v>224</v>
      </c>
      <c r="C107" s="71" t="s">
        <v>229</v>
      </c>
      <c r="D107" s="72" t="s">
        <v>6992</v>
      </c>
      <c r="E107" s="72" t="s">
        <v>6993</v>
      </c>
      <c r="F107" s="72" t="s">
        <v>6994</v>
      </c>
      <c r="G107" s="72" t="s">
        <v>6995</v>
      </c>
      <c r="H107" s="72" t="s">
        <v>6996</v>
      </c>
      <c r="I107" s="69">
        <v>2</v>
      </c>
      <c r="J107" s="73" t="s">
        <v>6997</v>
      </c>
      <c r="K107" s="72"/>
      <c r="L107" s="72"/>
    </row>
    <row r="108" spans="1:12" ht="55.5" customHeight="1">
      <c r="A108" s="69">
        <v>105</v>
      </c>
      <c r="B108" s="70" t="s">
        <v>224</v>
      </c>
      <c r="C108" s="71" t="s">
        <v>229</v>
      </c>
      <c r="D108" s="72" t="s">
        <v>6998</v>
      </c>
      <c r="E108" s="72" t="s">
        <v>6999</v>
      </c>
      <c r="F108" s="72" t="s">
        <v>7000</v>
      </c>
      <c r="G108" s="72" t="s">
        <v>7001</v>
      </c>
      <c r="H108" s="72" t="s">
        <v>7002</v>
      </c>
      <c r="I108" s="69">
        <v>3</v>
      </c>
      <c r="J108" s="73" t="s">
        <v>7003</v>
      </c>
      <c r="K108" s="72" t="s">
        <v>6973</v>
      </c>
      <c r="L108" s="72"/>
    </row>
    <row r="109" spans="1:12" ht="69.75" customHeight="1">
      <c r="A109" s="69">
        <v>106</v>
      </c>
      <c r="B109" s="70" t="s">
        <v>224</v>
      </c>
      <c r="C109" s="71" t="s">
        <v>229</v>
      </c>
      <c r="D109" s="72" t="s">
        <v>7004</v>
      </c>
      <c r="E109" s="72" t="s">
        <v>7000</v>
      </c>
      <c r="F109" s="72" t="s">
        <v>7005</v>
      </c>
      <c r="G109" s="72" t="s">
        <v>7006</v>
      </c>
      <c r="H109" s="72" t="s">
        <v>7001</v>
      </c>
      <c r="I109" s="69">
        <v>1</v>
      </c>
      <c r="J109" s="73" t="s">
        <v>7007</v>
      </c>
      <c r="K109" s="72" t="s">
        <v>6973</v>
      </c>
      <c r="L109" s="72"/>
    </row>
    <row r="110" spans="1:12" ht="29.25" customHeight="1">
      <c r="A110" s="69">
        <v>107</v>
      </c>
      <c r="B110" s="70" t="s">
        <v>224</v>
      </c>
      <c r="C110" s="71" t="s">
        <v>229</v>
      </c>
      <c r="D110" s="72" t="s">
        <v>7008</v>
      </c>
      <c r="E110" s="72" t="s">
        <v>7009</v>
      </c>
      <c r="F110" s="72" t="s">
        <v>7010</v>
      </c>
      <c r="G110" s="72" t="s">
        <v>7011</v>
      </c>
      <c r="H110" s="72" t="s">
        <v>7012</v>
      </c>
      <c r="I110" s="69">
        <v>1</v>
      </c>
      <c r="J110" s="73" t="s">
        <v>7013</v>
      </c>
      <c r="K110" s="72" t="s">
        <v>6973</v>
      </c>
      <c r="L110" s="72"/>
    </row>
    <row r="111" spans="1:12" ht="27.75" customHeight="1">
      <c r="A111" s="69">
        <v>108</v>
      </c>
      <c r="B111" s="70" t="s">
        <v>230</v>
      </c>
      <c r="C111" s="71" t="s">
        <v>231</v>
      </c>
      <c r="D111" s="76" t="s">
        <v>7014</v>
      </c>
      <c r="E111" s="72" t="s">
        <v>7015</v>
      </c>
      <c r="F111" s="72" t="s">
        <v>7016</v>
      </c>
      <c r="G111" s="72" t="s">
        <v>7017</v>
      </c>
      <c r="H111" s="72" t="s">
        <v>7018</v>
      </c>
      <c r="I111" s="69">
        <v>2</v>
      </c>
      <c r="J111" s="73" t="s">
        <v>7019</v>
      </c>
      <c r="K111" s="72" t="s">
        <v>6815</v>
      </c>
      <c r="L111" s="73"/>
    </row>
    <row r="112" spans="1:12" ht="42" customHeight="1">
      <c r="A112" s="69">
        <v>109</v>
      </c>
      <c r="B112" s="70" t="s">
        <v>230</v>
      </c>
      <c r="C112" s="71" t="s">
        <v>231</v>
      </c>
      <c r="D112" s="72" t="s">
        <v>7020</v>
      </c>
      <c r="E112" s="72" t="s">
        <v>7021</v>
      </c>
      <c r="F112" s="72" t="s">
        <v>7022</v>
      </c>
      <c r="G112" s="72" t="s">
        <v>7023</v>
      </c>
      <c r="H112" s="72" t="s">
        <v>7024</v>
      </c>
      <c r="I112" s="69">
        <v>2</v>
      </c>
      <c r="J112" s="73" t="s">
        <v>7025</v>
      </c>
      <c r="K112" s="72" t="s">
        <v>7026</v>
      </c>
      <c r="L112" s="73"/>
    </row>
    <row r="113" spans="1:12" ht="27.75" customHeight="1">
      <c r="A113" s="69">
        <v>110</v>
      </c>
      <c r="B113" s="70" t="s">
        <v>230</v>
      </c>
      <c r="C113" s="71" t="s">
        <v>231</v>
      </c>
      <c r="D113" s="72" t="s">
        <v>7027</v>
      </c>
      <c r="E113" s="72" t="s">
        <v>7028</v>
      </c>
      <c r="F113" s="72" t="s">
        <v>7029</v>
      </c>
      <c r="G113" s="72" t="s">
        <v>7030</v>
      </c>
      <c r="H113" s="72" t="s">
        <v>7031</v>
      </c>
      <c r="I113" s="69">
        <v>3</v>
      </c>
      <c r="J113" s="73" t="s">
        <v>7032</v>
      </c>
      <c r="K113" s="72" t="s">
        <v>6815</v>
      </c>
      <c r="L113" s="73"/>
    </row>
    <row r="114" spans="1:12" ht="27.75" customHeight="1">
      <c r="A114" s="69">
        <v>111</v>
      </c>
      <c r="B114" s="70" t="s">
        <v>230</v>
      </c>
      <c r="C114" s="71" t="s">
        <v>231</v>
      </c>
      <c r="D114" s="72" t="s">
        <v>7033</v>
      </c>
      <c r="E114" s="72" t="s">
        <v>7034</v>
      </c>
      <c r="F114" s="72" t="s">
        <v>7035</v>
      </c>
      <c r="G114" s="72" t="s">
        <v>7036</v>
      </c>
      <c r="H114" s="72" t="s">
        <v>7037</v>
      </c>
      <c r="I114" s="69">
        <v>2</v>
      </c>
      <c r="J114" s="77" t="s">
        <v>7038</v>
      </c>
      <c r="K114" s="72" t="s">
        <v>6815</v>
      </c>
      <c r="L114" s="73"/>
    </row>
    <row r="115" spans="1:12" ht="43.5" customHeight="1">
      <c r="A115" s="69">
        <v>112</v>
      </c>
      <c r="B115" s="70" t="s">
        <v>230</v>
      </c>
      <c r="C115" s="71" t="s">
        <v>231</v>
      </c>
      <c r="D115" s="73" t="s">
        <v>7039</v>
      </c>
      <c r="E115" s="72" t="s">
        <v>6458</v>
      </c>
      <c r="F115" s="72" t="s">
        <v>7040</v>
      </c>
      <c r="G115" s="72" t="s">
        <v>7041</v>
      </c>
      <c r="H115" s="72" t="s">
        <v>7042</v>
      </c>
      <c r="I115" s="69">
        <v>2</v>
      </c>
      <c r="J115" s="73" t="s">
        <v>7043</v>
      </c>
      <c r="K115" s="72" t="s">
        <v>6815</v>
      </c>
      <c r="L115" s="73"/>
    </row>
    <row r="116" spans="1:12" ht="27.75" customHeight="1">
      <c r="A116" s="69">
        <v>113</v>
      </c>
      <c r="B116" s="70" t="s">
        <v>230</v>
      </c>
      <c r="C116" s="71" t="s">
        <v>231</v>
      </c>
      <c r="D116" s="73" t="s">
        <v>7044</v>
      </c>
      <c r="E116" s="72" t="s">
        <v>7045</v>
      </c>
      <c r="F116" s="72" t="s">
        <v>7046</v>
      </c>
      <c r="G116" s="72" t="s">
        <v>7047</v>
      </c>
      <c r="H116" s="72" t="s">
        <v>7048</v>
      </c>
      <c r="I116" s="69">
        <v>2</v>
      </c>
      <c r="J116" s="73" t="s">
        <v>7049</v>
      </c>
      <c r="K116" s="72" t="s">
        <v>7050</v>
      </c>
      <c r="L116" s="72"/>
    </row>
    <row r="117" spans="1:12" ht="31.5" customHeight="1">
      <c r="A117" s="69">
        <v>114</v>
      </c>
      <c r="B117" s="63" t="s">
        <v>230</v>
      </c>
      <c r="C117" s="64" t="s">
        <v>231</v>
      </c>
      <c r="D117" s="56" t="s">
        <v>7051</v>
      </c>
      <c r="E117" s="23" t="s">
        <v>7052</v>
      </c>
      <c r="F117" s="23" t="s">
        <v>7053</v>
      </c>
      <c r="G117" s="23" t="s">
        <v>7054</v>
      </c>
      <c r="H117" s="23" t="s">
        <v>7055</v>
      </c>
      <c r="I117" s="20">
        <v>2</v>
      </c>
      <c r="J117" s="24" t="s">
        <v>7056</v>
      </c>
      <c r="K117" s="23"/>
      <c r="L117" s="23"/>
    </row>
    <row r="118" spans="1:12" ht="31.5" customHeight="1">
      <c r="A118" s="69">
        <v>115</v>
      </c>
      <c r="B118" s="63" t="s">
        <v>230</v>
      </c>
      <c r="C118" s="64" t="s">
        <v>231</v>
      </c>
      <c r="D118" s="56" t="s">
        <v>7057</v>
      </c>
      <c r="E118" s="23" t="s">
        <v>7058</v>
      </c>
      <c r="F118" s="23" t="s">
        <v>7059</v>
      </c>
      <c r="G118" s="23" t="s">
        <v>7060</v>
      </c>
      <c r="H118" s="23" t="s">
        <v>7061</v>
      </c>
      <c r="I118" s="20">
        <v>2</v>
      </c>
      <c r="J118" s="24" t="s">
        <v>7062</v>
      </c>
      <c r="K118" s="23" t="s">
        <v>7063</v>
      </c>
      <c r="L118" s="23"/>
    </row>
    <row r="119" spans="1:12" ht="42" customHeight="1">
      <c r="A119" s="69">
        <v>116</v>
      </c>
      <c r="B119" s="70" t="s">
        <v>230</v>
      </c>
      <c r="C119" s="71" t="s">
        <v>232</v>
      </c>
      <c r="D119" s="72" t="s">
        <v>7064</v>
      </c>
      <c r="E119" s="72" t="s">
        <v>7065</v>
      </c>
      <c r="F119" s="72" t="s">
        <v>7066</v>
      </c>
      <c r="G119" s="72" t="s">
        <v>5675</v>
      </c>
      <c r="H119" s="72" t="s">
        <v>7067</v>
      </c>
      <c r="I119" s="69">
        <v>2</v>
      </c>
      <c r="J119" s="73" t="s">
        <v>7068</v>
      </c>
      <c r="K119" s="72" t="s">
        <v>5677</v>
      </c>
      <c r="L119" s="73"/>
    </row>
    <row r="120" spans="1:12" ht="29.25" customHeight="1">
      <c r="A120" s="69">
        <v>117</v>
      </c>
      <c r="B120" s="70" t="s">
        <v>230</v>
      </c>
      <c r="C120" s="71" t="s">
        <v>232</v>
      </c>
      <c r="D120" s="72" t="s">
        <v>7069</v>
      </c>
      <c r="E120" s="72" t="s">
        <v>7070</v>
      </c>
      <c r="F120" s="72" t="s">
        <v>7071</v>
      </c>
      <c r="G120" s="72" t="s">
        <v>7072</v>
      </c>
      <c r="H120" s="72" t="s">
        <v>5055</v>
      </c>
      <c r="I120" s="69">
        <v>4</v>
      </c>
      <c r="J120" s="73" t="s">
        <v>7073</v>
      </c>
      <c r="K120" s="72" t="s">
        <v>7074</v>
      </c>
      <c r="L120" s="73"/>
    </row>
    <row r="121" spans="1:12" ht="27.75" customHeight="1">
      <c r="A121" s="69">
        <v>118</v>
      </c>
      <c r="B121" s="70" t="s">
        <v>230</v>
      </c>
      <c r="C121" s="71" t="s">
        <v>232</v>
      </c>
      <c r="D121" s="72" t="s">
        <v>7075</v>
      </c>
      <c r="E121" s="72" t="s">
        <v>7076</v>
      </c>
      <c r="F121" s="72" t="s">
        <v>7077</v>
      </c>
      <c r="G121" s="72" t="s">
        <v>7078</v>
      </c>
      <c r="H121" s="72" t="s">
        <v>7079</v>
      </c>
      <c r="I121" s="69">
        <v>2</v>
      </c>
      <c r="J121" s="73" t="s">
        <v>7080</v>
      </c>
      <c r="K121" s="75" t="s">
        <v>3507</v>
      </c>
      <c r="L121" s="73"/>
    </row>
    <row r="122" spans="1:12" ht="27.75" customHeight="1">
      <c r="A122" s="69">
        <v>119</v>
      </c>
      <c r="B122" s="70" t="s">
        <v>230</v>
      </c>
      <c r="C122" s="71" t="s">
        <v>232</v>
      </c>
      <c r="D122" s="72" t="s">
        <v>7081</v>
      </c>
      <c r="E122" s="72" t="s">
        <v>7082</v>
      </c>
      <c r="F122" s="72" t="s">
        <v>7083</v>
      </c>
      <c r="G122" s="72" t="s">
        <v>7084</v>
      </c>
      <c r="H122" s="72" t="s">
        <v>7085</v>
      </c>
      <c r="I122" s="69">
        <v>2</v>
      </c>
      <c r="J122" s="73" t="s">
        <v>7086</v>
      </c>
      <c r="K122" s="72" t="s">
        <v>5677</v>
      </c>
      <c r="L122" s="73"/>
    </row>
    <row r="123" spans="1:12" ht="27.75" customHeight="1">
      <c r="A123" s="69">
        <v>120</v>
      </c>
      <c r="B123" s="70" t="s">
        <v>230</v>
      </c>
      <c r="C123" s="71" t="s">
        <v>232</v>
      </c>
      <c r="D123" s="73" t="s">
        <v>7087</v>
      </c>
      <c r="E123" s="72" t="s">
        <v>7088</v>
      </c>
      <c r="F123" s="72" t="s">
        <v>7089</v>
      </c>
      <c r="G123" s="72" t="s">
        <v>7090</v>
      </c>
      <c r="H123" s="72" t="s">
        <v>7091</v>
      </c>
      <c r="I123" s="69">
        <v>1</v>
      </c>
      <c r="J123" s="78" t="s">
        <v>7092</v>
      </c>
      <c r="K123" s="72" t="s">
        <v>7093</v>
      </c>
      <c r="L123" s="73"/>
    </row>
    <row r="124" spans="1:12" ht="42" customHeight="1">
      <c r="A124" s="69">
        <v>121</v>
      </c>
      <c r="B124" s="63" t="s">
        <v>230</v>
      </c>
      <c r="C124" s="64" t="s">
        <v>232</v>
      </c>
      <c r="D124" s="56" t="s">
        <v>7094</v>
      </c>
      <c r="E124" s="23" t="s">
        <v>7095</v>
      </c>
      <c r="F124" s="23" t="s">
        <v>7096</v>
      </c>
      <c r="G124" s="23" t="s">
        <v>7097</v>
      </c>
      <c r="H124" s="23" t="s">
        <v>7098</v>
      </c>
      <c r="I124" s="20">
        <v>1</v>
      </c>
      <c r="J124" s="24" t="s">
        <v>7099</v>
      </c>
      <c r="K124" s="23" t="s">
        <v>7100</v>
      </c>
      <c r="L124" s="23"/>
    </row>
    <row r="125" spans="1:12" ht="42" customHeight="1">
      <c r="A125" s="69">
        <v>122</v>
      </c>
      <c r="B125" s="63" t="s">
        <v>230</v>
      </c>
      <c r="C125" s="64" t="s">
        <v>232</v>
      </c>
      <c r="D125" s="56" t="s">
        <v>7101</v>
      </c>
      <c r="E125" s="23" t="s">
        <v>7102</v>
      </c>
      <c r="F125" s="23" t="s">
        <v>7103</v>
      </c>
      <c r="G125" s="23" t="s">
        <v>7104</v>
      </c>
      <c r="H125" s="23" t="s">
        <v>7105</v>
      </c>
      <c r="I125" s="20">
        <v>1</v>
      </c>
      <c r="J125" s="24" t="s">
        <v>7106</v>
      </c>
      <c r="K125" s="23" t="s">
        <v>7107</v>
      </c>
      <c r="L125" s="23"/>
    </row>
    <row r="126" spans="1:12" ht="43.5" customHeight="1">
      <c r="A126" s="69">
        <v>123</v>
      </c>
      <c r="B126" s="70" t="s">
        <v>230</v>
      </c>
      <c r="C126" s="71" t="s">
        <v>233</v>
      </c>
      <c r="D126" s="72" t="s">
        <v>7108</v>
      </c>
      <c r="E126" s="72" t="s">
        <v>7109</v>
      </c>
      <c r="F126" s="72" t="s">
        <v>7110</v>
      </c>
      <c r="G126" s="72" t="s">
        <v>7111</v>
      </c>
      <c r="H126" s="72" t="s">
        <v>7112</v>
      </c>
      <c r="I126" s="69">
        <v>2</v>
      </c>
      <c r="J126" s="73" t="s">
        <v>7113</v>
      </c>
      <c r="K126" s="75" t="s">
        <v>6790</v>
      </c>
      <c r="L126" s="73"/>
    </row>
    <row r="127" spans="1:12" ht="27.75" customHeight="1">
      <c r="A127" s="69">
        <v>124</v>
      </c>
      <c r="B127" s="70" t="s">
        <v>230</v>
      </c>
      <c r="C127" s="71" t="s">
        <v>233</v>
      </c>
      <c r="D127" s="72" t="s">
        <v>7114</v>
      </c>
      <c r="E127" s="72" t="s">
        <v>7115</v>
      </c>
      <c r="F127" s="72" t="s">
        <v>7116</v>
      </c>
      <c r="G127" s="72" t="s">
        <v>7117</v>
      </c>
      <c r="H127" s="72" t="s">
        <v>7118</v>
      </c>
      <c r="I127" s="69">
        <v>4</v>
      </c>
      <c r="J127" s="73" t="s">
        <v>7119</v>
      </c>
      <c r="K127" s="75" t="s">
        <v>6790</v>
      </c>
      <c r="L127" s="73"/>
    </row>
    <row r="128" spans="1:12" ht="27.75" customHeight="1">
      <c r="A128" s="69">
        <v>125</v>
      </c>
      <c r="B128" s="70" t="s">
        <v>230</v>
      </c>
      <c r="C128" s="71" t="s">
        <v>233</v>
      </c>
      <c r="D128" s="72" t="s">
        <v>7120</v>
      </c>
      <c r="E128" s="72" t="s">
        <v>7121</v>
      </c>
      <c r="F128" s="72" t="s">
        <v>7122</v>
      </c>
      <c r="G128" s="72" t="s">
        <v>7123</v>
      </c>
      <c r="H128" s="72" t="s">
        <v>7124</v>
      </c>
      <c r="I128" s="69">
        <v>1</v>
      </c>
      <c r="J128" s="73" t="s">
        <v>7125</v>
      </c>
      <c r="K128" s="75" t="s">
        <v>6790</v>
      </c>
      <c r="L128" s="73"/>
    </row>
    <row r="129" spans="1:12" ht="42" customHeight="1">
      <c r="A129" s="69">
        <v>126</v>
      </c>
      <c r="B129" s="70" t="s">
        <v>230</v>
      </c>
      <c r="C129" s="71" t="s">
        <v>233</v>
      </c>
      <c r="D129" s="72" t="s">
        <v>7126</v>
      </c>
      <c r="E129" s="72" t="s">
        <v>7127</v>
      </c>
      <c r="F129" s="72" t="s">
        <v>7128</v>
      </c>
      <c r="G129" s="72" t="s">
        <v>7129</v>
      </c>
      <c r="H129" s="72" t="s">
        <v>7130</v>
      </c>
      <c r="I129" s="69">
        <v>3</v>
      </c>
      <c r="J129" s="73" t="s">
        <v>7131</v>
      </c>
      <c r="K129" s="75" t="s">
        <v>6790</v>
      </c>
      <c r="L129" s="73"/>
    </row>
    <row r="130" spans="1:12" ht="48" customHeight="1">
      <c r="A130" s="69">
        <v>127</v>
      </c>
      <c r="B130" s="70" t="s">
        <v>230</v>
      </c>
      <c r="C130" s="71" t="s">
        <v>233</v>
      </c>
      <c r="D130" s="73" t="s">
        <v>7132</v>
      </c>
      <c r="E130" s="72" t="s">
        <v>7133</v>
      </c>
      <c r="F130" s="72" t="s">
        <v>7134</v>
      </c>
      <c r="G130" s="72" t="s">
        <v>6929</v>
      </c>
      <c r="H130" s="72" t="s">
        <v>6415</v>
      </c>
      <c r="I130" s="69">
        <v>1</v>
      </c>
      <c r="J130" s="73" t="s">
        <v>7135</v>
      </c>
      <c r="K130" s="75" t="s">
        <v>6790</v>
      </c>
      <c r="L130" s="73"/>
    </row>
    <row r="131" spans="1:12" ht="63.75" customHeight="1">
      <c r="A131" s="69">
        <v>128</v>
      </c>
      <c r="B131" s="70" t="s">
        <v>230</v>
      </c>
      <c r="C131" s="71" t="s">
        <v>234</v>
      </c>
      <c r="D131" s="72" t="s">
        <v>7136</v>
      </c>
      <c r="E131" s="72" t="s">
        <v>3684</v>
      </c>
      <c r="F131" s="72" t="s">
        <v>7137</v>
      </c>
      <c r="G131" s="72" t="s">
        <v>7138</v>
      </c>
      <c r="H131" s="72" t="s">
        <v>5635</v>
      </c>
      <c r="I131" s="69">
        <v>3</v>
      </c>
      <c r="J131" s="73" t="s">
        <v>7139</v>
      </c>
      <c r="K131" s="72" t="s">
        <v>7140</v>
      </c>
      <c r="L131" s="73"/>
    </row>
    <row r="132" spans="1:12" ht="42" customHeight="1">
      <c r="A132" s="69">
        <v>129</v>
      </c>
      <c r="B132" s="70" t="s">
        <v>230</v>
      </c>
      <c r="C132" s="71" t="s">
        <v>234</v>
      </c>
      <c r="D132" s="72" t="s">
        <v>7141</v>
      </c>
      <c r="E132" s="72" t="s">
        <v>7142</v>
      </c>
      <c r="F132" s="72" t="s">
        <v>7143</v>
      </c>
      <c r="G132" s="72" t="s">
        <v>7144</v>
      </c>
      <c r="H132" s="72" t="s">
        <v>7145</v>
      </c>
      <c r="I132" s="69">
        <v>2</v>
      </c>
      <c r="J132" s="73" t="s">
        <v>7146</v>
      </c>
      <c r="K132" s="72" t="s">
        <v>7140</v>
      </c>
      <c r="L132" s="73"/>
    </row>
    <row r="133" spans="1:12" ht="55.5" customHeight="1">
      <c r="A133" s="69">
        <v>130</v>
      </c>
      <c r="B133" s="70" t="s">
        <v>230</v>
      </c>
      <c r="C133" s="71" t="s">
        <v>234</v>
      </c>
      <c r="D133" s="72" t="s">
        <v>7147</v>
      </c>
      <c r="E133" s="72" t="s">
        <v>7148</v>
      </c>
      <c r="F133" s="72" t="s">
        <v>7149</v>
      </c>
      <c r="G133" s="72" t="s">
        <v>7150</v>
      </c>
      <c r="H133" s="72" t="s">
        <v>7151</v>
      </c>
      <c r="I133" s="69">
        <v>4</v>
      </c>
      <c r="J133" s="73" t="s">
        <v>7152</v>
      </c>
      <c r="K133" s="72" t="s">
        <v>7140</v>
      </c>
      <c r="L133" s="73"/>
    </row>
    <row r="134" spans="1:12" ht="43.5" customHeight="1">
      <c r="A134" s="69">
        <v>131</v>
      </c>
      <c r="B134" s="70" t="s">
        <v>230</v>
      </c>
      <c r="C134" s="71" t="s">
        <v>234</v>
      </c>
      <c r="D134" s="72" t="s">
        <v>7153</v>
      </c>
      <c r="E134" s="72" t="s">
        <v>7154</v>
      </c>
      <c r="F134" s="72" t="s">
        <v>7155</v>
      </c>
      <c r="G134" s="72" t="s">
        <v>7156</v>
      </c>
      <c r="H134" s="72" t="s">
        <v>7157</v>
      </c>
      <c r="I134" s="69">
        <v>2</v>
      </c>
      <c r="J134" s="73" t="s">
        <v>7158</v>
      </c>
      <c r="K134" s="72" t="s">
        <v>7140</v>
      </c>
      <c r="L134" s="73"/>
    </row>
    <row r="135" spans="1:12" ht="27.75" customHeight="1">
      <c r="A135" s="69">
        <v>132</v>
      </c>
      <c r="B135" s="70" t="s">
        <v>230</v>
      </c>
      <c r="C135" s="71" t="s">
        <v>234</v>
      </c>
      <c r="D135" s="73" t="s">
        <v>7159</v>
      </c>
      <c r="E135" s="72" t="s">
        <v>7160</v>
      </c>
      <c r="F135" s="72" t="s">
        <v>7161</v>
      </c>
      <c r="G135" s="72" t="s">
        <v>7162</v>
      </c>
      <c r="H135" s="72" t="s">
        <v>7163</v>
      </c>
      <c r="I135" s="69">
        <v>3</v>
      </c>
      <c r="J135" s="73" t="s">
        <v>7164</v>
      </c>
      <c r="K135" s="72" t="s">
        <v>7165</v>
      </c>
      <c r="L135" s="73"/>
    </row>
    <row r="136" spans="1:12" ht="27.75" customHeight="1">
      <c r="A136" s="69">
        <v>133</v>
      </c>
      <c r="B136" s="70" t="s">
        <v>230</v>
      </c>
      <c r="C136" s="71" t="s">
        <v>234</v>
      </c>
      <c r="D136" s="72" t="s">
        <v>7166</v>
      </c>
      <c r="E136" s="73" t="s">
        <v>3463</v>
      </c>
      <c r="F136" s="73" t="s">
        <v>568</v>
      </c>
      <c r="G136" s="73" t="s">
        <v>566</v>
      </c>
      <c r="H136" s="73" t="s">
        <v>3464</v>
      </c>
      <c r="I136" s="69">
        <v>1</v>
      </c>
      <c r="J136" s="73" t="s">
        <v>7167</v>
      </c>
      <c r="K136" s="72" t="s">
        <v>7168</v>
      </c>
      <c r="L136" s="72"/>
    </row>
    <row r="137" spans="1:12" ht="27.75" customHeight="1">
      <c r="A137" s="69">
        <v>134</v>
      </c>
      <c r="B137" s="63" t="s">
        <v>230</v>
      </c>
      <c r="C137" s="64" t="s">
        <v>234</v>
      </c>
      <c r="D137" s="56" t="s">
        <v>7169</v>
      </c>
      <c r="E137" s="23" t="s">
        <v>7170</v>
      </c>
      <c r="F137" s="23" t="s">
        <v>7171</v>
      </c>
      <c r="G137" s="23" t="s">
        <v>7172</v>
      </c>
      <c r="H137" s="23" t="s">
        <v>7173</v>
      </c>
      <c r="I137" s="20">
        <v>3</v>
      </c>
      <c r="J137" s="24" t="s">
        <v>7174</v>
      </c>
      <c r="K137" s="23" t="s">
        <v>7175</v>
      </c>
      <c r="L137" s="23"/>
    </row>
    <row r="138" spans="1:12" ht="55.5" customHeight="1">
      <c r="A138" s="69">
        <v>135</v>
      </c>
      <c r="B138" s="70" t="s">
        <v>230</v>
      </c>
      <c r="C138" s="71" t="s">
        <v>235</v>
      </c>
      <c r="D138" s="72" t="s">
        <v>7176</v>
      </c>
      <c r="E138" s="72" t="s">
        <v>7138</v>
      </c>
      <c r="F138" s="72" t="s">
        <v>5635</v>
      </c>
      <c r="G138" s="72" t="s">
        <v>7137</v>
      </c>
      <c r="H138" s="72" t="s">
        <v>3684</v>
      </c>
      <c r="I138" s="69">
        <v>2</v>
      </c>
      <c r="J138" s="73" t="s">
        <v>7177</v>
      </c>
      <c r="K138" s="72" t="s">
        <v>7178</v>
      </c>
      <c r="L138" s="73"/>
    </row>
    <row r="139" spans="1:12" ht="42" customHeight="1">
      <c r="A139" s="69">
        <v>136</v>
      </c>
      <c r="B139" s="70" t="s">
        <v>230</v>
      </c>
      <c r="C139" s="71" t="s">
        <v>235</v>
      </c>
      <c r="D139" s="72" t="s">
        <v>7179</v>
      </c>
      <c r="E139" s="72" t="s">
        <v>7180</v>
      </c>
      <c r="F139" s="72" t="s">
        <v>7181</v>
      </c>
      <c r="G139" s="72" t="s">
        <v>7182</v>
      </c>
      <c r="H139" s="72" t="s">
        <v>7183</v>
      </c>
      <c r="I139" s="69">
        <v>2</v>
      </c>
      <c r="J139" s="73" t="s">
        <v>7184</v>
      </c>
      <c r="K139" s="72" t="s">
        <v>7185</v>
      </c>
      <c r="L139" s="73"/>
    </row>
    <row r="140" spans="1:12" ht="31.5" customHeight="1">
      <c r="A140" s="69">
        <v>137</v>
      </c>
      <c r="B140" s="70" t="s">
        <v>230</v>
      </c>
      <c r="C140" s="71" t="s">
        <v>235</v>
      </c>
      <c r="D140" s="72" t="s">
        <v>7186</v>
      </c>
      <c r="E140" s="72" t="s">
        <v>7187</v>
      </c>
      <c r="F140" s="72" t="s">
        <v>7188</v>
      </c>
      <c r="G140" s="72" t="s">
        <v>7189</v>
      </c>
      <c r="H140" s="72" t="s">
        <v>7190</v>
      </c>
      <c r="I140" s="69">
        <v>2</v>
      </c>
      <c r="J140" s="73" t="s">
        <v>7191</v>
      </c>
      <c r="K140" s="72" t="s">
        <v>7192</v>
      </c>
      <c r="L140" s="73"/>
    </row>
    <row r="141" spans="1:12" ht="31.5" customHeight="1">
      <c r="A141" s="69">
        <v>138</v>
      </c>
      <c r="B141" s="70" t="s">
        <v>230</v>
      </c>
      <c r="C141" s="71" t="s">
        <v>235</v>
      </c>
      <c r="D141" s="72" t="s">
        <v>7193</v>
      </c>
      <c r="E141" s="72" t="s">
        <v>7194</v>
      </c>
      <c r="F141" s="72" t="s">
        <v>7195</v>
      </c>
      <c r="G141" s="72" t="s">
        <v>7196</v>
      </c>
      <c r="H141" s="72" t="s">
        <v>7197</v>
      </c>
      <c r="I141" s="69">
        <v>1</v>
      </c>
      <c r="J141" s="73" t="s">
        <v>7198</v>
      </c>
      <c r="K141" s="72" t="s">
        <v>5656</v>
      </c>
      <c r="L141" s="73"/>
    </row>
    <row r="142" spans="1:12" ht="31.5" customHeight="1">
      <c r="A142" s="69">
        <v>139</v>
      </c>
      <c r="B142" s="70" t="s">
        <v>230</v>
      </c>
      <c r="C142" s="71" t="s">
        <v>235</v>
      </c>
      <c r="D142" s="72" t="s">
        <v>7199</v>
      </c>
      <c r="E142" s="72" t="s">
        <v>7200</v>
      </c>
      <c r="F142" s="72" t="s">
        <v>7201</v>
      </c>
      <c r="G142" s="72" t="s">
        <v>7202</v>
      </c>
      <c r="H142" s="72" t="s">
        <v>7203</v>
      </c>
      <c r="I142" s="69">
        <v>1</v>
      </c>
      <c r="J142" s="73" t="s">
        <v>7204</v>
      </c>
      <c r="K142" s="72" t="s">
        <v>5656</v>
      </c>
      <c r="L142" s="73"/>
    </row>
    <row r="143" spans="1:12" ht="31.5" customHeight="1">
      <c r="A143" s="69">
        <v>140</v>
      </c>
      <c r="B143" s="70" t="s">
        <v>230</v>
      </c>
      <c r="C143" s="71" t="s">
        <v>235</v>
      </c>
      <c r="D143" s="72" t="s">
        <v>7205</v>
      </c>
      <c r="E143" s="72" t="s">
        <v>7206</v>
      </c>
      <c r="F143" s="72" t="s">
        <v>7207</v>
      </c>
      <c r="G143" s="72" t="s">
        <v>7208</v>
      </c>
      <c r="H143" s="72" t="s">
        <v>7209</v>
      </c>
      <c r="I143" s="69">
        <v>4</v>
      </c>
      <c r="J143" s="73" t="s">
        <v>7210</v>
      </c>
      <c r="K143" s="72" t="s">
        <v>314</v>
      </c>
      <c r="L143" s="72"/>
    </row>
    <row r="144" spans="1:12" ht="55.5" customHeight="1">
      <c r="A144" s="69">
        <v>141</v>
      </c>
      <c r="B144" s="70" t="s">
        <v>230</v>
      </c>
      <c r="C144" s="71" t="s">
        <v>235</v>
      </c>
      <c r="D144" s="72" t="s">
        <v>7211</v>
      </c>
      <c r="E144" s="72" t="s">
        <v>7212</v>
      </c>
      <c r="F144" s="72" t="s">
        <v>7213</v>
      </c>
      <c r="G144" s="72" t="s">
        <v>7214</v>
      </c>
      <c r="H144" s="72" t="s">
        <v>7215</v>
      </c>
      <c r="I144" s="69">
        <v>3</v>
      </c>
      <c r="J144" s="73" t="s">
        <v>7216</v>
      </c>
      <c r="K144" s="72" t="s">
        <v>7217</v>
      </c>
      <c r="L144" s="72"/>
    </row>
    <row r="145" spans="1:12" ht="55.5" customHeight="1">
      <c r="A145" s="69">
        <v>142</v>
      </c>
      <c r="B145" s="70" t="s">
        <v>230</v>
      </c>
      <c r="C145" s="71" t="s">
        <v>235</v>
      </c>
      <c r="D145" s="72" t="s">
        <v>7218</v>
      </c>
      <c r="E145" s="72" t="s">
        <v>7219</v>
      </c>
      <c r="F145" s="72" t="s">
        <v>7220</v>
      </c>
      <c r="G145" s="72" t="s">
        <v>7221</v>
      </c>
      <c r="H145" s="72" t="s">
        <v>7222</v>
      </c>
      <c r="I145" s="69">
        <v>2</v>
      </c>
      <c r="J145" s="73" t="s">
        <v>7223</v>
      </c>
      <c r="K145" s="72" t="s">
        <v>7185</v>
      </c>
      <c r="L145" s="72"/>
    </row>
    <row r="146" spans="1:12" ht="97.5" customHeight="1">
      <c r="A146" s="69">
        <v>143</v>
      </c>
      <c r="B146" s="63" t="s">
        <v>230</v>
      </c>
      <c r="C146" s="64" t="s">
        <v>235</v>
      </c>
      <c r="D146" s="56" t="s">
        <v>7224</v>
      </c>
      <c r="E146" s="23" t="s">
        <v>7225</v>
      </c>
      <c r="F146" s="23" t="s">
        <v>7226</v>
      </c>
      <c r="G146" s="23" t="s">
        <v>7227</v>
      </c>
      <c r="H146" s="23" t="s">
        <v>7228</v>
      </c>
      <c r="I146" s="20">
        <v>3</v>
      </c>
      <c r="J146" s="24" t="s">
        <v>7229</v>
      </c>
      <c r="K146" s="23" t="s">
        <v>7230</v>
      </c>
      <c r="L146" s="23"/>
    </row>
    <row r="147" spans="1:12" ht="55.5" customHeight="1">
      <c r="A147" s="69">
        <v>144</v>
      </c>
      <c r="B147" s="70" t="s">
        <v>230</v>
      </c>
      <c r="C147" s="71" t="s">
        <v>236</v>
      </c>
      <c r="D147" s="72" t="s">
        <v>7231</v>
      </c>
      <c r="E147" s="72" t="s">
        <v>7232</v>
      </c>
      <c r="F147" s="72" t="s">
        <v>7233</v>
      </c>
      <c r="G147" s="72" t="s">
        <v>7234</v>
      </c>
      <c r="H147" s="72" t="s">
        <v>7235</v>
      </c>
      <c r="I147" s="69">
        <v>4</v>
      </c>
      <c r="J147" s="73" t="s">
        <v>7236</v>
      </c>
      <c r="K147" s="72" t="s">
        <v>7237</v>
      </c>
      <c r="L147" s="73"/>
    </row>
    <row r="148" spans="1:12" ht="27.75" customHeight="1">
      <c r="A148" s="69">
        <v>145</v>
      </c>
      <c r="B148" s="70" t="s">
        <v>230</v>
      </c>
      <c r="C148" s="71" t="s">
        <v>236</v>
      </c>
      <c r="D148" s="72" t="s">
        <v>7238</v>
      </c>
      <c r="E148" s="73" t="s">
        <v>7239</v>
      </c>
      <c r="F148" s="73" t="s">
        <v>7240</v>
      </c>
      <c r="G148" s="73" t="s">
        <v>7241</v>
      </c>
      <c r="H148" s="73" t="s">
        <v>7242</v>
      </c>
      <c r="I148" s="69">
        <v>1</v>
      </c>
      <c r="J148" s="73" t="s">
        <v>7243</v>
      </c>
      <c r="K148" s="72" t="s">
        <v>5670</v>
      </c>
      <c r="L148" s="73"/>
    </row>
    <row r="149" spans="1:12" ht="27.75" customHeight="1">
      <c r="A149" s="69">
        <v>146</v>
      </c>
      <c r="B149" s="70" t="s">
        <v>230</v>
      </c>
      <c r="C149" s="71" t="s">
        <v>236</v>
      </c>
      <c r="D149" s="72" t="s">
        <v>7244</v>
      </c>
      <c r="E149" s="72" t="s">
        <v>7245</v>
      </c>
      <c r="F149" s="72" t="s">
        <v>7246</v>
      </c>
      <c r="G149" s="72" t="s">
        <v>7247</v>
      </c>
      <c r="H149" s="72" t="s">
        <v>7248</v>
      </c>
      <c r="I149" s="69">
        <v>4</v>
      </c>
      <c r="J149" s="73" t="s">
        <v>7249</v>
      </c>
      <c r="K149" s="72" t="s">
        <v>3473</v>
      </c>
      <c r="L149" s="73"/>
    </row>
    <row r="150" spans="1:12" ht="84" customHeight="1">
      <c r="A150" s="69">
        <v>147</v>
      </c>
      <c r="B150" s="70" t="s">
        <v>230</v>
      </c>
      <c r="C150" s="71" t="s">
        <v>236</v>
      </c>
      <c r="D150" s="72" t="s">
        <v>7250</v>
      </c>
      <c r="E150" s="72" t="s">
        <v>7251</v>
      </c>
      <c r="F150" s="72" t="s">
        <v>7252</v>
      </c>
      <c r="G150" s="72" t="s">
        <v>7253</v>
      </c>
      <c r="H150" s="72" t="s">
        <v>7254</v>
      </c>
      <c r="I150" s="69">
        <v>1</v>
      </c>
      <c r="J150" s="73" t="s">
        <v>7255</v>
      </c>
      <c r="K150" s="72" t="s">
        <v>3473</v>
      </c>
      <c r="L150" s="73"/>
    </row>
    <row r="151" spans="1:12" ht="55.5" customHeight="1">
      <c r="A151" s="69">
        <v>148</v>
      </c>
      <c r="B151" s="70" t="s">
        <v>230</v>
      </c>
      <c r="C151" s="71" t="s">
        <v>236</v>
      </c>
      <c r="D151" s="73" t="s">
        <v>7256</v>
      </c>
      <c r="E151" s="72" t="s">
        <v>6899</v>
      </c>
      <c r="F151" s="72" t="s">
        <v>7257</v>
      </c>
      <c r="G151" s="72" t="s">
        <v>7258</v>
      </c>
      <c r="H151" s="72" t="s">
        <v>6900</v>
      </c>
      <c r="I151" s="69">
        <v>2</v>
      </c>
      <c r="J151" s="73" t="s">
        <v>7259</v>
      </c>
      <c r="K151" s="72" t="s">
        <v>3473</v>
      </c>
      <c r="L151" s="73"/>
    </row>
    <row r="152" spans="1:12" ht="42" customHeight="1">
      <c r="A152" s="69">
        <v>149</v>
      </c>
      <c r="B152" s="70" t="s">
        <v>230</v>
      </c>
      <c r="C152" s="71" t="s">
        <v>236</v>
      </c>
      <c r="D152" s="72" t="s">
        <v>7260</v>
      </c>
      <c r="E152" s="72" t="s">
        <v>7261</v>
      </c>
      <c r="F152" s="72" t="s">
        <v>7262</v>
      </c>
      <c r="G152" s="72" t="s">
        <v>7263</v>
      </c>
      <c r="H152" s="72" t="s">
        <v>7264</v>
      </c>
      <c r="I152" s="69">
        <v>1</v>
      </c>
      <c r="J152" s="73" t="s">
        <v>7265</v>
      </c>
      <c r="K152" s="72" t="s">
        <v>5670</v>
      </c>
      <c r="L152" s="72"/>
    </row>
    <row r="153" spans="1:12" ht="27.75" customHeight="1">
      <c r="A153" s="69">
        <v>150</v>
      </c>
      <c r="B153" s="70" t="s">
        <v>230</v>
      </c>
      <c r="C153" s="71" t="s">
        <v>236</v>
      </c>
      <c r="D153" s="75" t="s">
        <v>7266</v>
      </c>
      <c r="E153" s="73" t="s">
        <v>7267</v>
      </c>
      <c r="F153" s="73" t="s">
        <v>7241</v>
      </c>
      <c r="G153" s="73" t="s">
        <v>7268</v>
      </c>
      <c r="H153" s="73" t="s">
        <v>7269</v>
      </c>
      <c r="I153" s="69">
        <v>3</v>
      </c>
      <c r="J153" s="73" t="s">
        <v>7270</v>
      </c>
      <c r="K153" s="72" t="s">
        <v>5670</v>
      </c>
      <c r="L153" s="72"/>
    </row>
    <row r="154" spans="1:12" ht="27.75" customHeight="1">
      <c r="A154" s="69">
        <v>151</v>
      </c>
      <c r="B154" s="70" t="s">
        <v>230</v>
      </c>
      <c r="C154" s="71" t="s">
        <v>236</v>
      </c>
      <c r="D154" s="75" t="s">
        <v>7271</v>
      </c>
      <c r="E154" s="73" t="s">
        <v>7269</v>
      </c>
      <c r="F154" s="73" t="s">
        <v>7272</v>
      </c>
      <c r="G154" s="73" t="s">
        <v>7273</v>
      </c>
      <c r="H154" s="73" t="s">
        <v>7274</v>
      </c>
      <c r="I154" s="69">
        <v>1</v>
      </c>
      <c r="J154" s="73" t="s">
        <v>7275</v>
      </c>
      <c r="K154" s="72" t="s">
        <v>5670</v>
      </c>
      <c r="L154" s="72"/>
    </row>
    <row r="155" spans="1:12" ht="111.75" customHeight="1">
      <c r="A155" s="69">
        <v>152</v>
      </c>
      <c r="B155" s="63" t="s">
        <v>230</v>
      </c>
      <c r="C155" s="64" t="s">
        <v>236</v>
      </c>
      <c r="D155" s="56" t="s">
        <v>7276</v>
      </c>
      <c r="E155" s="23" t="s">
        <v>7277</v>
      </c>
      <c r="F155" s="23" t="s">
        <v>7278</v>
      </c>
      <c r="G155" s="23" t="s">
        <v>7279</v>
      </c>
      <c r="H155" s="23" t="s">
        <v>7280</v>
      </c>
      <c r="I155" s="20">
        <v>2</v>
      </c>
      <c r="J155" s="24" t="s">
        <v>7281</v>
      </c>
      <c r="K155" s="23" t="s">
        <v>7282</v>
      </c>
      <c r="L155" s="23"/>
    </row>
    <row r="156" spans="1:12" ht="67.5" customHeight="1">
      <c r="A156" s="69">
        <v>153</v>
      </c>
      <c r="B156" s="87" t="s">
        <v>212</v>
      </c>
      <c r="C156" s="87" t="s">
        <v>214</v>
      </c>
      <c r="D156" s="88" t="s">
        <v>7283</v>
      </c>
      <c r="E156" s="87" t="s">
        <v>471</v>
      </c>
      <c r="F156" s="87" t="s">
        <v>472</v>
      </c>
      <c r="G156" s="87" t="s">
        <v>469</v>
      </c>
      <c r="H156" s="87" t="s">
        <v>470</v>
      </c>
      <c r="I156" s="87">
        <v>3</v>
      </c>
      <c r="J156" s="88" t="s">
        <v>1765</v>
      </c>
      <c r="K156" s="87"/>
    </row>
    <row r="157" spans="1:12" ht="67.5" customHeight="1">
      <c r="A157" s="69">
        <v>154</v>
      </c>
      <c r="B157" s="87" t="s">
        <v>212</v>
      </c>
      <c r="C157" s="87" t="s">
        <v>214</v>
      </c>
      <c r="D157" s="88" t="s">
        <v>7284</v>
      </c>
      <c r="E157" s="87" t="s">
        <v>478</v>
      </c>
      <c r="F157" s="87" t="s">
        <v>475</v>
      </c>
      <c r="G157" s="87" t="s">
        <v>476</v>
      </c>
      <c r="H157" s="87" t="s">
        <v>477</v>
      </c>
      <c r="I157" s="87">
        <v>2</v>
      </c>
      <c r="J157" s="88" t="s">
        <v>2439</v>
      </c>
      <c r="K157" s="87"/>
    </row>
    <row r="158" spans="1:12" ht="67.5" customHeight="1">
      <c r="A158" s="69">
        <v>155</v>
      </c>
      <c r="B158" s="87" t="s">
        <v>212</v>
      </c>
      <c r="C158" s="87" t="s">
        <v>214</v>
      </c>
      <c r="D158" s="88" t="s">
        <v>7285</v>
      </c>
      <c r="E158" s="87" t="s">
        <v>1072</v>
      </c>
      <c r="F158" s="87" t="s">
        <v>1069</v>
      </c>
      <c r="G158" s="87" t="s">
        <v>1071</v>
      </c>
      <c r="H158" s="87" t="s">
        <v>1070</v>
      </c>
      <c r="I158" s="87">
        <v>4</v>
      </c>
      <c r="J158" s="88" t="s">
        <v>485</v>
      </c>
      <c r="K158" s="87"/>
    </row>
    <row r="159" spans="1:12" ht="50.75" customHeight="1">
      <c r="A159" s="69">
        <v>156</v>
      </c>
      <c r="B159" s="87" t="s">
        <v>212</v>
      </c>
      <c r="C159" s="87" t="s">
        <v>214</v>
      </c>
      <c r="D159" s="88" t="s">
        <v>7286</v>
      </c>
      <c r="E159" s="87" t="s">
        <v>7287</v>
      </c>
      <c r="F159" s="87" t="s">
        <v>7288</v>
      </c>
      <c r="G159" s="87" t="s">
        <v>7289</v>
      </c>
      <c r="H159" s="87" t="s">
        <v>7290</v>
      </c>
      <c r="I159" s="87">
        <v>3</v>
      </c>
      <c r="J159" s="88" t="s">
        <v>7291</v>
      </c>
      <c r="K159" s="87"/>
    </row>
    <row r="160" spans="1:12" ht="50.75" customHeight="1">
      <c r="A160" s="69">
        <v>157</v>
      </c>
      <c r="B160" s="87" t="s">
        <v>212</v>
      </c>
      <c r="C160" s="87" t="s">
        <v>214</v>
      </c>
      <c r="D160" s="88" t="s">
        <v>7292</v>
      </c>
      <c r="E160" s="87" t="s">
        <v>7293</v>
      </c>
      <c r="F160" s="87" t="s">
        <v>7294</v>
      </c>
      <c r="G160" s="87" t="s">
        <v>7295</v>
      </c>
      <c r="H160" s="87" t="s">
        <v>7296</v>
      </c>
      <c r="I160" s="87">
        <v>2</v>
      </c>
      <c r="J160" s="88" t="s">
        <v>7297</v>
      </c>
      <c r="K160" s="87"/>
    </row>
    <row r="161" spans="1:11" ht="67.5" customHeight="1">
      <c r="A161" s="69">
        <v>158</v>
      </c>
      <c r="B161" s="87" t="s">
        <v>212</v>
      </c>
      <c r="C161" s="87" t="s">
        <v>214</v>
      </c>
      <c r="D161" s="88" t="s">
        <v>7298</v>
      </c>
      <c r="E161" s="87" t="s">
        <v>7299</v>
      </c>
      <c r="F161" s="87" t="s">
        <v>7300</v>
      </c>
      <c r="G161" s="87" t="s">
        <v>7301</v>
      </c>
      <c r="H161" s="87" t="s">
        <v>7302</v>
      </c>
      <c r="I161" s="87">
        <v>2</v>
      </c>
      <c r="J161" s="88" t="s">
        <v>7303</v>
      </c>
      <c r="K161" s="87"/>
    </row>
    <row r="162" spans="1:11" ht="50.75" customHeight="1">
      <c r="A162" s="69">
        <v>159</v>
      </c>
      <c r="B162" s="87" t="s">
        <v>212</v>
      </c>
      <c r="C162" s="87" t="s">
        <v>214</v>
      </c>
      <c r="D162" s="88" t="s">
        <v>7304</v>
      </c>
      <c r="E162" s="87" t="s">
        <v>7305</v>
      </c>
      <c r="F162" s="87" t="s">
        <v>7306</v>
      </c>
      <c r="G162" s="87" t="s">
        <v>7307</v>
      </c>
      <c r="H162" s="87" t="s">
        <v>7308</v>
      </c>
      <c r="I162" s="87">
        <v>2</v>
      </c>
      <c r="J162" s="88" t="s">
        <v>7309</v>
      </c>
      <c r="K162" s="87"/>
    </row>
    <row r="163" spans="1:11" ht="67.5" customHeight="1">
      <c r="A163" s="69">
        <v>160</v>
      </c>
      <c r="B163" s="87" t="s">
        <v>212</v>
      </c>
      <c r="C163" s="87" t="s">
        <v>214</v>
      </c>
      <c r="D163" s="88" t="s">
        <v>7310</v>
      </c>
      <c r="E163" s="87" t="s">
        <v>7311</v>
      </c>
      <c r="F163" s="87" t="s">
        <v>7312</v>
      </c>
      <c r="G163" s="87" t="s">
        <v>7313</v>
      </c>
      <c r="H163" s="87" t="s">
        <v>7314</v>
      </c>
      <c r="I163" s="87">
        <v>2</v>
      </c>
      <c r="J163" s="88" t="s">
        <v>7315</v>
      </c>
      <c r="K163" s="87"/>
    </row>
    <row r="164" spans="1:11" ht="67.5" customHeight="1">
      <c r="A164" s="69">
        <v>161</v>
      </c>
      <c r="B164" s="87" t="s">
        <v>212</v>
      </c>
      <c r="C164" s="87" t="s">
        <v>214</v>
      </c>
      <c r="D164" s="88" t="s">
        <v>7316</v>
      </c>
      <c r="E164" s="87" t="s">
        <v>7317</v>
      </c>
      <c r="F164" s="87" t="s">
        <v>7318</v>
      </c>
      <c r="G164" s="87" t="s">
        <v>7319</v>
      </c>
      <c r="H164" s="87" t="s">
        <v>7320</v>
      </c>
      <c r="I164" s="87">
        <v>2</v>
      </c>
      <c r="J164" s="88" t="s">
        <v>7321</v>
      </c>
      <c r="K164" s="87"/>
    </row>
    <row r="165" spans="1:11" ht="67.5" customHeight="1">
      <c r="A165" s="69">
        <v>162</v>
      </c>
      <c r="B165" s="87" t="s">
        <v>212</v>
      </c>
      <c r="C165" s="87" t="s">
        <v>215</v>
      </c>
      <c r="D165" s="88" t="s">
        <v>7322</v>
      </c>
      <c r="E165" s="87" t="s">
        <v>7323</v>
      </c>
      <c r="F165" s="87" t="s">
        <v>7324</v>
      </c>
      <c r="G165" s="87" t="s">
        <v>7325</v>
      </c>
      <c r="H165" s="87" t="s">
        <v>7326</v>
      </c>
      <c r="I165" s="87">
        <v>2</v>
      </c>
      <c r="J165" s="88" t="s">
        <v>7327</v>
      </c>
      <c r="K165" s="87"/>
    </row>
    <row r="166" spans="1:11" ht="67.5" customHeight="1">
      <c r="A166" s="69">
        <v>163</v>
      </c>
      <c r="B166" s="87" t="s">
        <v>212</v>
      </c>
      <c r="C166" s="87" t="s">
        <v>213</v>
      </c>
      <c r="D166" s="88" t="s">
        <v>7328</v>
      </c>
      <c r="E166" s="87" t="s">
        <v>7329</v>
      </c>
      <c r="F166" s="87" t="s">
        <v>7330</v>
      </c>
      <c r="G166" s="87" t="s">
        <v>7331</v>
      </c>
      <c r="H166" s="87" t="s">
        <v>7332</v>
      </c>
      <c r="I166" s="87">
        <v>4</v>
      </c>
      <c r="J166" s="88" t="s">
        <v>7333</v>
      </c>
      <c r="K166" s="87"/>
    </row>
    <row r="167" spans="1:11" ht="101.25" customHeight="1">
      <c r="A167" s="69">
        <v>164</v>
      </c>
      <c r="B167" s="87" t="s">
        <v>212</v>
      </c>
      <c r="C167" s="87" t="s">
        <v>213</v>
      </c>
      <c r="D167" s="88" t="s">
        <v>7334</v>
      </c>
      <c r="E167" s="87" t="s">
        <v>7335</v>
      </c>
      <c r="F167" s="87" t="s">
        <v>7336</v>
      </c>
      <c r="G167" s="87" t="s">
        <v>7337</v>
      </c>
      <c r="H167" s="87" t="s">
        <v>7338</v>
      </c>
      <c r="I167" s="87">
        <v>1</v>
      </c>
      <c r="J167" s="88" t="s">
        <v>7339</v>
      </c>
      <c r="K167" s="87"/>
    </row>
    <row r="168" spans="1:11" ht="84.5" customHeight="1">
      <c r="A168" s="69">
        <v>165</v>
      </c>
      <c r="B168" s="87" t="s">
        <v>212</v>
      </c>
      <c r="C168" s="87" t="s">
        <v>215</v>
      </c>
      <c r="D168" s="88" t="s">
        <v>7340</v>
      </c>
      <c r="E168" s="87" t="s">
        <v>7341</v>
      </c>
      <c r="F168" s="87" t="s">
        <v>7342</v>
      </c>
      <c r="G168" s="87" t="s">
        <v>7343</v>
      </c>
      <c r="H168" s="87" t="s">
        <v>7344</v>
      </c>
      <c r="I168" s="87">
        <v>1</v>
      </c>
      <c r="J168" s="88" t="s">
        <v>7345</v>
      </c>
      <c r="K168" s="87"/>
    </row>
    <row r="169" spans="1:11" ht="84.5" customHeight="1">
      <c r="A169" s="69">
        <v>166</v>
      </c>
      <c r="B169" s="87" t="s">
        <v>212</v>
      </c>
      <c r="C169" s="87" t="s">
        <v>214</v>
      </c>
      <c r="D169" s="88" t="s">
        <v>7346</v>
      </c>
      <c r="E169" s="87" t="s">
        <v>7347</v>
      </c>
      <c r="F169" s="87" t="s">
        <v>7348</v>
      </c>
      <c r="G169" s="87" t="s">
        <v>7349</v>
      </c>
      <c r="H169" s="87" t="s">
        <v>7350</v>
      </c>
      <c r="I169" s="87">
        <v>4</v>
      </c>
      <c r="J169" s="88" t="s">
        <v>7351</v>
      </c>
      <c r="K169" s="87"/>
    </row>
    <row r="170" spans="1:11" ht="84.5" customHeight="1">
      <c r="A170" s="69">
        <v>167</v>
      </c>
      <c r="B170" s="87" t="s">
        <v>212</v>
      </c>
      <c r="C170" s="87" t="s">
        <v>214</v>
      </c>
      <c r="D170" s="88" t="s">
        <v>7352</v>
      </c>
      <c r="E170" s="87" t="s">
        <v>7353</v>
      </c>
      <c r="F170" s="87" t="s">
        <v>7354</v>
      </c>
      <c r="G170" s="87" t="s">
        <v>7355</v>
      </c>
      <c r="H170" s="87" t="s">
        <v>7356</v>
      </c>
      <c r="I170" s="87">
        <v>1</v>
      </c>
      <c r="J170" s="88" t="s">
        <v>7357</v>
      </c>
      <c r="K170" s="87"/>
    </row>
    <row r="171" spans="1:11" ht="67.5" customHeight="1">
      <c r="A171" s="69">
        <v>168</v>
      </c>
      <c r="B171" s="87" t="s">
        <v>218</v>
      </c>
      <c r="C171" s="87" t="s">
        <v>219</v>
      </c>
      <c r="D171" s="88" t="s">
        <v>7358</v>
      </c>
      <c r="E171" s="87" t="s">
        <v>470</v>
      </c>
      <c r="F171" s="87" t="s">
        <v>471</v>
      </c>
      <c r="G171" s="87" t="s">
        <v>472</v>
      </c>
      <c r="H171" s="87" t="s">
        <v>469</v>
      </c>
      <c r="I171" s="87">
        <v>4</v>
      </c>
      <c r="J171" s="88" t="s">
        <v>5323</v>
      </c>
      <c r="K171" s="87"/>
    </row>
    <row r="172" spans="1:11" ht="67.5" customHeight="1">
      <c r="A172" s="69">
        <v>169</v>
      </c>
      <c r="B172" s="87" t="s">
        <v>218</v>
      </c>
      <c r="C172" s="87" t="s">
        <v>219</v>
      </c>
      <c r="D172" s="88" t="s">
        <v>7359</v>
      </c>
      <c r="E172" s="87" t="s">
        <v>476</v>
      </c>
      <c r="F172" s="87" t="s">
        <v>478</v>
      </c>
      <c r="G172" s="87" t="s">
        <v>477</v>
      </c>
      <c r="H172" s="87" t="s">
        <v>475</v>
      </c>
      <c r="I172" s="87">
        <v>4</v>
      </c>
      <c r="J172" s="88" t="s">
        <v>3047</v>
      </c>
      <c r="K172" s="87"/>
    </row>
    <row r="173" spans="1:11" ht="67.5" customHeight="1">
      <c r="A173" s="69">
        <v>170</v>
      </c>
      <c r="B173" s="87" t="s">
        <v>218</v>
      </c>
      <c r="C173" s="87" t="s">
        <v>219</v>
      </c>
      <c r="D173" s="88" t="s">
        <v>7360</v>
      </c>
      <c r="E173" s="87" t="s">
        <v>1072</v>
      </c>
      <c r="F173" s="87" t="s">
        <v>1069</v>
      </c>
      <c r="G173" s="87" t="s">
        <v>1070</v>
      </c>
      <c r="H173" s="87" t="s">
        <v>1071</v>
      </c>
      <c r="I173" s="87">
        <v>3</v>
      </c>
      <c r="J173" s="88" t="s">
        <v>1257</v>
      </c>
      <c r="K173" s="87"/>
    </row>
    <row r="174" spans="1:11" ht="67.5" customHeight="1">
      <c r="A174" s="69">
        <v>171</v>
      </c>
      <c r="B174" s="87" t="s">
        <v>218</v>
      </c>
      <c r="C174" s="87" t="s">
        <v>220</v>
      </c>
      <c r="D174" s="88" t="s">
        <v>7361</v>
      </c>
      <c r="E174" s="87" t="s">
        <v>7362</v>
      </c>
      <c r="F174" s="87" t="s">
        <v>7363</v>
      </c>
      <c r="G174" s="87" t="s">
        <v>7364</v>
      </c>
      <c r="H174" s="87" t="s">
        <v>7365</v>
      </c>
      <c r="I174" s="87">
        <v>2</v>
      </c>
      <c r="J174" s="88" t="s">
        <v>7366</v>
      </c>
      <c r="K174" s="87"/>
    </row>
    <row r="175" spans="1:11" ht="84.5" customHeight="1">
      <c r="A175" s="69">
        <v>172</v>
      </c>
      <c r="B175" s="87" t="s">
        <v>218</v>
      </c>
      <c r="C175" s="87" t="s">
        <v>220</v>
      </c>
      <c r="D175" s="88" t="s">
        <v>7367</v>
      </c>
      <c r="E175" s="87" t="s">
        <v>7368</v>
      </c>
      <c r="F175" s="87" t="s">
        <v>7369</v>
      </c>
      <c r="G175" s="87" t="s">
        <v>7370</v>
      </c>
      <c r="H175" s="87" t="s">
        <v>7371</v>
      </c>
      <c r="I175" s="87">
        <v>3</v>
      </c>
      <c r="J175" s="88" t="s">
        <v>7372</v>
      </c>
      <c r="K175" s="87"/>
    </row>
    <row r="176" spans="1:11" ht="67.5" customHeight="1">
      <c r="A176" s="69">
        <v>173</v>
      </c>
      <c r="B176" s="87" t="s">
        <v>218</v>
      </c>
      <c r="C176" s="87" t="s">
        <v>220</v>
      </c>
      <c r="D176" s="88" t="s">
        <v>7373</v>
      </c>
      <c r="E176" s="87" t="s">
        <v>7374</v>
      </c>
      <c r="F176" s="87" t="s">
        <v>7375</v>
      </c>
      <c r="G176" s="87" t="s">
        <v>7376</v>
      </c>
      <c r="H176" s="87" t="s">
        <v>7377</v>
      </c>
      <c r="I176" s="87">
        <v>2</v>
      </c>
      <c r="J176" s="88" t="s">
        <v>7378</v>
      </c>
      <c r="K176" s="87"/>
    </row>
    <row r="177" spans="1:11" ht="67.5" customHeight="1">
      <c r="A177" s="69">
        <v>174</v>
      </c>
      <c r="B177" s="87" t="s">
        <v>218</v>
      </c>
      <c r="C177" s="87" t="s">
        <v>221</v>
      </c>
      <c r="D177" s="88" t="s">
        <v>7379</v>
      </c>
      <c r="E177" s="87" t="s">
        <v>7380</v>
      </c>
      <c r="F177" s="87" t="s">
        <v>7381</v>
      </c>
      <c r="G177" s="87" t="s">
        <v>7382</v>
      </c>
      <c r="H177" s="87" t="s">
        <v>7383</v>
      </c>
      <c r="I177" s="87">
        <v>3</v>
      </c>
      <c r="J177" s="88" t="s">
        <v>7384</v>
      </c>
      <c r="K177" s="87"/>
    </row>
    <row r="178" spans="1:11" ht="84.5" customHeight="1">
      <c r="A178" s="69">
        <v>175</v>
      </c>
      <c r="B178" s="87" t="s">
        <v>218</v>
      </c>
      <c r="C178" s="87" t="s">
        <v>221</v>
      </c>
      <c r="D178" s="88" t="s">
        <v>7385</v>
      </c>
      <c r="E178" s="87" t="s">
        <v>7386</v>
      </c>
      <c r="F178" s="87" t="s">
        <v>7387</v>
      </c>
      <c r="G178" s="87" t="s">
        <v>7388</v>
      </c>
      <c r="H178" s="87" t="s">
        <v>7389</v>
      </c>
      <c r="I178" s="87">
        <v>3</v>
      </c>
      <c r="J178" s="88" t="s">
        <v>7390</v>
      </c>
      <c r="K178" s="87"/>
    </row>
    <row r="179" spans="1:11" ht="67.5" customHeight="1">
      <c r="A179" s="69">
        <v>176</v>
      </c>
      <c r="B179" s="87" t="s">
        <v>218</v>
      </c>
      <c r="C179" s="87" t="s">
        <v>222</v>
      </c>
      <c r="D179" s="88" t="s">
        <v>7391</v>
      </c>
      <c r="E179" s="87" t="s">
        <v>7392</v>
      </c>
      <c r="F179" s="87" t="s">
        <v>7393</v>
      </c>
      <c r="G179" s="87" t="s">
        <v>7394</v>
      </c>
      <c r="H179" s="87" t="s">
        <v>7395</v>
      </c>
      <c r="I179" s="87">
        <v>2</v>
      </c>
      <c r="J179" s="88" t="s">
        <v>7396</v>
      </c>
      <c r="K179" s="87"/>
    </row>
    <row r="180" spans="1:11" ht="67.5" customHeight="1">
      <c r="A180" s="69">
        <v>177</v>
      </c>
      <c r="B180" s="87" t="s">
        <v>218</v>
      </c>
      <c r="C180" s="87" t="s">
        <v>223</v>
      </c>
      <c r="D180" s="88" t="s">
        <v>7397</v>
      </c>
      <c r="E180" s="87" t="s">
        <v>7398</v>
      </c>
      <c r="F180" s="87" t="s">
        <v>6783</v>
      </c>
      <c r="G180" s="87" t="s">
        <v>7399</v>
      </c>
      <c r="H180" s="87" t="s">
        <v>7400</v>
      </c>
      <c r="I180" s="87">
        <v>2</v>
      </c>
      <c r="J180" s="88" t="s">
        <v>7401</v>
      </c>
      <c r="K180" s="87"/>
    </row>
    <row r="181" spans="1:11" ht="67.5" customHeight="1">
      <c r="A181" s="69">
        <v>178</v>
      </c>
      <c r="B181" s="87" t="s">
        <v>218</v>
      </c>
      <c r="C181" s="87" t="s">
        <v>219</v>
      </c>
      <c r="D181" s="88" t="s">
        <v>7402</v>
      </c>
      <c r="E181" s="87" t="s">
        <v>7403</v>
      </c>
      <c r="F181" s="87" t="s">
        <v>7404</v>
      </c>
      <c r="G181" s="87" t="s">
        <v>7405</v>
      </c>
      <c r="H181" s="87" t="s">
        <v>7406</v>
      </c>
      <c r="I181" s="87">
        <v>4</v>
      </c>
      <c r="J181" s="88" t="s">
        <v>7407</v>
      </c>
      <c r="K181" s="87"/>
    </row>
    <row r="182" spans="1:11" ht="84.5" customHeight="1">
      <c r="A182" s="69">
        <v>179</v>
      </c>
      <c r="B182" s="87" t="s">
        <v>218</v>
      </c>
      <c r="C182" s="87" t="s">
        <v>219</v>
      </c>
      <c r="D182" s="88" t="s">
        <v>7408</v>
      </c>
      <c r="E182" s="87" t="s">
        <v>7409</v>
      </c>
      <c r="F182" s="87" t="s">
        <v>7410</v>
      </c>
      <c r="G182" s="87" t="s">
        <v>7411</v>
      </c>
      <c r="H182" s="87" t="s">
        <v>7412</v>
      </c>
      <c r="I182" s="87">
        <v>1</v>
      </c>
      <c r="J182" s="88" t="s">
        <v>7413</v>
      </c>
      <c r="K182" s="87"/>
    </row>
    <row r="183" spans="1:11" ht="67.5" customHeight="1">
      <c r="A183" s="69">
        <v>180</v>
      </c>
      <c r="B183" s="87" t="s">
        <v>218</v>
      </c>
      <c r="C183" s="87" t="s">
        <v>220</v>
      </c>
      <c r="D183" s="88" t="s">
        <v>7414</v>
      </c>
      <c r="E183" s="87" t="s">
        <v>7415</v>
      </c>
      <c r="F183" s="87" t="s">
        <v>7416</v>
      </c>
      <c r="G183" s="87" t="s">
        <v>7417</v>
      </c>
      <c r="H183" s="87" t="s">
        <v>7418</v>
      </c>
      <c r="I183" s="87">
        <v>4</v>
      </c>
      <c r="J183" s="88" t="s">
        <v>7419</v>
      </c>
      <c r="K183" s="87"/>
    </row>
    <row r="184" spans="1:11" ht="84.5" customHeight="1">
      <c r="A184" s="69">
        <v>181</v>
      </c>
      <c r="B184" s="87" t="s">
        <v>218</v>
      </c>
      <c r="C184" s="87" t="s">
        <v>220</v>
      </c>
      <c r="D184" s="88" t="s">
        <v>7420</v>
      </c>
      <c r="E184" s="87" t="s">
        <v>7421</v>
      </c>
      <c r="F184" s="87" t="s">
        <v>7422</v>
      </c>
      <c r="G184" s="87" t="s">
        <v>7423</v>
      </c>
      <c r="H184" s="87" t="s">
        <v>7424</v>
      </c>
      <c r="I184" s="87">
        <v>1</v>
      </c>
      <c r="J184" s="88" t="s">
        <v>7425</v>
      </c>
      <c r="K184" s="87"/>
    </row>
    <row r="185" spans="1:11" ht="67.5" customHeight="1">
      <c r="A185" s="69">
        <v>182</v>
      </c>
      <c r="B185" s="87" t="s">
        <v>218</v>
      </c>
      <c r="C185" s="87" t="s">
        <v>220</v>
      </c>
      <c r="D185" s="88" t="s">
        <v>7426</v>
      </c>
      <c r="E185" s="87" t="s">
        <v>7427</v>
      </c>
      <c r="F185" s="87" t="s">
        <v>7428</v>
      </c>
      <c r="G185" s="87" t="s">
        <v>7429</v>
      </c>
      <c r="H185" s="87" t="s">
        <v>7430</v>
      </c>
      <c r="I185" s="87">
        <v>4</v>
      </c>
      <c r="J185" s="88" t="s">
        <v>7431</v>
      </c>
      <c r="K185" s="87"/>
    </row>
    <row r="186" spans="1:11" ht="50.75" customHeight="1">
      <c r="A186" s="69">
        <v>183</v>
      </c>
      <c r="B186" s="87" t="s">
        <v>224</v>
      </c>
      <c r="C186" s="87" t="s">
        <v>225</v>
      </c>
      <c r="D186" s="88" t="s">
        <v>7432</v>
      </c>
      <c r="E186" s="87" t="s">
        <v>7433</v>
      </c>
      <c r="F186" s="87" t="s">
        <v>7434</v>
      </c>
      <c r="G186" s="87" t="s">
        <v>7435</v>
      </c>
      <c r="H186" s="87" t="s">
        <v>7436</v>
      </c>
      <c r="I186" s="87">
        <v>3</v>
      </c>
      <c r="J186" s="88" t="s">
        <v>7437</v>
      </c>
      <c r="K186" s="87"/>
    </row>
    <row r="187" spans="1:11" ht="50.75" customHeight="1">
      <c r="A187" s="69">
        <v>184</v>
      </c>
      <c r="B187" s="87" t="s">
        <v>230</v>
      </c>
      <c r="C187" s="87" t="s">
        <v>236</v>
      </c>
      <c r="D187" s="88" t="s">
        <v>7438</v>
      </c>
      <c r="E187" s="87" t="s">
        <v>5635</v>
      </c>
      <c r="F187" s="87" t="s">
        <v>3684</v>
      </c>
      <c r="G187" s="87" t="s">
        <v>7439</v>
      </c>
      <c r="H187" s="87" t="s">
        <v>7138</v>
      </c>
      <c r="I187" s="87">
        <v>3</v>
      </c>
      <c r="J187" s="88" t="s">
        <v>7440</v>
      </c>
      <c r="K187" s="87"/>
    </row>
    <row r="188" spans="1:11" ht="33.75" customHeight="1">
      <c r="A188" s="69">
        <v>185</v>
      </c>
      <c r="B188" s="87" t="s">
        <v>230</v>
      </c>
      <c r="C188" s="87" t="s">
        <v>235</v>
      </c>
      <c r="D188" s="88" t="s">
        <v>7441</v>
      </c>
      <c r="E188" s="87" t="s">
        <v>7206</v>
      </c>
      <c r="F188" s="87" t="s">
        <v>7209</v>
      </c>
      <c r="G188" s="87" t="s">
        <v>7207</v>
      </c>
      <c r="H188" s="87" t="s">
        <v>7208</v>
      </c>
      <c r="I188" s="87">
        <v>2</v>
      </c>
      <c r="J188" s="88" t="s">
        <v>7442</v>
      </c>
      <c r="K188" s="87"/>
    </row>
    <row r="189" spans="1:11" ht="67.5" customHeight="1">
      <c r="A189" s="69">
        <v>186</v>
      </c>
      <c r="B189" s="87" t="s">
        <v>224</v>
      </c>
      <c r="C189" s="87" t="s">
        <v>228</v>
      </c>
      <c r="D189" s="88" t="s">
        <v>7443</v>
      </c>
      <c r="E189" s="87" t="s">
        <v>7444</v>
      </c>
      <c r="F189" s="87" t="s">
        <v>7445</v>
      </c>
      <c r="G189" s="87" t="s">
        <v>7446</v>
      </c>
      <c r="H189" s="87" t="s">
        <v>7447</v>
      </c>
      <c r="I189" s="87">
        <v>4</v>
      </c>
      <c r="J189" s="88" t="s">
        <v>7448</v>
      </c>
      <c r="K189" s="87"/>
    </row>
    <row r="190" spans="1:11" ht="67.5" customHeight="1">
      <c r="A190" s="69">
        <v>187</v>
      </c>
      <c r="B190" s="87" t="s">
        <v>230</v>
      </c>
      <c r="C190" s="87" t="s">
        <v>236</v>
      </c>
      <c r="D190" s="88" t="s">
        <v>7449</v>
      </c>
      <c r="E190" s="87" t="s">
        <v>7450</v>
      </c>
      <c r="F190" s="87" t="s">
        <v>7451</v>
      </c>
      <c r="G190" s="87" t="s">
        <v>7452</v>
      </c>
      <c r="H190" s="87" t="s">
        <v>7453</v>
      </c>
      <c r="I190" s="87">
        <v>2</v>
      </c>
      <c r="J190" s="88" t="s">
        <v>7454</v>
      </c>
      <c r="K190" s="87"/>
    </row>
    <row r="191" spans="1:11" ht="67.5" customHeight="1">
      <c r="A191" s="69">
        <v>188</v>
      </c>
      <c r="B191" s="87" t="s">
        <v>224</v>
      </c>
      <c r="C191" s="87" t="s">
        <v>226</v>
      </c>
      <c r="D191" s="88" t="s">
        <v>7455</v>
      </c>
      <c r="E191" s="87" t="s">
        <v>470</v>
      </c>
      <c r="F191" s="87" t="s">
        <v>472</v>
      </c>
      <c r="G191" s="87" t="s">
        <v>469</v>
      </c>
      <c r="H191" s="87" t="s">
        <v>471</v>
      </c>
      <c r="I191" s="87">
        <v>3</v>
      </c>
      <c r="J191" s="88" t="s">
        <v>7456</v>
      </c>
      <c r="K191" s="87"/>
    </row>
    <row r="192" spans="1:11" ht="67.5" customHeight="1">
      <c r="A192" s="69">
        <v>189</v>
      </c>
      <c r="B192" s="87" t="s">
        <v>224</v>
      </c>
      <c r="C192" s="87" t="s">
        <v>226</v>
      </c>
      <c r="D192" s="88" t="s">
        <v>7457</v>
      </c>
      <c r="E192" s="87" t="s">
        <v>477</v>
      </c>
      <c r="F192" s="87" t="s">
        <v>476</v>
      </c>
      <c r="G192" s="87" t="s">
        <v>478</v>
      </c>
      <c r="H192" s="87" t="s">
        <v>475</v>
      </c>
      <c r="I192" s="87">
        <v>4</v>
      </c>
      <c r="J192" s="88" t="s">
        <v>3047</v>
      </c>
      <c r="K192" s="87"/>
    </row>
    <row r="193" spans="1:11" ht="67.5" customHeight="1">
      <c r="A193" s="69">
        <v>190</v>
      </c>
      <c r="B193" s="87" t="s">
        <v>224</v>
      </c>
      <c r="C193" s="87" t="s">
        <v>226</v>
      </c>
      <c r="D193" s="88" t="s">
        <v>7458</v>
      </c>
      <c r="E193" s="87" t="s">
        <v>1072</v>
      </c>
      <c r="F193" s="87" t="s">
        <v>1071</v>
      </c>
      <c r="G193" s="87" t="s">
        <v>1069</v>
      </c>
      <c r="H193" s="87" t="s">
        <v>1070</v>
      </c>
      <c r="I193" s="87">
        <v>4</v>
      </c>
      <c r="J193" s="88" t="s">
        <v>485</v>
      </c>
      <c r="K193" s="87"/>
    </row>
    <row r="194" spans="1:11" ht="33.75" customHeight="1">
      <c r="A194" s="69">
        <v>191</v>
      </c>
      <c r="B194" s="87" t="s">
        <v>230</v>
      </c>
      <c r="C194" s="87" t="s">
        <v>231</v>
      </c>
      <c r="D194" s="88" t="s">
        <v>7459</v>
      </c>
      <c r="E194" s="87" t="s">
        <v>7460</v>
      </c>
      <c r="F194" s="87" t="s">
        <v>7461</v>
      </c>
      <c r="G194" s="87" t="s">
        <v>7462</v>
      </c>
      <c r="H194" s="87" t="s">
        <v>7463</v>
      </c>
      <c r="I194" s="87">
        <v>2</v>
      </c>
      <c r="J194" s="88" t="s">
        <v>7464</v>
      </c>
      <c r="K194" s="87"/>
    </row>
    <row r="195" spans="1:11" ht="50.75" customHeight="1">
      <c r="A195" s="69">
        <v>192</v>
      </c>
      <c r="B195" s="87" t="s">
        <v>224</v>
      </c>
      <c r="C195" s="87" t="s">
        <v>227</v>
      </c>
      <c r="D195" s="88" t="s">
        <v>7465</v>
      </c>
      <c r="E195" s="87" t="s">
        <v>7466</v>
      </c>
      <c r="F195" s="87" t="s">
        <v>7467</v>
      </c>
      <c r="G195" s="87" t="s">
        <v>7468</v>
      </c>
      <c r="H195" s="87" t="s">
        <v>7469</v>
      </c>
      <c r="I195" s="87">
        <v>2</v>
      </c>
      <c r="J195" s="88" t="s">
        <v>7470</v>
      </c>
      <c r="K195" s="87"/>
    </row>
    <row r="196" spans="1:11" ht="50.75" customHeight="1">
      <c r="A196" s="69">
        <v>193</v>
      </c>
      <c r="B196" s="87" t="s">
        <v>224</v>
      </c>
      <c r="C196" s="87" t="s">
        <v>228</v>
      </c>
      <c r="D196" s="88" t="s">
        <v>7471</v>
      </c>
      <c r="E196" s="87" t="s">
        <v>7472</v>
      </c>
      <c r="F196" s="87" t="s">
        <v>7473</v>
      </c>
      <c r="G196" s="87" t="s">
        <v>7474</v>
      </c>
      <c r="H196" s="87" t="s">
        <v>7475</v>
      </c>
      <c r="I196" s="87">
        <v>2</v>
      </c>
      <c r="J196" s="88" t="s">
        <v>7476</v>
      </c>
      <c r="K196" s="87"/>
    </row>
    <row r="197" spans="1:11" ht="33.75" customHeight="1">
      <c r="A197" s="69">
        <v>194</v>
      </c>
      <c r="B197" s="87" t="s">
        <v>224</v>
      </c>
      <c r="C197" s="87" t="s">
        <v>229</v>
      </c>
      <c r="D197" s="88" t="s">
        <v>7477</v>
      </c>
      <c r="E197" s="87" t="s">
        <v>7478</v>
      </c>
      <c r="F197" s="87" t="s">
        <v>7479</v>
      </c>
      <c r="G197" s="87" t="s">
        <v>7480</v>
      </c>
      <c r="H197" s="87" t="s">
        <v>7481</v>
      </c>
      <c r="I197" s="87">
        <v>2</v>
      </c>
      <c r="J197" s="88" t="s">
        <v>7482</v>
      </c>
      <c r="K197" s="87"/>
    </row>
    <row r="198" spans="1:11" ht="50.75" customHeight="1">
      <c r="A198" s="69">
        <v>195</v>
      </c>
      <c r="B198" s="87" t="s">
        <v>224</v>
      </c>
      <c r="C198" s="87" t="s">
        <v>226</v>
      </c>
      <c r="D198" s="88" t="s">
        <v>7483</v>
      </c>
      <c r="E198" s="87" t="s">
        <v>7484</v>
      </c>
      <c r="F198" s="87" t="s">
        <v>7485</v>
      </c>
      <c r="G198" s="87" t="s">
        <v>7486</v>
      </c>
      <c r="H198" s="87" t="s">
        <v>7487</v>
      </c>
      <c r="I198" s="87">
        <v>2</v>
      </c>
      <c r="J198" s="88" t="s">
        <v>7488</v>
      </c>
      <c r="K198" s="87"/>
    </row>
    <row r="199" spans="1:11" ht="50.75" customHeight="1">
      <c r="A199" s="69">
        <v>196</v>
      </c>
      <c r="B199" s="87" t="s">
        <v>224</v>
      </c>
      <c r="C199" s="87" t="s">
        <v>228</v>
      </c>
      <c r="D199" s="88" t="s">
        <v>7489</v>
      </c>
      <c r="E199" s="87" t="s">
        <v>7490</v>
      </c>
      <c r="F199" s="87" t="s">
        <v>7491</v>
      </c>
      <c r="G199" s="87" t="s">
        <v>7492</v>
      </c>
      <c r="H199" s="87" t="s">
        <v>7493</v>
      </c>
      <c r="I199" s="87">
        <v>2</v>
      </c>
      <c r="J199" s="88" t="s">
        <v>7494</v>
      </c>
      <c r="K199" s="87"/>
    </row>
    <row r="200" spans="1:11" ht="50.75" customHeight="1">
      <c r="A200" s="69">
        <v>197</v>
      </c>
      <c r="B200" s="87" t="s">
        <v>230</v>
      </c>
      <c r="C200" s="87" t="s">
        <v>234</v>
      </c>
      <c r="D200" s="88" t="s">
        <v>7495</v>
      </c>
      <c r="E200" s="87" t="s">
        <v>7496</v>
      </c>
      <c r="F200" s="87" t="s">
        <v>7497</v>
      </c>
      <c r="G200" s="87" t="s">
        <v>7498</v>
      </c>
      <c r="H200" s="87" t="s">
        <v>7499</v>
      </c>
      <c r="I200" s="87">
        <v>2</v>
      </c>
      <c r="J200" s="88" t="s">
        <v>7500</v>
      </c>
      <c r="K200" s="87"/>
    </row>
    <row r="201" spans="1:11" ht="67.5" customHeight="1">
      <c r="A201" s="69">
        <v>198</v>
      </c>
      <c r="B201" s="87" t="s">
        <v>224</v>
      </c>
      <c r="C201" s="87" t="s">
        <v>226</v>
      </c>
      <c r="D201" s="88" t="s">
        <v>7501</v>
      </c>
      <c r="E201" s="87" t="s">
        <v>7502</v>
      </c>
      <c r="F201" s="87" t="s">
        <v>7503</v>
      </c>
      <c r="G201" s="87" t="s">
        <v>7504</v>
      </c>
      <c r="H201" s="87" t="s">
        <v>7505</v>
      </c>
      <c r="I201" s="87">
        <v>4</v>
      </c>
      <c r="J201" s="88" t="s">
        <v>7506</v>
      </c>
      <c r="K201" s="87"/>
    </row>
    <row r="202" spans="1:11" ht="84.5" customHeight="1">
      <c r="A202" s="69">
        <v>199</v>
      </c>
      <c r="B202" s="87" t="s">
        <v>230</v>
      </c>
      <c r="C202" s="87" t="s">
        <v>231</v>
      </c>
      <c r="D202" s="88" t="s">
        <v>7507</v>
      </c>
      <c r="E202" s="87" t="s">
        <v>7508</v>
      </c>
      <c r="F202" s="87" t="s">
        <v>7509</v>
      </c>
      <c r="G202" s="87" t="s">
        <v>7510</v>
      </c>
      <c r="H202" s="87" t="s">
        <v>7511</v>
      </c>
      <c r="I202" s="87">
        <v>1</v>
      </c>
      <c r="J202" s="88" t="s">
        <v>7512</v>
      </c>
      <c r="K202" s="87"/>
    </row>
    <row r="203" spans="1:11" ht="67.5" customHeight="1">
      <c r="A203" s="69">
        <v>200</v>
      </c>
      <c r="B203" s="87" t="s">
        <v>224</v>
      </c>
      <c r="C203" s="87" t="s">
        <v>225</v>
      </c>
      <c r="D203" s="88" t="s">
        <v>7513</v>
      </c>
      <c r="E203" s="87" t="s">
        <v>7514</v>
      </c>
      <c r="F203" s="87" t="s">
        <v>7515</v>
      </c>
      <c r="G203" s="87" t="s">
        <v>7516</v>
      </c>
      <c r="H203" s="87" t="s">
        <v>7517</v>
      </c>
      <c r="I203" s="87">
        <v>3</v>
      </c>
      <c r="J203" s="88" t="s">
        <v>7518</v>
      </c>
      <c r="K203" s="87"/>
    </row>
    <row r="204" spans="1:11" ht="67.5" customHeight="1">
      <c r="A204" s="69">
        <v>201</v>
      </c>
      <c r="B204" s="87" t="s">
        <v>224</v>
      </c>
      <c r="C204" s="87" t="s">
        <v>229</v>
      </c>
      <c r="D204" s="88" t="s">
        <v>7519</v>
      </c>
      <c r="E204" s="87" t="s">
        <v>7520</v>
      </c>
      <c r="F204" s="87" t="s">
        <v>7521</v>
      </c>
      <c r="G204" s="87" t="s">
        <v>7522</v>
      </c>
      <c r="H204" s="87" t="s">
        <v>7523</v>
      </c>
      <c r="I204" s="87">
        <v>4</v>
      </c>
      <c r="J204" s="88" t="s">
        <v>7524</v>
      </c>
      <c r="K204" s="87"/>
    </row>
    <row r="205" spans="1:11" ht="67.5" customHeight="1">
      <c r="A205" s="69">
        <v>202</v>
      </c>
      <c r="B205" s="87" t="s">
        <v>224</v>
      </c>
      <c r="C205" s="87" t="s">
        <v>226</v>
      </c>
      <c r="D205" s="88" t="s">
        <v>7525</v>
      </c>
      <c r="E205" s="87" t="s">
        <v>7526</v>
      </c>
      <c r="F205" s="87" t="s">
        <v>7527</v>
      </c>
      <c r="G205" s="87" t="s">
        <v>7528</v>
      </c>
      <c r="H205" s="87" t="s">
        <v>7529</v>
      </c>
      <c r="I205" s="87">
        <v>1</v>
      </c>
      <c r="J205" s="88" t="s">
        <v>7530</v>
      </c>
      <c r="K205" s="87"/>
    </row>
    <row r="206" spans="1:11" ht="50.75" customHeight="1">
      <c r="A206" s="69">
        <v>203</v>
      </c>
      <c r="B206" s="87" t="s">
        <v>230</v>
      </c>
      <c r="C206" s="87" t="s">
        <v>231</v>
      </c>
      <c r="D206" s="88" t="s">
        <v>7531</v>
      </c>
      <c r="E206" s="87" t="s">
        <v>7532</v>
      </c>
      <c r="F206" s="87" t="s">
        <v>7533</v>
      </c>
      <c r="G206" s="87" t="s">
        <v>7534</v>
      </c>
      <c r="H206" s="87" t="s">
        <v>7535</v>
      </c>
      <c r="I206" s="87">
        <v>2</v>
      </c>
      <c r="J206" s="88" t="s">
        <v>7536</v>
      </c>
      <c r="K206" s="87"/>
    </row>
    <row r="207" spans="1:11" ht="67.5" customHeight="1">
      <c r="A207" s="69">
        <v>204</v>
      </c>
      <c r="B207" s="87" t="s">
        <v>230</v>
      </c>
      <c r="C207" s="87" t="s">
        <v>236</v>
      </c>
      <c r="D207" s="88" t="s">
        <v>7537</v>
      </c>
      <c r="E207" s="87" t="s">
        <v>7538</v>
      </c>
      <c r="F207" s="87" t="s">
        <v>7539</v>
      </c>
      <c r="G207" s="87" t="s">
        <v>7540</v>
      </c>
      <c r="H207" s="87" t="s">
        <v>7541</v>
      </c>
      <c r="I207" s="87">
        <v>2</v>
      </c>
      <c r="J207" s="88" t="s">
        <v>7542</v>
      </c>
      <c r="K207" s="87"/>
    </row>
    <row r="208" spans="1:11" ht="67.5" customHeight="1">
      <c r="A208" s="69">
        <v>205</v>
      </c>
      <c r="B208" s="87" t="s">
        <v>230</v>
      </c>
      <c r="C208" s="87" t="s">
        <v>236</v>
      </c>
      <c r="D208" s="88" t="s">
        <v>7543</v>
      </c>
      <c r="E208" s="87" t="s">
        <v>7544</v>
      </c>
      <c r="F208" s="87" t="s">
        <v>7545</v>
      </c>
      <c r="G208" s="87" t="s">
        <v>7546</v>
      </c>
      <c r="H208" s="87" t="s">
        <v>7547</v>
      </c>
      <c r="I208" s="87">
        <v>2</v>
      </c>
      <c r="J208" s="88" t="s">
        <v>7548</v>
      </c>
      <c r="K208" s="87"/>
    </row>
    <row r="209" spans="1:11" ht="67.5" customHeight="1">
      <c r="A209" s="69">
        <v>206</v>
      </c>
      <c r="B209" s="87" t="s">
        <v>230</v>
      </c>
      <c r="C209" s="87" t="s">
        <v>236</v>
      </c>
      <c r="D209" s="88" t="s">
        <v>7549</v>
      </c>
      <c r="E209" s="87" t="s">
        <v>7550</v>
      </c>
      <c r="F209" s="87" t="s">
        <v>7551</v>
      </c>
      <c r="G209" s="87" t="s">
        <v>7552</v>
      </c>
      <c r="H209" s="87" t="s">
        <v>7553</v>
      </c>
      <c r="I209" s="87">
        <v>2</v>
      </c>
      <c r="J209" s="88" t="s">
        <v>7554</v>
      </c>
      <c r="K209" s="87"/>
    </row>
    <row r="210" spans="1:11" ht="67.5" customHeight="1">
      <c r="A210" s="69">
        <v>207</v>
      </c>
      <c r="B210" s="87" t="s">
        <v>230</v>
      </c>
      <c r="C210" s="87" t="s">
        <v>235</v>
      </c>
      <c r="D210" s="88" t="s">
        <v>7555</v>
      </c>
      <c r="E210" s="87" t="s">
        <v>5635</v>
      </c>
      <c r="F210" s="87" t="s">
        <v>3684</v>
      </c>
      <c r="G210" s="87" t="s">
        <v>7556</v>
      </c>
      <c r="H210" s="87" t="s">
        <v>7138</v>
      </c>
      <c r="I210" s="87">
        <v>4</v>
      </c>
      <c r="J210" s="88" t="s">
        <v>7557</v>
      </c>
      <c r="K210" s="87"/>
    </row>
    <row r="211" spans="1:11" ht="101.25" customHeight="1">
      <c r="A211" s="69">
        <v>208</v>
      </c>
      <c r="B211" s="87" t="s">
        <v>230</v>
      </c>
      <c r="C211" s="87" t="s">
        <v>231</v>
      </c>
      <c r="D211" s="88" t="s">
        <v>7558</v>
      </c>
      <c r="E211" s="87" t="s">
        <v>7559</v>
      </c>
      <c r="F211" s="87" t="s">
        <v>7560</v>
      </c>
      <c r="G211" s="87" t="s">
        <v>7561</v>
      </c>
      <c r="H211" s="87" t="s">
        <v>7562</v>
      </c>
      <c r="I211" s="87">
        <v>3</v>
      </c>
      <c r="J211" s="88" t="s">
        <v>7563</v>
      </c>
      <c r="K211" s="87"/>
    </row>
    <row r="212" spans="1:11" ht="84.5" customHeight="1">
      <c r="A212" s="69">
        <v>209</v>
      </c>
      <c r="B212" s="87" t="s">
        <v>230</v>
      </c>
      <c r="C212" s="87" t="s">
        <v>231</v>
      </c>
      <c r="D212" s="88" t="s">
        <v>7564</v>
      </c>
      <c r="E212" s="87" t="s">
        <v>7565</v>
      </c>
      <c r="F212" s="87" t="s">
        <v>7566</v>
      </c>
      <c r="G212" s="87" t="s">
        <v>7567</v>
      </c>
      <c r="H212" s="87" t="s">
        <v>7568</v>
      </c>
      <c r="I212" s="87">
        <v>3</v>
      </c>
      <c r="J212" s="88" t="s">
        <v>7569</v>
      </c>
      <c r="K212" s="87"/>
    </row>
    <row r="213" spans="1:11" ht="118.25" customHeight="1">
      <c r="A213" s="69">
        <v>210</v>
      </c>
      <c r="B213" s="87" t="s">
        <v>230</v>
      </c>
      <c r="C213" s="87" t="s">
        <v>232</v>
      </c>
      <c r="D213" s="88" t="s">
        <v>7570</v>
      </c>
      <c r="E213" s="87" t="s">
        <v>7571</v>
      </c>
      <c r="F213" s="87" t="s">
        <v>7572</v>
      </c>
      <c r="G213" s="87" t="s">
        <v>7573</v>
      </c>
      <c r="H213" s="87" t="s">
        <v>7574</v>
      </c>
      <c r="I213" s="87">
        <v>1</v>
      </c>
      <c r="J213" s="88" t="s">
        <v>7575</v>
      </c>
      <c r="K213" s="87"/>
    </row>
    <row r="214" spans="1:11" ht="101.25" customHeight="1">
      <c r="A214" s="69">
        <v>211</v>
      </c>
      <c r="B214" s="87" t="s">
        <v>230</v>
      </c>
      <c r="C214" s="87" t="s">
        <v>233</v>
      </c>
      <c r="D214" s="88" t="s">
        <v>7576</v>
      </c>
      <c r="E214" s="87" t="s">
        <v>7577</v>
      </c>
      <c r="F214" s="87" t="s">
        <v>7578</v>
      </c>
      <c r="G214" s="87" t="s">
        <v>7579</v>
      </c>
      <c r="H214" s="87" t="s">
        <v>7580</v>
      </c>
      <c r="I214" s="87">
        <v>3</v>
      </c>
      <c r="J214" s="88" t="s">
        <v>7581</v>
      </c>
      <c r="K214" s="87"/>
    </row>
    <row r="215" spans="1:11" ht="118.25" customHeight="1">
      <c r="A215" s="69">
        <v>212</v>
      </c>
      <c r="B215" s="87" t="s">
        <v>230</v>
      </c>
      <c r="C215" s="87" t="s">
        <v>235</v>
      </c>
      <c r="D215" s="88" t="s">
        <v>7582</v>
      </c>
      <c r="E215" s="87" t="s">
        <v>7583</v>
      </c>
      <c r="F215" s="87" t="s">
        <v>7584</v>
      </c>
      <c r="G215" s="87" t="s">
        <v>7585</v>
      </c>
      <c r="H215" s="87" t="s">
        <v>7586</v>
      </c>
      <c r="I215" s="87">
        <v>4</v>
      </c>
      <c r="J215" s="88" t="s">
        <v>7587</v>
      </c>
      <c r="K215" s="87"/>
    </row>
    <row r="216" spans="1:11" ht="67.5" customHeight="1">
      <c r="A216" s="69">
        <v>213</v>
      </c>
      <c r="B216" s="87" t="s">
        <v>230</v>
      </c>
      <c r="C216" s="87" t="s">
        <v>233</v>
      </c>
      <c r="D216" s="88" t="s">
        <v>7588</v>
      </c>
      <c r="E216" s="87" t="s">
        <v>7589</v>
      </c>
      <c r="F216" s="87" t="s">
        <v>7590</v>
      </c>
      <c r="G216" s="87" t="s">
        <v>7591</v>
      </c>
      <c r="H216" s="87" t="s">
        <v>7592</v>
      </c>
      <c r="I216" s="87">
        <v>1</v>
      </c>
      <c r="J216" s="88" t="s">
        <v>7593</v>
      </c>
      <c r="K216" s="87"/>
    </row>
    <row r="217" spans="1:11" ht="67.5" customHeight="1">
      <c r="A217" s="69">
        <v>214</v>
      </c>
      <c r="B217" s="87" t="s">
        <v>230</v>
      </c>
      <c r="C217" s="87" t="s">
        <v>233</v>
      </c>
      <c r="D217" s="88" t="s">
        <v>7594</v>
      </c>
      <c r="E217" s="87" t="s">
        <v>7595</v>
      </c>
      <c r="F217" s="87" t="s">
        <v>7596</v>
      </c>
      <c r="G217" s="87" t="s">
        <v>7597</v>
      </c>
      <c r="H217" s="87" t="s">
        <v>7598</v>
      </c>
      <c r="I217" s="87">
        <v>4</v>
      </c>
      <c r="J217" s="88" t="s">
        <v>7599</v>
      </c>
      <c r="K217" s="87"/>
    </row>
    <row r="218" spans="1:11" ht="67.5" customHeight="1">
      <c r="A218" s="69">
        <v>215</v>
      </c>
      <c r="B218" s="87" t="s">
        <v>218</v>
      </c>
      <c r="C218" s="87" t="s">
        <v>221</v>
      </c>
      <c r="D218" s="88" t="s">
        <v>7600</v>
      </c>
      <c r="E218" s="87" t="s">
        <v>7601</v>
      </c>
      <c r="F218" s="87" t="s">
        <v>7602</v>
      </c>
      <c r="G218" s="87" t="s">
        <v>7603</v>
      </c>
      <c r="H218" s="87" t="s">
        <v>7604</v>
      </c>
      <c r="I218" s="87">
        <v>4</v>
      </c>
      <c r="J218" s="88" t="s">
        <v>7605</v>
      </c>
      <c r="K218" s="87"/>
    </row>
    <row r="219" spans="1:11" ht="84.5" customHeight="1">
      <c r="A219" s="69">
        <v>216</v>
      </c>
      <c r="B219" s="87" t="s">
        <v>218</v>
      </c>
      <c r="C219" s="87" t="s">
        <v>221</v>
      </c>
      <c r="D219" s="88" t="s">
        <v>7606</v>
      </c>
      <c r="E219" s="87" t="s">
        <v>7607</v>
      </c>
      <c r="F219" s="87" t="s">
        <v>7608</v>
      </c>
      <c r="G219" s="87" t="s">
        <v>7609</v>
      </c>
      <c r="H219" s="87" t="s">
        <v>3032</v>
      </c>
      <c r="I219" s="87">
        <v>4</v>
      </c>
      <c r="J219" s="88" t="s">
        <v>7610</v>
      </c>
      <c r="K219" s="87"/>
    </row>
    <row r="220" spans="1:11" ht="67.5" customHeight="1">
      <c r="A220" s="69">
        <v>217</v>
      </c>
      <c r="B220" s="87" t="s">
        <v>230</v>
      </c>
      <c r="C220" s="87" t="s">
        <v>233</v>
      </c>
      <c r="D220" s="88" t="s">
        <v>7611</v>
      </c>
      <c r="E220" s="87" t="s">
        <v>7612</v>
      </c>
      <c r="F220" s="87" t="s">
        <v>7613</v>
      </c>
      <c r="G220" s="87" t="s">
        <v>7614</v>
      </c>
      <c r="H220" s="87" t="s">
        <v>7615</v>
      </c>
      <c r="I220" s="87">
        <v>4</v>
      </c>
      <c r="J220" s="88" t="s">
        <v>7616</v>
      </c>
      <c r="K220" s="87"/>
    </row>
  </sheetData>
  <mergeCells count="1">
    <mergeCell ref="A2:L2"/>
  </mergeCells>
  <phoneticPr fontId="58" type="noConversion"/>
  <pageMargins left="0.75" right="0.75" top="1" bottom="1" header="0.511811023622047" footer="0.511811023622047"/>
  <pageSetup fitToHeight="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112"/>
  <sheetViews>
    <sheetView zoomScaleNormal="100" workbookViewId="0">
      <pane xSplit="3" ySplit="3" topLeftCell="G95" activePane="bottomRight" state="frozen"/>
      <selection pane="topRight" activeCell="D1" sqref="D1"/>
      <selection pane="bottomLeft" activeCell="A4" sqref="A4"/>
      <selection pane="bottomRight" activeCell="L3" sqref="L3:M3"/>
    </sheetView>
  </sheetViews>
  <sheetFormatPr baseColWidth="10" defaultColWidth="8.6640625" defaultRowHeight="15"/>
  <cols>
    <col min="1" max="1" width="6" style="6" customWidth="1"/>
    <col min="2" max="2" width="16.1640625" style="65" customWidth="1"/>
    <col min="3" max="3" width="26" style="65" customWidth="1"/>
    <col min="4" max="4" width="42" style="5" customWidth="1"/>
    <col min="5" max="8" width="20" style="5" customWidth="1"/>
    <col min="9" max="9" width="10" style="6" customWidth="1"/>
    <col min="10" max="10" width="44" style="5" customWidth="1"/>
    <col min="11" max="11" width="22" style="5" customWidth="1"/>
    <col min="12" max="12" width="8" style="5" customWidth="1"/>
    <col min="13" max="14" width="8.6640625" style="5" customWidth="1"/>
    <col min="15" max="16384" width="8.6640625" style="5"/>
  </cols>
  <sheetData>
    <row r="1" spans="1:13" ht="16.5" customHeight="1">
      <c r="A1" s="180" t="s">
        <v>7617</v>
      </c>
      <c r="B1" s="179"/>
      <c r="C1" s="179"/>
      <c r="D1" s="151"/>
      <c r="E1" s="151"/>
      <c r="F1" s="151"/>
      <c r="G1" s="151"/>
      <c r="H1" s="151"/>
      <c r="I1" s="152"/>
      <c r="J1" s="151"/>
      <c r="K1" s="151"/>
      <c r="L1" s="151"/>
    </row>
    <row r="3" spans="1:13" ht="19.5" customHeight="1">
      <c r="A3" s="8" t="s">
        <v>0</v>
      </c>
      <c r="B3" s="8" t="s">
        <v>1</v>
      </c>
      <c r="C3" s="8" t="s">
        <v>2</v>
      </c>
      <c r="D3" s="8" t="s">
        <v>3</v>
      </c>
      <c r="E3" s="8" t="s">
        <v>4</v>
      </c>
      <c r="F3" s="8" t="s">
        <v>5</v>
      </c>
      <c r="G3" s="8" t="s">
        <v>6</v>
      </c>
      <c r="H3" s="8" t="s">
        <v>7</v>
      </c>
      <c r="I3" s="8" t="s">
        <v>8</v>
      </c>
      <c r="J3" s="8" t="s">
        <v>9</v>
      </c>
      <c r="K3" s="8" t="s">
        <v>10</v>
      </c>
      <c r="L3" s="93" t="s">
        <v>737</v>
      </c>
      <c r="M3" s="94" t="s">
        <v>738</v>
      </c>
    </row>
    <row r="4" spans="1:13" ht="43.5" customHeight="1">
      <c r="A4" s="69">
        <v>1</v>
      </c>
      <c r="B4" s="70" t="s">
        <v>238</v>
      </c>
      <c r="C4" s="71" t="s">
        <v>239</v>
      </c>
      <c r="D4" s="72" t="s">
        <v>7618</v>
      </c>
      <c r="E4" s="72" t="s">
        <v>7619</v>
      </c>
      <c r="F4" s="72" t="s">
        <v>7620</v>
      </c>
      <c r="G4" s="72" t="s">
        <v>7621</v>
      </c>
      <c r="H4" s="72" t="s">
        <v>7622</v>
      </c>
      <c r="I4" s="69">
        <v>2</v>
      </c>
      <c r="J4" s="73" t="s">
        <v>7623</v>
      </c>
      <c r="K4" s="72" t="s">
        <v>7624</v>
      </c>
      <c r="L4" s="73"/>
    </row>
    <row r="5" spans="1:13" ht="55.5" customHeight="1">
      <c r="A5" s="69">
        <v>2</v>
      </c>
      <c r="B5" s="70" t="s">
        <v>238</v>
      </c>
      <c r="C5" s="71" t="s">
        <v>239</v>
      </c>
      <c r="D5" s="72" t="s">
        <v>7625</v>
      </c>
      <c r="E5" s="72" t="s">
        <v>7626</v>
      </c>
      <c r="F5" s="72" t="s">
        <v>7627</v>
      </c>
      <c r="G5" s="72" t="s">
        <v>7628</v>
      </c>
      <c r="H5" s="72" t="s">
        <v>7629</v>
      </c>
      <c r="I5" s="69">
        <v>2</v>
      </c>
      <c r="J5" s="73" t="s">
        <v>7630</v>
      </c>
      <c r="K5" s="72"/>
      <c r="L5" s="73"/>
    </row>
    <row r="6" spans="1:13" ht="42" customHeight="1">
      <c r="A6" s="69">
        <v>3</v>
      </c>
      <c r="B6" s="70" t="s">
        <v>238</v>
      </c>
      <c r="C6" s="71" t="s">
        <v>239</v>
      </c>
      <c r="D6" s="72" t="s">
        <v>7631</v>
      </c>
      <c r="E6" s="72" t="s">
        <v>7632</v>
      </c>
      <c r="F6" s="72" t="s">
        <v>7633</v>
      </c>
      <c r="G6" s="72" t="s">
        <v>7634</v>
      </c>
      <c r="H6" s="72" t="s">
        <v>7635</v>
      </c>
      <c r="I6" s="69">
        <v>1</v>
      </c>
      <c r="J6" s="73" t="s">
        <v>7636</v>
      </c>
      <c r="K6" s="75"/>
      <c r="L6" s="73"/>
    </row>
    <row r="7" spans="1:13" ht="27.75" customHeight="1">
      <c r="A7" s="69">
        <v>4</v>
      </c>
      <c r="B7" s="70" t="s">
        <v>238</v>
      </c>
      <c r="C7" s="71" t="s">
        <v>239</v>
      </c>
      <c r="D7" s="72" t="s">
        <v>7637</v>
      </c>
      <c r="E7" s="72" t="s">
        <v>7638</v>
      </c>
      <c r="F7" s="72" t="s">
        <v>7639</v>
      </c>
      <c r="G7" s="72" t="s">
        <v>7640</v>
      </c>
      <c r="H7" s="72" t="s">
        <v>7641</v>
      </c>
      <c r="I7" s="69">
        <v>1</v>
      </c>
      <c r="J7" s="73" t="s">
        <v>7642</v>
      </c>
      <c r="K7" s="72"/>
      <c r="L7" s="73"/>
    </row>
    <row r="8" spans="1:13" ht="42" customHeight="1">
      <c r="A8" s="69">
        <v>5</v>
      </c>
      <c r="B8" s="70" t="s">
        <v>238</v>
      </c>
      <c r="C8" s="71" t="s">
        <v>239</v>
      </c>
      <c r="D8" s="73" t="s">
        <v>7643</v>
      </c>
      <c r="E8" s="72" t="s">
        <v>7644</v>
      </c>
      <c r="F8" s="72" t="s">
        <v>7645</v>
      </c>
      <c r="G8" s="72" t="s">
        <v>7646</v>
      </c>
      <c r="H8" s="72" t="s">
        <v>7647</v>
      </c>
      <c r="I8" s="69">
        <v>2</v>
      </c>
      <c r="J8" s="73" t="s">
        <v>7648</v>
      </c>
      <c r="K8" s="72"/>
      <c r="L8" s="73"/>
    </row>
    <row r="9" spans="1:13" ht="42" customHeight="1">
      <c r="A9" s="69">
        <v>6</v>
      </c>
      <c r="B9" s="70" t="s">
        <v>238</v>
      </c>
      <c r="C9" s="71" t="s">
        <v>239</v>
      </c>
      <c r="D9" s="72" t="s">
        <v>7649</v>
      </c>
      <c r="E9" s="72" t="s">
        <v>7650</v>
      </c>
      <c r="F9" s="72" t="s">
        <v>7651</v>
      </c>
      <c r="G9" s="72" t="s">
        <v>7652</v>
      </c>
      <c r="H9" s="72" t="s">
        <v>7653</v>
      </c>
      <c r="I9" s="69">
        <v>3</v>
      </c>
      <c r="J9" s="73" t="s">
        <v>7654</v>
      </c>
      <c r="K9" s="72"/>
      <c r="L9" s="73"/>
    </row>
    <row r="10" spans="1:13" ht="42" customHeight="1">
      <c r="A10" s="69">
        <v>7</v>
      </c>
      <c r="B10" s="70" t="s">
        <v>238</v>
      </c>
      <c r="C10" s="71" t="s">
        <v>239</v>
      </c>
      <c r="D10" s="72" t="s">
        <v>7655</v>
      </c>
      <c r="E10" s="72" t="s">
        <v>7656</v>
      </c>
      <c r="F10" s="72" t="s">
        <v>7657</v>
      </c>
      <c r="G10" s="72" t="s">
        <v>7658</v>
      </c>
      <c r="H10" s="72" t="s">
        <v>7659</v>
      </c>
      <c r="I10" s="69">
        <v>2</v>
      </c>
      <c r="J10" s="73" t="s">
        <v>7660</v>
      </c>
      <c r="K10" s="72"/>
      <c r="L10" s="73"/>
    </row>
    <row r="11" spans="1:13" ht="42" customHeight="1">
      <c r="A11" s="69">
        <v>8</v>
      </c>
      <c r="B11" s="70" t="s">
        <v>238</v>
      </c>
      <c r="C11" s="71" t="s">
        <v>239</v>
      </c>
      <c r="D11" s="72" t="s">
        <v>7661</v>
      </c>
      <c r="E11" s="72" t="s">
        <v>7662</v>
      </c>
      <c r="F11" s="72" t="s">
        <v>7663</v>
      </c>
      <c r="G11" s="72" t="s">
        <v>7664</v>
      </c>
      <c r="H11" s="72" t="s">
        <v>7665</v>
      </c>
      <c r="I11" s="69">
        <v>3</v>
      </c>
      <c r="J11" s="73" t="s">
        <v>7666</v>
      </c>
      <c r="K11" s="72"/>
      <c r="L11" s="73"/>
    </row>
    <row r="12" spans="1:13" ht="42" customHeight="1">
      <c r="A12" s="69">
        <v>9</v>
      </c>
      <c r="B12" s="70" t="s">
        <v>238</v>
      </c>
      <c r="C12" s="71" t="s">
        <v>239</v>
      </c>
      <c r="D12" s="73" t="s">
        <v>7667</v>
      </c>
      <c r="E12" s="72" t="s">
        <v>7668</v>
      </c>
      <c r="F12" s="72" t="s">
        <v>7669</v>
      </c>
      <c r="G12" s="72" t="s">
        <v>7670</v>
      </c>
      <c r="H12" s="72" t="s">
        <v>7671</v>
      </c>
      <c r="I12" s="69">
        <v>1</v>
      </c>
      <c r="J12" s="73" t="s">
        <v>7672</v>
      </c>
      <c r="K12" s="72"/>
      <c r="L12" s="73"/>
    </row>
    <row r="13" spans="1:13" ht="55.5" customHeight="1">
      <c r="A13" s="69">
        <v>10</v>
      </c>
      <c r="B13" s="70" t="s">
        <v>238</v>
      </c>
      <c r="C13" s="71" t="s">
        <v>239</v>
      </c>
      <c r="D13" s="72" t="s">
        <v>7673</v>
      </c>
      <c r="E13" s="72" t="s">
        <v>7674</v>
      </c>
      <c r="F13" s="72" t="s">
        <v>7675</v>
      </c>
      <c r="G13" s="72" t="s">
        <v>7676</v>
      </c>
      <c r="H13" s="72" t="s">
        <v>7677</v>
      </c>
      <c r="I13" s="69">
        <v>4</v>
      </c>
      <c r="J13" s="73" t="s">
        <v>7678</v>
      </c>
      <c r="K13" s="72"/>
      <c r="L13" s="73"/>
    </row>
    <row r="14" spans="1:13" ht="43.5" customHeight="1">
      <c r="A14" s="69">
        <v>11</v>
      </c>
      <c r="B14" s="63" t="s">
        <v>238</v>
      </c>
      <c r="C14" s="64" t="s">
        <v>239</v>
      </c>
      <c r="D14" s="23" t="s">
        <v>7679</v>
      </c>
      <c r="E14" s="23" t="s">
        <v>7680</v>
      </c>
      <c r="F14" s="23" t="s">
        <v>7681</v>
      </c>
      <c r="G14" s="23" t="s">
        <v>7682</v>
      </c>
      <c r="H14" s="23" t="s">
        <v>7683</v>
      </c>
      <c r="I14" s="20">
        <v>2</v>
      </c>
      <c r="J14" s="24" t="s">
        <v>7684</v>
      </c>
      <c r="K14" s="23"/>
      <c r="L14" s="24"/>
    </row>
    <row r="15" spans="1:13" ht="27.75" customHeight="1">
      <c r="A15" s="69">
        <v>12</v>
      </c>
      <c r="B15" s="70" t="s">
        <v>238</v>
      </c>
      <c r="C15" s="71" t="s">
        <v>240</v>
      </c>
      <c r="D15" s="72" t="s">
        <v>7685</v>
      </c>
      <c r="E15" s="72" t="s">
        <v>7686</v>
      </c>
      <c r="F15" s="72" t="s">
        <v>7687</v>
      </c>
      <c r="G15" s="72" t="s">
        <v>7688</v>
      </c>
      <c r="H15" s="72" t="s">
        <v>7689</v>
      </c>
      <c r="I15" s="69">
        <v>1</v>
      </c>
      <c r="J15" s="73" t="s">
        <v>7690</v>
      </c>
      <c r="K15" s="72"/>
      <c r="L15" s="73"/>
    </row>
    <row r="16" spans="1:13" ht="27.75" customHeight="1">
      <c r="A16" s="69">
        <v>13</v>
      </c>
      <c r="B16" s="70" t="s">
        <v>238</v>
      </c>
      <c r="C16" s="71" t="s">
        <v>240</v>
      </c>
      <c r="D16" s="72" t="s">
        <v>7691</v>
      </c>
      <c r="E16" s="72" t="s">
        <v>7692</v>
      </c>
      <c r="F16" s="72" t="s">
        <v>7693</v>
      </c>
      <c r="G16" s="75" t="s">
        <v>7694</v>
      </c>
      <c r="H16" s="72" t="s">
        <v>7695</v>
      </c>
      <c r="I16" s="69">
        <v>3</v>
      </c>
      <c r="J16" s="73" t="s">
        <v>7696</v>
      </c>
      <c r="K16" s="72"/>
      <c r="L16" s="73"/>
    </row>
    <row r="17" spans="1:12" ht="27.75" customHeight="1">
      <c r="A17" s="69">
        <v>14</v>
      </c>
      <c r="B17" s="70" t="s">
        <v>238</v>
      </c>
      <c r="C17" s="71" t="s">
        <v>240</v>
      </c>
      <c r="D17" s="72" t="s">
        <v>7697</v>
      </c>
      <c r="E17" s="72" t="s">
        <v>7698</v>
      </c>
      <c r="F17" s="72" t="s">
        <v>7699</v>
      </c>
      <c r="G17" s="72" t="s">
        <v>7700</v>
      </c>
      <c r="H17" s="72" t="s">
        <v>7701</v>
      </c>
      <c r="I17" s="69">
        <v>2</v>
      </c>
      <c r="J17" s="73" t="s">
        <v>7702</v>
      </c>
      <c r="K17" s="72"/>
      <c r="L17" s="73"/>
    </row>
    <row r="18" spans="1:12" ht="42" customHeight="1">
      <c r="A18" s="69">
        <v>15</v>
      </c>
      <c r="B18" s="70" t="s">
        <v>238</v>
      </c>
      <c r="C18" s="71" t="s">
        <v>240</v>
      </c>
      <c r="D18" s="72" t="s">
        <v>7703</v>
      </c>
      <c r="E18" s="72" t="s">
        <v>7704</v>
      </c>
      <c r="F18" s="72" t="s">
        <v>7705</v>
      </c>
      <c r="G18" s="72" t="s">
        <v>7706</v>
      </c>
      <c r="H18" s="72" t="s">
        <v>4782</v>
      </c>
      <c r="I18" s="69">
        <v>1</v>
      </c>
      <c r="J18" s="73" t="s">
        <v>7707</v>
      </c>
      <c r="K18" s="72"/>
      <c r="L18" s="73"/>
    </row>
    <row r="19" spans="1:12" ht="42" customHeight="1">
      <c r="A19" s="69">
        <v>16</v>
      </c>
      <c r="B19" s="70" t="s">
        <v>238</v>
      </c>
      <c r="C19" s="71" t="s">
        <v>240</v>
      </c>
      <c r="D19" s="73" t="s">
        <v>7708</v>
      </c>
      <c r="E19" s="72" t="s">
        <v>7709</v>
      </c>
      <c r="F19" s="72" t="s">
        <v>7710</v>
      </c>
      <c r="G19" s="72" t="s">
        <v>7711</v>
      </c>
      <c r="H19" s="72" t="s">
        <v>7712</v>
      </c>
      <c r="I19" s="69">
        <v>3</v>
      </c>
      <c r="J19" s="73" t="s">
        <v>7713</v>
      </c>
      <c r="K19" s="72"/>
      <c r="L19" s="73"/>
    </row>
    <row r="20" spans="1:12" ht="42" customHeight="1">
      <c r="A20" s="69">
        <v>17</v>
      </c>
      <c r="B20" s="70" t="s">
        <v>238</v>
      </c>
      <c r="C20" s="71" t="s">
        <v>240</v>
      </c>
      <c r="D20" s="72" t="s">
        <v>7714</v>
      </c>
      <c r="E20" s="72" t="s">
        <v>7715</v>
      </c>
      <c r="F20" s="72" t="s">
        <v>7716</v>
      </c>
      <c r="G20" s="72" t="s">
        <v>5375</v>
      </c>
      <c r="H20" s="72" t="s">
        <v>7717</v>
      </c>
      <c r="I20" s="69">
        <v>4</v>
      </c>
      <c r="J20" s="73" t="s">
        <v>7718</v>
      </c>
      <c r="K20" s="72"/>
      <c r="L20" s="73"/>
    </row>
    <row r="21" spans="1:12" ht="27.75" customHeight="1">
      <c r="A21" s="69">
        <v>18</v>
      </c>
      <c r="B21" s="70" t="s">
        <v>238</v>
      </c>
      <c r="C21" s="71" t="s">
        <v>240</v>
      </c>
      <c r="D21" s="72" t="s">
        <v>7719</v>
      </c>
      <c r="E21" s="72" t="s">
        <v>7720</v>
      </c>
      <c r="F21" s="72" t="s">
        <v>7721</v>
      </c>
      <c r="G21" s="72" t="s">
        <v>7722</v>
      </c>
      <c r="H21" s="72" t="s">
        <v>7723</v>
      </c>
      <c r="I21" s="69">
        <v>3</v>
      </c>
      <c r="J21" s="73" t="s">
        <v>7724</v>
      </c>
      <c r="K21" s="72"/>
      <c r="L21" s="73"/>
    </row>
    <row r="22" spans="1:12" ht="42" customHeight="1">
      <c r="A22" s="69">
        <v>19</v>
      </c>
      <c r="B22" s="70" t="s">
        <v>238</v>
      </c>
      <c r="C22" s="71" t="s">
        <v>240</v>
      </c>
      <c r="D22" s="72" t="s">
        <v>7725</v>
      </c>
      <c r="E22" s="72" t="s">
        <v>7726</v>
      </c>
      <c r="F22" s="72" t="s">
        <v>7727</v>
      </c>
      <c r="G22" s="72" t="s">
        <v>7728</v>
      </c>
      <c r="H22" s="72" t="s">
        <v>7729</v>
      </c>
      <c r="I22" s="69">
        <v>4</v>
      </c>
      <c r="J22" s="73" t="s">
        <v>7730</v>
      </c>
      <c r="K22" s="72"/>
      <c r="L22" s="73"/>
    </row>
    <row r="23" spans="1:12" ht="55.5" customHeight="1">
      <c r="A23" s="69">
        <v>20</v>
      </c>
      <c r="B23" s="70" t="s">
        <v>238</v>
      </c>
      <c r="C23" s="71" t="s">
        <v>240</v>
      </c>
      <c r="D23" s="72" t="s">
        <v>7731</v>
      </c>
      <c r="E23" s="72" t="s">
        <v>7732</v>
      </c>
      <c r="F23" s="72" t="s">
        <v>7733</v>
      </c>
      <c r="G23" s="72" t="s">
        <v>7734</v>
      </c>
      <c r="H23" s="72" t="s">
        <v>7735</v>
      </c>
      <c r="I23" s="69">
        <v>3</v>
      </c>
      <c r="J23" s="73" t="s">
        <v>7736</v>
      </c>
      <c r="K23" s="72"/>
      <c r="L23" s="73"/>
    </row>
    <row r="24" spans="1:12" ht="43.5" customHeight="1">
      <c r="A24" s="69">
        <v>21</v>
      </c>
      <c r="B24" s="70" t="s">
        <v>238</v>
      </c>
      <c r="C24" s="71" t="s">
        <v>240</v>
      </c>
      <c r="D24" s="72" t="s">
        <v>7737</v>
      </c>
      <c r="E24" s="72" t="s">
        <v>7738</v>
      </c>
      <c r="F24" s="72" t="s">
        <v>7739</v>
      </c>
      <c r="G24" s="72" t="s">
        <v>7740</v>
      </c>
      <c r="H24" s="72" t="s">
        <v>7741</v>
      </c>
      <c r="I24" s="69">
        <v>3</v>
      </c>
      <c r="J24" s="73" t="s">
        <v>7742</v>
      </c>
      <c r="K24" s="72"/>
      <c r="L24" s="73"/>
    </row>
    <row r="25" spans="1:12" ht="55.5" customHeight="1">
      <c r="A25" s="69">
        <v>22</v>
      </c>
      <c r="B25" s="70" t="s">
        <v>238</v>
      </c>
      <c r="C25" s="71" t="s">
        <v>241</v>
      </c>
      <c r="D25" s="72" t="s">
        <v>7743</v>
      </c>
      <c r="E25" s="72" t="s">
        <v>1529</v>
      </c>
      <c r="F25" s="72" t="s">
        <v>5798</v>
      </c>
      <c r="G25" s="73" t="s">
        <v>7744</v>
      </c>
      <c r="H25" s="72" t="s">
        <v>5794</v>
      </c>
      <c r="I25" s="69">
        <v>1</v>
      </c>
      <c r="J25" s="73" t="s">
        <v>7745</v>
      </c>
      <c r="K25" s="72"/>
      <c r="L25" s="73"/>
    </row>
    <row r="26" spans="1:12" ht="55.5" customHeight="1">
      <c r="A26" s="69">
        <v>23</v>
      </c>
      <c r="B26" s="70" t="s">
        <v>238</v>
      </c>
      <c r="C26" s="71" t="s">
        <v>241</v>
      </c>
      <c r="D26" s="72" t="s">
        <v>7746</v>
      </c>
      <c r="E26" s="72" t="s">
        <v>5798</v>
      </c>
      <c r="F26" s="72" t="s">
        <v>1531</v>
      </c>
      <c r="G26" s="72" t="s">
        <v>7747</v>
      </c>
      <c r="H26" s="72" t="s">
        <v>1529</v>
      </c>
      <c r="I26" s="69">
        <v>2</v>
      </c>
      <c r="J26" s="73" t="s">
        <v>7748</v>
      </c>
      <c r="K26" s="72"/>
      <c r="L26" s="73"/>
    </row>
    <row r="27" spans="1:12" ht="42" customHeight="1">
      <c r="A27" s="69">
        <v>24</v>
      </c>
      <c r="B27" s="70" t="s">
        <v>238</v>
      </c>
      <c r="C27" s="71" t="s">
        <v>241</v>
      </c>
      <c r="D27" s="72" t="s">
        <v>7749</v>
      </c>
      <c r="E27" s="72" t="s">
        <v>7750</v>
      </c>
      <c r="F27" s="72" t="s">
        <v>5794</v>
      </c>
      <c r="G27" s="73" t="s">
        <v>7751</v>
      </c>
      <c r="H27" s="72" t="s">
        <v>7752</v>
      </c>
      <c r="I27" s="69">
        <v>3</v>
      </c>
      <c r="J27" s="73" t="s">
        <v>7753</v>
      </c>
      <c r="K27" s="72"/>
      <c r="L27" s="73"/>
    </row>
    <row r="28" spans="1:12" ht="55.5" customHeight="1">
      <c r="A28" s="69">
        <v>25</v>
      </c>
      <c r="B28" s="70" t="s">
        <v>238</v>
      </c>
      <c r="C28" s="71" t="s">
        <v>241</v>
      </c>
      <c r="D28" s="72" t="s">
        <v>7754</v>
      </c>
      <c r="E28" s="72" t="s">
        <v>7755</v>
      </c>
      <c r="F28" s="72" t="s">
        <v>7756</v>
      </c>
      <c r="G28" s="72" t="s">
        <v>7757</v>
      </c>
      <c r="H28" s="72" t="s">
        <v>7758</v>
      </c>
      <c r="I28" s="69">
        <v>4</v>
      </c>
      <c r="J28" s="73" t="s">
        <v>7759</v>
      </c>
      <c r="K28" s="72"/>
      <c r="L28" s="73"/>
    </row>
    <row r="29" spans="1:12" ht="42" customHeight="1">
      <c r="A29" s="69">
        <v>26</v>
      </c>
      <c r="B29" s="70" t="s">
        <v>238</v>
      </c>
      <c r="C29" s="71" t="s">
        <v>241</v>
      </c>
      <c r="D29" s="73" t="s">
        <v>7760</v>
      </c>
      <c r="E29" s="72" t="s">
        <v>1531</v>
      </c>
      <c r="F29" s="73" t="s">
        <v>1532</v>
      </c>
      <c r="G29" s="72" t="s">
        <v>7750</v>
      </c>
      <c r="H29" s="72" t="s">
        <v>1529</v>
      </c>
      <c r="I29" s="69">
        <v>3</v>
      </c>
      <c r="J29" s="73" t="s">
        <v>7761</v>
      </c>
      <c r="K29" s="72"/>
      <c r="L29" s="73"/>
    </row>
    <row r="30" spans="1:12" ht="42" customHeight="1">
      <c r="A30" s="69">
        <v>27</v>
      </c>
      <c r="B30" s="70" t="s">
        <v>238</v>
      </c>
      <c r="C30" s="71" t="s">
        <v>241</v>
      </c>
      <c r="D30" s="72" t="s">
        <v>7762</v>
      </c>
      <c r="E30" s="72" t="s">
        <v>7763</v>
      </c>
      <c r="F30" s="72" t="s">
        <v>5794</v>
      </c>
      <c r="G30" s="73" t="s">
        <v>1532</v>
      </c>
      <c r="H30" s="72" t="s">
        <v>1531</v>
      </c>
      <c r="I30" s="69">
        <v>2</v>
      </c>
      <c r="J30" s="73" t="s">
        <v>7764</v>
      </c>
      <c r="K30" s="72"/>
      <c r="L30" s="73"/>
    </row>
    <row r="31" spans="1:12" ht="42" customHeight="1">
      <c r="A31" s="69">
        <v>28</v>
      </c>
      <c r="B31" s="70" t="s">
        <v>238</v>
      </c>
      <c r="C31" s="71" t="s">
        <v>241</v>
      </c>
      <c r="D31" s="72" t="s">
        <v>7765</v>
      </c>
      <c r="E31" s="72" t="s">
        <v>7766</v>
      </c>
      <c r="F31" s="72" t="s">
        <v>7767</v>
      </c>
      <c r="G31" s="72" t="s">
        <v>7768</v>
      </c>
      <c r="H31" s="75" t="s">
        <v>7769</v>
      </c>
      <c r="I31" s="69">
        <v>4</v>
      </c>
      <c r="J31" s="73" t="s">
        <v>7770</v>
      </c>
      <c r="K31" s="72"/>
      <c r="L31" s="73"/>
    </row>
    <row r="32" spans="1:12" ht="42" customHeight="1">
      <c r="A32" s="69">
        <v>29</v>
      </c>
      <c r="B32" s="70" t="s">
        <v>238</v>
      </c>
      <c r="C32" s="71" t="s">
        <v>241</v>
      </c>
      <c r="D32" s="72" t="s">
        <v>7771</v>
      </c>
      <c r="E32" s="72" t="s">
        <v>7772</v>
      </c>
      <c r="F32" s="75" t="s">
        <v>7773</v>
      </c>
      <c r="G32" s="72" t="s">
        <v>7774</v>
      </c>
      <c r="H32" s="72" t="s">
        <v>7775</v>
      </c>
      <c r="I32" s="69">
        <v>1</v>
      </c>
      <c r="J32" s="73" t="s">
        <v>7776</v>
      </c>
      <c r="K32" s="72"/>
      <c r="L32" s="73"/>
    </row>
    <row r="33" spans="1:12" ht="69.75" customHeight="1">
      <c r="A33" s="69">
        <v>30</v>
      </c>
      <c r="B33" s="70" t="s">
        <v>238</v>
      </c>
      <c r="C33" s="71" t="s">
        <v>241</v>
      </c>
      <c r="D33" s="72" t="s">
        <v>7777</v>
      </c>
      <c r="E33" s="72" t="s">
        <v>7778</v>
      </c>
      <c r="F33" s="72" t="s">
        <v>7779</v>
      </c>
      <c r="G33" s="72" t="s">
        <v>7780</v>
      </c>
      <c r="H33" s="72" t="s">
        <v>7781</v>
      </c>
      <c r="I33" s="69">
        <v>2</v>
      </c>
      <c r="J33" s="73" t="s">
        <v>7782</v>
      </c>
      <c r="K33" s="72"/>
      <c r="L33" s="73"/>
    </row>
    <row r="34" spans="1:12" ht="57.75" customHeight="1">
      <c r="A34" s="69">
        <v>31</v>
      </c>
      <c r="B34" s="70" t="s">
        <v>238</v>
      </c>
      <c r="C34" s="71" t="s">
        <v>241</v>
      </c>
      <c r="D34" s="72" t="s">
        <v>7783</v>
      </c>
      <c r="E34" s="72" t="s">
        <v>7784</v>
      </c>
      <c r="F34" s="72" t="s">
        <v>7785</v>
      </c>
      <c r="G34" s="72" t="s">
        <v>7786</v>
      </c>
      <c r="H34" s="72" t="s">
        <v>7787</v>
      </c>
      <c r="I34" s="69">
        <v>3</v>
      </c>
      <c r="J34" s="73" t="s">
        <v>7788</v>
      </c>
      <c r="K34" s="72"/>
      <c r="L34" s="73"/>
    </row>
    <row r="35" spans="1:12" ht="55.5" customHeight="1">
      <c r="A35" s="69">
        <v>32</v>
      </c>
      <c r="B35" s="70" t="s">
        <v>238</v>
      </c>
      <c r="C35" s="71" t="s">
        <v>242</v>
      </c>
      <c r="D35" s="72" t="s">
        <v>7789</v>
      </c>
      <c r="E35" s="72" t="s">
        <v>7790</v>
      </c>
      <c r="F35" s="72" t="s">
        <v>7791</v>
      </c>
      <c r="G35" s="72" t="s">
        <v>7792</v>
      </c>
      <c r="H35" s="72" t="s">
        <v>7793</v>
      </c>
      <c r="I35" s="69">
        <v>2</v>
      </c>
      <c r="J35" s="73" t="s">
        <v>7794</v>
      </c>
      <c r="K35" s="72" t="s">
        <v>7795</v>
      </c>
      <c r="L35" s="73"/>
    </row>
    <row r="36" spans="1:12" ht="42" customHeight="1">
      <c r="A36" s="69">
        <v>33</v>
      </c>
      <c r="B36" s="70" t="s">
        <v>238</v>
      </c>
      <c r="C36" s="71" t="s">
        <v>242</v>
      </c>
      <c r="D36" s="72" t="s">
        <v>7796</v>
      </c>
      <c r="E36" s="73" t="s">
        <v>7797</v>
      </c>
      <c r="F36" s="72" t="s">
        <v>7798</v>
      </c>
      <c r="G36" s="72" t="s">
        <v>7799</v>
      </c>
      <c r="H36" s="72" t="s">
        <v>7800</v>
      </c>
      <c r="I36" s="69">
        <v>1</v>
      </c>
      <c r="J36" s="73" t="s">
        <v>7801</v>
      </c>
      <c r="K36" s="72" t="s">
        <v>7795</v>
      </c>
      <c r="L36" s="73"/>
    </row>
    <row r="37" spans="1:12" ht="27.75" customHeight="1">
      <c r="A37" s="69">
        <v>34</v>
      </c>
      <c r="B37" s="70" t="s">
        <v>238</v>
      </c>
      <c r="C37" s="71" t="s">
        <v>242</v>
      </c>
      <c r="D37" s="72" t="s">
        <v>7802</v>
      </c>
      <c r="E37" s="72" t="s">
        <v>7803</v>
      </c>
      <c r="F37" s="72" t="s">
        <v>7804</v>
      </c>
      <c r="G37" s="72" t="s">
        <v>7805</v>
      </c>
      <c r="H37" s="72" t="s">
        <v>7806</v>
      </c>
      <c r="I37" s="69">
        <v>4</v>
      </c>
      <c r="J37" s="73" t="s">
        <v>7807</v>
      </c>
      <c r="K37" s="72" t="s">
        <v>7795</v>
      </c>
      <c r="L37" s="73"/>
    </row>
    <row r="38" spans="1:12" ht="42" customHeight="1">
      <c r="A38" s="69">
        <v>35</v>
      </c>
      <c r="B38" s="70" t="s">
        <v>238</v>
      </c>
      <c r="C38" s="71" t="s">
        <v>242</v>
      </c>
      <c r="D38" s="72" t="s">
        <v>7808</v>
      </c>
      <c r="E38" s="72" t="s">
        <v>7809</v>
      </c>
      <c r="F38" s="72" t="s">
        <v>7810</v>
      </c>
      <c r="G38" s="72" t="s">
        <v>7811</v>
      </c>
      <c r="H38" s="72" t="s">
        <v>7812</v>
      </c>
      <c r="I38" s="69">
        <v>1</v>
      </c>
      <c r="J38" s="73" t="s">
        <v>7813</v>
      </c>
      <c r="K38" s="72" t="s">
        <v>7795</v>
      </c>
      <c r="L38" s="73"/>
    </row>
    <row r="39" spans="1:12" ht="27.75" customHeight="1">
      <c r="A39" s="69">
        <v>36</v>
      </c>
      <c r="B39" s="70" t="s">
        <v>238</v>
      </c>
      <c r="C39" s="71" t="s">
        <v>242</v>
      </c>
      <c r="D39" s="73" t="s">
        <v>7814</v>
      </c>
      <c r="E39" s="72" t="s">
        <v>7815</v>
      </c>
      <c r="F39" s="72" t="s">
        <v>7816</v>
      </c>
      <c r="G39" s="72" t="s">
        <v>7817</v>
      </c>
      <c r="H39" s="72" t="s">
        <v>7818</v>
      </c>
      <c r="I39" s="69">
        <v>3</v>
      </c>
      <c r="J39" s="73" t="s">
        <v>7819</v>
      </c>
      <c r="K39" s="72" t="s">
        <v>7795</v>
      </c>
      <c r="L39" s="73"/>
    </row>
    <row r="40" spans="1:12" ht="55.5" customHeight="1">
      <c r="A40" s="69">
        <v>37</v>
      </c>
      <c r="B40" s="70" t="s">
        <v>238</v>
      </c>
      <c r="C40" s="71" t="s">
        <v>242</v>
      </c>
      <c r="D40" s="72" t="s">
        <v>7820</v>
      </c>
      <c r="E40" s="72" t="s">
        <v>7821</v>
      </c>
      <c r="F40" s="72" t="s">
        <v>7822</v>
      </c>
      <c r="G40" s="72" t="s">
        <v>7823</v>
      </c>
      <c r="H40" s="72" t="s">
        <v>7824</v>
      </c>
      <c r="I40" s="69">
        <v>2</v>
      </c>
      <c r="J40" s="73" t="s">
        <v>7825</v>
      </c>
      <c r="K40" s="72" t="s">
        <v>7795</v>
      </c>
      <c r="L40" s="73"/>
    </row>
    <row r="41" spans="1:12" ht="55.5" customHeight="1">
      <c r="A41" s="69">
        <v>38</v>
      </c>
      <c r="B41" s="70" t="s">
        <v>238</v>
      </c>
      <c r="C41" s="71" t="s">
        <v>242</v>
      </c>
      <c r="D41" s="72" t="s">
        <v>7826</v>
      </c>
      <c r="E41" s="72" t="s">
        <v>7827</v>
      </c>
      <c r="F41" s="72" t="s">
        <v>7828</v>
      </c>
      <c r="G41" s="72" t="s">
        <v>7829</v>
      </c>
      <c r="H41" s="72" t="s">
        <v>7830</v>
      </c>
      <c r="I41" s="69">
        <v>2</v>
      </c>
      <c r="J41" s="73" t="s">
        <v>7831</v>
      </c>
      <c r="K41" s="72" t="s">
        <v>7795</v>
      </c>
      <c r="L41" s="73"/>
    </row>
    <row r="42" spans="1:12" ht="27.75" customHeight="1">
      <c r="A42" s="69">
        <v>39</v>
      </c>
      <c r="B42" s="70" t="s">
        <v>238</v>
      </c>
      <c r="C42" s="71" t="s">
        <v>242</v>
      </c>
      <c r="D42" s="72" t="s">
        <v>7832</v>
      </c>
      <c r="E42" s="72" t="s">
        <v>7833</v>
      </c>
      <c r="F42" s="72" t="s">
        <v>7834</v>
      </c>
      <c r="G42" s="72" t="s">
        <v>7835</v>
      </c>
      <c r="H42" s="72" t="s">
        <v>7836</v>
      </c>
      <c r="I42" s="69">
        <v>1</v>
      </c>
      <c r="J42" s="73" t="s">
        <v>7837</v>
      </c>
      <c r="K42" s="72" t="s">
        <v>7795</v>
      </c>
      <c r="L42" s="73"/>
    </row>
    <row r="43" spans="1:12" ht="55.5" customHeight="1">
      <c r="A43" s="69">
        <v>40</v>
      </c>
      <c r="B43" s="70" t="s">
        <v>238</v>
      </c>
      <c r="C43" s="71" t="s">
        <v>242</v>
      </c>
      <c r="D43" s="72" t="s">
        <v>7838</v>
      </c>
      <c r="E43" s="72" t="s">
        <v>7839</v>
      </c>
      <c r="F43" s="72" t="s">
        <v>7840</v>
      </c>
      <c r="G43" s="72" t="s">
        <v>7841</v>
      </c>
      <c r="H43" s="72" t="s">
        <v>7842</v>
      </c>
      <c r="I43" s="69">
        <v>4</v>
      </c>
      <c r="J43" s="73" t="s">
        <v>7843</v>
      </c>
      <c r="K43" s="72" t="s">
        <v>7795</v>
      </c>
      <c r="L43" s="73"/>
    </row>
    <row r="44" spans="1:12" ht="43.5" customHeight="1">
      <c r="A44" s="69">
        <v>41</v>
      </c>
      <c r="B44" s="70" t="s">
        <v>238</v>
      </c>
      <c r="C44" s="71" t="s">
        <v>242</v>
      </c>
      <c r="D44" s="72" t="s">
        <v>7844</v>
      </c>
      <c r="E44" s="72" t="s">
        <v>7845</v>
      </c>
      <c r="F44" s="72" t="s">
        <v>7846</v>
      </c>
      <c r="G44" s="72" t="s">
        <v>7847</v>
      </c>
      <c r="H44" s="72" t="s">
        <v>7848</v>
      </c>
      <c r="I44" s="69">
        <v>4</v>
      </c>
      <c r="J44" s="73" t="s">
        <v>7849</v>
      </c>
      <c r="K44" s="72" t="s">
        <v>7795</v>
      </c>
      <c r="L44" s="73"/>
    </row>
    <row r="45" spans="1:12" ht="55.5" customHeight="1">
      <c r="A45" s="69">
        <v>42</v>
      </c>
      <c r="B45" s="70" t="s">
        <v>238</v>
      </c>
      <c r="C45" s="71" t="s">
        <v>243</v>
      </c>
      <c r="D45" s="72" t="s">
        <v>7850</v>
      </c>
      <c r="E45" s="72" t="s">
        <v>7851</v>
      </c>
      <c r="F45" s="72" t="s">
        <v>7852</v>
      </c>
      <c r="G45" s="72" t="s">
        <v>7853</v>
      </c>
      <c r="H45" s="72" t="s">
        <v>7854</v>
      </c>
      <c r="I45" s="69">
        <v>2</v>
      </c>
      <c r="J45" s="73" t="s">
        <v>7855</v>
      </c>
      <c r="K45" s="72" t="s">
        <v>7856</v>
      </c>
      <c r="L45" s="73"/>
    </row>
    <row r="46" spans="1:12" ht="42" customHeight="1">
      <c r="A46" s="69">
        <v>43</v>
      </c>
      <c r="B46" s="70" t="s">
        <v>238</v>
      </c>
      <c r="C46" s="71" t="s">
        <v>243</v>
      </c>
      <c r="D46" s="72" t="s">
        <v>7857</v>
      </c>
      <c r="E46" s="73" t="s">
        <v>7858</v>
      </c>
      <c r="F46" s="73" t="s">
        <v>7859</v>
      </c>
      <c r="G46" s="73" t="s">
        <v>7860</v>
      </c>
      <c r="H46" s="73" t="s">
        <v>7861</v>
      </c>
      <c r="I46" s="69">
        <v>2</v>
      </c>
      <c r="J46" s="73" t="s">
        <v>7862</v>
      </c>
      <c r="K46" s="73" t="s">
        <v>7863</v>
      </c>
      <c r="L46" s="73"/>
    </row>
    <row r="47" spans="1:12" ht="42" customHeight="1">
      <c r="A47" s="69">
        <v>44</v>
      </c>
      <c r="B47" s="70" t="s">
        <v>238</v>
      </c>
      <c r="C47" s="71" t="s">
        <v>243</v>
      </c>
      <c r="D47" s="72" t="s">
        <v>7864</v>
      </c>
      <c r="E47" s="73" t="s">
        <v>7860</v>
      </c>
      <c r="F47" s="73" t="s">
        <v>7858</v>
      </c>
      <c r="G47" s="73" t="s">
        <v>7861</v>
      </c>
      <c r="H47" s="73" t="s">
        <v>7859</v>
      </c>
      <c r="I47" s="69">
        <v>2</v>
      </c>
      <c r="J47" s="73" t="s">
        <v>7865</v>
      </c>
      <c r="K47" s="73" t="s">
        <v>7863</v>
      </c>
      <c r="L47" s="73"/>
    </row>
    <row r="48" spans="1:12" ht="42" customHeight="1">
      <c r="A48" s="69">
        <v>45</v>
      </c>
      <c r="B48" s="70" t="s">
        <v>238</v>
      </c>
      <c r="C48" s="71" t="s">
        <v>243</v>
      </c>
      <c r="D48" s="72" t="s">
        <v>7866</v>
      </c>
      <c r="E48" s="73" t="s">
        <v>7860</v>
      </c>
      <c r="F48" s="73" t="s">
        <v>7867</v>
      </c>
      <c r="G48" s="73" t="s">
        <v>7861</v>
      </c>
      <c r="H48" s="73" t="s">
        <v>7859</v>
      </c>
      <c r="I48" s="69">
        <v>1</v>
      </c>
      <c r="J48" s="73" t="s">
        <v>7868</v>
      </c>
      <c r="K48" s="73" t="s">
        <v>7863</v>
      </c>
      <c r="L48" s="73"/>
    </row>
    <row r="49" spans="1:12" ht="42" customHeight="1">
      <c r="A49" s="69">
        <v>46</v>
      </c>
      <c r="B49" s="70" t="s">
        <v>238</v>
      </c>
      <c r="C49" s="71" t="s">
        <v>243</v>
      </c>
      <c r="D49" s="72" t="s">
        <v>7869</v>
      </c>
      <c r="E49" s="72" t="s">
        <v>7870</v>
      </c>
      <c r="F49" s="72" t="s">
        <v>7871</v>
      </c>
      <c r="G49" s="72" t="s">
        <v>7872</v>
      </c>
      <c r="H49" s="72" t="s">
        <v>7873</v>
      </c>
      <c r="I49" s="69">
        <v>4</v>
      </c>
      <c r="J49" s="73" t="s">
        <v>7874</v>
      </c>
      <c r="K49" s="73"/>
      <c r="L49" s="73"/>
    </row>
    <row r="50" spans="1:12" ht="69.75" customHeight="1">
      <c r="A50" s="69">
        <v>47</v>
      </c>
      <c r="B50" s="70" t="s">
        <v>238</v>
      </c>
      <c r="C50" s="71" t="s">
        <v>243</v>
      </c>
      <c r="D50" s="72" t="s">
        <v>7875</v>
      </c>
      <c r="E50" s="72" t="s">
        <v>7876</v>
      </c>
      <c r="F50" s="72" t="s">
        <v>7877</v>
      </c>
      <c r="G50" s="72" t="s">
        <v>7878</v>
      </c>
      <c r="H50" s="72" t="s">
        <v>7879</v>
      </c>
      <c r="I50" s="69">
        <v>2</v>
      </c>
      <c r="J50" s="73" t="s">
        <v>7880</v>
      </c>
      <c r="K50" s="73"/>
      <c r="L50" s="73"/>
    </row>
    <row r="51" spans="1:12" ht="55.5" customHeight="1">
      <c r="A51" s="69">
        <v>48</v>
      </c>
      <c r="B51" s="70" t="s">
        <v>238</v>
      </c>
      <c r="C51" s="71" t="s">
        <v>243</v>
      </c>
      <c r="D51" s="72" t="s">
        <v>7881</v>
      </c>
      <c r="E51" s="72" t="s">
        <v>7882</v>
      </c>
      <c r="F51" s="72" t="s">
        <v>7883</v>
      </c>
      <c r="G51" s="72" t="s">
        <v>7884</v>
      </c>
      <c r="H51" s="72" t="s">
        <v>7885</v>
      </c>
      <c r="I51" s="69">
        <v>3</v>
      </c>
      <c r="J51" s="73" t="s">
        <v>7886</v>
      </c>
      <c r="K51" s="73"/>
      <c r="L51" s="73"/>
    </row>
    <row r="52" spans="1:12" ht="55.5" customHeight="1">
      <c r="A52" s="69">
        <v>49</v>
      </c>
      <c r="B52" s="70" t="s">
        <v>238</v>
      </c>
      <c r="C52" s="71" t="s">
        <v>243</v>
      </c>
      <c r="D52" s="72" t="s">
        <v>7887</v>
      </c>
      <c r="E52" s="72" t="s">
        <v>7888</v>
      </c>
      <c r="F52" s="72" t="s">
        <v>7889</v>
      </c>
      <c r="G52" s="72" t="s">
        <v>7890</v>
      </c>
      <c r="H52" s="72" t="s">
        <v>7891</v>
      </c>
      <c r="I52" s="69">
        <v>3</v>
      </c>
      <c r="J52" s="73" t="s">
        <v>7892</v>
      </c>
      <c r="K52" s="73"/>
      <c r="L52" s="73"/>
    </row>
    <row r="53" spans="1:12" ht="42" customHeight="1">
      <c r="A53" s="69">
        <v>50</v>
      </c>
      <c r="B53" s="70" t="s">
        <v>238</v>
      </c>
      <c r="C53" s="71" t="s">
        <v>243</v>
      </c>
      <c r="D53" s="72" t="s">
        <v>7893</v>
      </c>
      <c r="E53" s="72" t="s">
        <v>7894</v>
      </c>
      <c r="F53" s="72" t="s">
        <v>7895</v>
      </c>
      <c r="G53" s="72" t="s">
        <v>7896</v>
      </c>
      <c r="H53" s="72" t="s">
        <v>7897</v>
      </c>
      <c r="I53" s="69">
        <v>2</v>
      </c>
      <c r="J53" s="73" t="s">
        <v>7898</v>
      </c>
      <c r="K53" s="73"/>
      <c r="L53" s="73"/>
    </row>
    <row r="54" spans="1:12" ht="43.5" customHeight="1">
      <c r="A54" s="69">
        <v>51</v>
      </c>
      <c r="B54" s="70" t="s">
        <v>238</v>
      </c>
      <c r="C54" s="71" t="s">
        <v>243</v>
      </c>
      <c r="D54" s="73" t="s">
        <v>7899</v>
      </c>
      <c r="E54" s="72" t="s">
        <v>7900</v>
      </c>
      <c r="F54" s="72" t="s">
        <v>7901</v>
      </c>
      <c r="G54" s="72" t="s">
        <v>7902</v>
      </c>
      <c r="H54" s="72" t="s">
        <v>7903</v>
      </c>
      <c r="I54" s="69">
        <v>4</v>
      </c>
      <c r="J54" s="73" t="s">
        <v>7904</v>
      </c>
      <c r="K54" s="73"/>
      <c r="L54" s="73"/>
    </row>
    <row r="55" spans="1:12" ht="42" customHeight="1">
      <c r="A55" s="69">
        <v>52</v>
      </c>
      <c r="B55" s="70" t="s">
        <v>244</v>
      </c>
      <c r="C55" s="71" t="s">
        <v>245</v>
      </c>
      <c r="D55" s="72" t="s">
        <v>7905</v>
      </c>
      <c r="E55" s="72" t="s">
        <v>7906</v>
      </c>
      <c r="F55" s="72" t="s">
        <v>7907</v>
      </c>
      <c r="G55" s="72" t="s">
        <v>7908</v>
      </c>
      <c r="H55" s="72" t="s">
        <v>7909</v>
      </c>
      <c r="I55" s="69">
        <v>1</v>
      </c>
      <c r="J55" s="73" t="s">
        <v>7910</v>
      </c>
      <c r="K55" s="72" t="s">
        <v>6815</v>
      </c>
      <c r="L55" s="73"/>
    </row>
    <row r="56" spans="1:12" ht="55.5" customHeight="1">
      <c r="A56" s="69">
        <v>53</v>
      </c>
      <c r="B56" s="70" t="s">
        <v>244</v>
      </c>
      <c r="C56" s="71" t="s">
        <v>245</v>
      </c>
      <c r="D56" s="72" t="s">
        <v>7911</v>
      </c>
      <c r="E56" s="73" t="s">
        <v>6350</v>
      </c>
      <c r="F56" s="73" t="s">
        <v>7912</v>
      </c>
      <c r="G56" s="73" t="s">
        <v>6349</v>
      </c>
      <c r="H56" s="73" t="s">
        <v>6351</v>
      </c>
      <c r="I56" s="69">
        <v>1</v>
      </c>
      <c r="J56" s="73" t="s">
        <v>7913</v>
      </c>
      <c r="K56" s="72" t="s">
        <v>5677</v>
      </c>
      <c r="L56" s="73"/>
    </row>
    <row r="57" spans="1:12" ht="27.75" customHeight="1">
      <c r="A57" s="69">
        <v>54</v>
      </c>
      <c r="B57" s="70" t="s">
        <v>244</v>
      </c>
      <c r="C57" s="71" t="s">
        <v>245</v>
      </c>
      <c r="D57" s="72" t="s">
        <v>7914</v>
      </c>
      <c r="E57" s="72" t="s">
        <v>7915</v>
      </c>
      <c r="F57" s="72" t="s">
        <v>7916</v>
      </c>
      <c r="G57" s="72" t="s">
        <v>7917</v>
      </c>
      <c r="H57" s="72" t="s">
        <v>7918</v>
      </c>
      <c r="I57" s="69">
        <v>1</v>
      </c>
      <c r="J57" s="73" t="s">
        <v>7919</v>
      </c>
      <c r="K57" s="72" t="s">
        <v>6790</v>
      </c>
      <c r="L57" s="73"/>
    </row>
    <row r="58" spans="1:12" ht="42" customHeight="1">
      <c r="A58" s="69">
        <v>55</v>
      </c>
      <c r="B58" s="70" t="s">
        <v>244</v>
      </c>
      <c r="C58" s="71" t="s">
        <v>245</v>
      </c>
      <c r="D58" s="72" t="s">
        <v>7920</v>
      </c>
      <c r="E58" s="72" t="s">
        <v>7921</v>
      </c>
      <c r="F58" s="72" t="s">
        <v>7922</v>
      </c>
      <c r="G58" s="72" t="s">
        <v>5636</v>
      </c>
      <c r="H58" s="72" t="s">
        <v>7923</v>
      </c>
      <c r="I58" s="69">
        <v>3</v>
      </c>
      <c r="J58" s="73" t="s">
        <v>7924</v>
      </c>
      <c r="K58" s="72" t="s">
        <v>3473</v>
      </c>
      <c r="L58" s="73"/>
    </row>
    <row r="59" spans="1:12" ht="42" customHeight="1">
      <c r="A59" s="69">
        <v>56</v>
      </c>
      <c r="B59" s="70" t="s">
        <v>244</v>
      </c>
      <c r="C59" s="71" t="s">
        <v>245</v>
      </c>
      <c r="D59" s="72" t="s">
        <v>7925</v>
      </c>
      <c r="E59" s="72" t="s">
        <v>7926</v>
      </c>
      <c r="F59" s="72" t="s">
        <v>7909</v>
      </c>
      <c r="G59" s="72" t="s">
        <v>7908</v>
      </c>
      <c r="H59" s="72" t="s">
        <v>7907</v>
      </c>
      <c r="I59" s="69">
        <v>1</v>
      </c>
      <c r="J59" s="73" t="s">
        <v>7927</v>
      </c>
      <c r="K59" s="72" t="s">
        <v>6790</v>
      </c>
      <c r="L59" s="73"/>
    </row>
    <row r="60" spans="1:12" ht="27.75" customHeight="1">
      <c r="A60" s="69">
        <v>57</v>
      </c>
      <c r="B60" s="70" t="s">
        <v>244</v>
      </c>
      <c r="C60" s="71" t="s">
        <v>245</v>
      </c>
      <c r="D60" s="72" t="s">
        <v>7928</v>
      </c>
      <c r="E60" s="72" t="s">
        <v>7929</v>
      </c>
      <c r="F60" s="72" t="s">
        <v>7930</v>
      </c>
      <c r="G60" s="72" t="s">
        <v>7931</v>
      </c>
      <c r="H60" s="72" t="s">
        <v>7932</v>
      </c>
      <c r="I60" s="69">
        <v>3</v>
      </c>
      <c r="J60" s="73" t="s">
        <v>7933</v>
      </c>
      <c r="K60" s="72" t="s">
        <v>6790</v>
      </c>
      <c r="L60" s="73"/>
    </row>
    <row r="61" spans="1:12" ht="42" customHeight="1">
      <c r="A61" s="69">
        <v>58</v>
      </c>
      <c r="B61" s="70" t="s">
        <v>244</v>
      </c>
      <c r="C61" s="71" t="s">
        <v>245</v>
      </c>
      <c r="D61" s="72" t="s">
        <v>7934</v>
      </c>
      <c r="E61" s="72" t="s">
        <v>7935</v>
      </c>
      <c r="F61" s="72" t="s">
        <v>7936</v>
      </c>
      <c r="G61" s="72" t="s">
        <v>7937</v>
      </c>
      <c r="H61" s="72" t="s">
        <v>7938</v>
      </c>
      <c r="I61" s="69">
        <v>3</v>
      </c>
      <c r="J61" s="73" t="s">
        <v>7939</v>
      </c>
      <c r="K61" s="72" t="s">
        <v>6790</v>
      </c>
      <c r="L61" s="73"/>
    </row>
    <row r="62" spans="1:12" ht="42" customHeight="1">
      <c r="A62" s="69">
        <v>59</v>
      </c>
      <c r="B62" s="70" t="s">
        <v>244</v>
      </c>
      <c r="C62" s="71" t="s">
        <v>245</v>
      </c>
      <c r="D62" s="72" t="s">
        <v>7940</v>
      </c>
      <c r="E62" s="72" t="s">
        <v>7941</v>
      </c>
      <c r="F62" s="72" t="s">
        <v>7942</v>
      </c>
      <c r="G62" s="72" t="s">
        <v>6810</v>
      </c>
      <c r="H62" s="72" t="s">
        <v>7943</v>
      </c>
      <c r="I62" s="69">
        <v>4</v>
      </c>
      <c r="J62" s="73" t="s">
        <v>7944</v>
      </c>
      <c r="K62" s="72" t="s">
        <v>6790</v>
      </c>
      <c r="L62" s="73"/>
    </row>
    <row r="63" spans="1:12" ht="42" customHeight="1">
      <c r="A63" s="69">
        <v>60</v>
      </c>
      <c r="B63" s="70" t="s">
        <v>244</v>
      </c>
      <c r="C63" s="71" t="s">
        <v>245</v>
      </c>
      <c r="D63" s="72" t="s">
        <v>7945</v>
      </c>
      <c r="E63" s="72" t="s">
        <v>7946</v>
      </c>
      <c r="F63" s="72" t="s">
        <v>7947</v>
      </c>
      <c r="G63" s="72" t="s">
        <v>7948</v>
      </c>
      <c r="H63" s="72" t="s">
        <v>7122</v>
      </c>
      <c r="I63" s="69">
        <v>2</v>
      </c>
      <c r="J63" s="73" t="s">
        <v>7949</v>
      </c>
      <c r="K63" s="72" t="s">
        <v>6790</v>
      </c>
      <c r="L63" s="73"/>
    </row>
    <row r="64" spans="1:12" ht="43.5" customHeight="1">
      <c r="A64" s="69">
        <v>61</v>
      </c>
      <c r="B64" s="70" t="s">
        <v>244</v>
      </c>
      <c r="C64" s="71" t="s">
        <v>245</v>
      </c>
      <c r="D64" s="73" t="s">
        <v>7950</v>
      </c>
      <c r="E64" s="72" t="s">
        <v>7951</v>
      </c>
      <c r="F64" s="72" t="s">
        <v>7163</v>
      </c>
      <c r="G64" s="72" t="s">
        <v>7952</v>
      </c>
      <c r="H64" s="72" t="s">
        <v>7953</v>
      </c>
      <c r="I64" s="69">
        <v>4</v>
      </c>
      <c r="J64" s="73" t="s">
        <v>7954</v>
      </c>
      <c r="K64" s="72" t="s">
        <v>6790</v>
      </c>
      <c r="L64" s="73"/>
    </row>
    <row r="65" spans="1:12" ht="27.75" customHeight="1">
      <c r="A65" s="69">
        <v>62</v>
      </c>
      <c r="B65" s="70" t="s">
        <v>244</v>
      </c>
      <c r="C65" s="71" t="s">
        <v>246</v>
      </c>
      <c r="D65" s="72" t="s">
        <v>7955</v>
      </c>
      <c r="E65" s="72" t="s">
        <v>7956</v>
      </c>
      <c r="F65" s="72" t="s">
        <v>7957</v>
      </c>
      <c r="G65" s="72" t="s">
        <v>7958</v>
      </c>
      <c r="H65" s="72" t="s">
        <v>7959</v>
      </c>
      <c r="I65" s="69">
        <v>2</v>
      </c>
      <c r="J65" s="73" t="s">
        <v>7960</v>
      </c>
      <c r="K65" s="72" t="s">
        <v>6608</v>
      </c>
      <c r="L65" s="73"/>
    </row>
    <row r="66" spans="1:12" ht="42" customHeight="1">
      <c r="A66" s="69">
        <v>63</v>
      </c>
      <c r="B66" s="70" t="s">
        <v>244</v>
      </c>
      <c r="C66" s="71" t="s">
        <v>246</v>
      </c>
      <c r="D66" s="72" t="s">
        <v>7961</v>
      </c>
      <c r="E66" s="72" t="s">
        <v>7962</v>
      </c>
      <c r="F66" s="72" t="s">
        <v>7963</v>
      </c>
      <c r="G66" s="72" t="s">
        <v>7964</v>
      </c>
      <c r="H66" s="72" t="s">
        <v>7965</v>
      </c>
      <c r="I66" s="69">
        <v>3</v>
      </c>
      <c r="J66" s="73" t="s">
        <v>7966</v>
      </c>
      <c r="K66" s="72" t="s">
        <v>6608</v>
      </c>
      <c r="L66" s="73"/>
    </row>
    <row r="67" spans="1:12" ht="42" customHeight="1">
      <c r="A67" s="69">
        <v>64</v>
      </c>
      <c r="B67" s="70" t="s">
        <v>244</v>
      </c>
      <c r="C67" s="71" t="s">
        <v>246</v>
      </c>
      <c r="D67" s="72" t="s">
        <v>7967</v>
      </c>
      <c r="E67" s="72" t="s">
        <v>7968</v>
      </c>
      <c r="F67" s="72" t="s">
        <v>7969</v>
      </c>
      <c r="G67" s="72" t="s">
        <v>7970</v>
      </c>
      <c r="H67" s="72" t="s">
        <v>7971</v>
      </c>
      <c r="I67" s="69">
        <v>4</v>
      </c>
      <c r="J67" s="73" t="s">
        <v>7972</v>
      </c>
      <c r="K67" s="72" t="s">
        <v>6608</v>
      </c>
      <c r="L67" s="73"/>
    </row>
    <row r="68" spans="1:12" ht="55.5" customHeight="1">
      <c r="A68" s="69">
        <v>65</v>
      </c>
      <c r="B68" s="70" t="s">
        <v>244</v>
      </c>
      <c r="C68" s="71" t="s">
        <v>246</v>
      </c>
      <c r="D68" s="72" t="s">
        <v>7973</v>
      </c>
      <c r="E68" s="72" t="s">
        <v>7974</v>
      </c>
      <c r="F68" s="72" t="s">
        <v>7975</v>
      </c>
      <c r="G68" s="72" t="s">
        <v>7976</v>
      </c>
      <c r="H68" s="72" t="s">
        <v>7977</v>
      </c>
      <c r="I68" s="69">
        <v>4</v>
      </c>
      <c r="J68" s="73" t="s">
        <v>7978</v>
      </c>
      <c r="K68" s="72" t="s">
        <v>3461</v>
      </c>
      <c r="L68" s="73"/>
    </row>
    <row r="69" spans="1:12" ht="42" customHeight="1">
      <c r="A69" s="69">
        <v>66</v>
      </c>
      <c r="B69" s="70" t="s">
        <v>244</v>
      </c>
      <c r="C69" s="71" t="s">
        <v>246</v>
      </c>
      <c r="D69" s="72" t="s">
        <v>7979</v>
      </c>
      <c r="E69" s="72" t="s">
        <v>7980</v>
      </c>
      <c r="F69" s="72" t="s">
        <v>7981</v>
      </c>
      <c r="G69" s="72" t="s">
        <v>7982</v>
      </c>
      <c r="H69" s="72" t="s">
        <v>7983</v>
      </c>
      <c r="I69" s="69">
        <v>4</v>
      </c>
      <c r="J69" s="73" t="s">
        <v>7984</v>
      </c>
      <c r="K69" s="72" t="s">
        <v>7985</v>
      </c>
      <c r="L69" s="73"/>
    </row>
    <row r="70" spans="1:12" ht="55.5" customHeight="1">
      <c r="A70" s="69">
        <v>67</v>
      </c>
      <c r="B70" s="70" t="s">
        <v>244</v>
      </c>
      <c r="C70" s="71" t="s">
        <v>246</v>
      </c>
      <c r="D70" s="72" t="s">
        <v>7986</v>
      </c>
      <c r="E70" s="72" t="s">
        <v>7987</v>
      </c>
      <c r="F70" s="72" t="s">
        <v>7988</v>
      </c>
      <c r="G70" s="72" t="s">
        <v>6611</v>
      </c>
      <c r="H70" s="72" t="s">
        <v>7989</v>
      </c>
      <c r="I70" s="69">
        <v>1</v>
      </c>
      <c r="J70" s="73" t="s">
        <v>7990</v>
      </c>
      <c r="K70" s="72" t="s">
        <v>6608</v>
      </c>
      <c r="L70" s="73"/>
    </row>
    <row r="71" spans="1:12" ht="55.5" customHeight="1">
      <c r="A71" s="69">
        <v>68</v>
      </c>
      <c r="B71" s="70" t="s">
        <v>244</v>
      </c>
      <c r="C71" s="71" t="s">
        <v>246</v>
      </c>
      <c r="D71" s="72" t="s">
        <v>7991</v>
      </c>
      <c r="E71" s="72" t="s">
        <v>7992</v>
      </c>
      <c r="F71" s="72" t="s">
        <v>7993</v>
      </c>
      <c r="G71" s="72" t="s">
        <v>7994</v>
      </c>
      <c r="H71" s="72" t="s">
        <v>7995</v>
      </c>
      <c r="I71" s="69">
        <v>4</v>
      </c>
      <c r="J71" s="73" t="s">
        <v>7996</v>
      </c>
      <c r="K71" s="72" t="s">
        <v>7985</v>
      </c>
      <c r="L71" s="73"/>
    </row>
    <row r="72" spans="1:12" ht="42" customHeight="1">
      <c r="A72" s="69">
        <v>69</v>
      </c>
      <c r="B72" s="70" t="s">
        <v>244</v>
      </c>
      <c r="C72" s="71" t="s">
        <v>246</v>
      </c>
      <c r="D72" s="73" t="s">
        <v>7997</v>
      </c>
      <c r="E72" s="72" t="s">
        <v>7998</v>
      </c>
      <c r="F72" s="72" t="s">
        <v>7999</v>
      </c>
      <c r="G72" s="72" t="s">
        <v>8000</v>
      </c>
      <c r="H72" s="72" t="s">
        <v>8001</v>
      </c>
      <c r="I72" s="69">
        <v>1</v>
      </c>
      <c r="J72" s="73" t="s">
        <v>8002</v>
      </c>
      <c r="K72" s="72" t="s">
        <v>3461</v>
      </c>
      <c r="L72" s="73"/>
    </row>
    <row r="73" spans="1:12" ht="55.5" customHeight="1">
      <c r="A73" s="69">
        <v>70</v>
      </c>
      <c r="B73" s="70" t="s">
        <v>244</v>
      </c>
      <c r="C73" s="71" t="s">
        <v>246</v>
      </c>
      <c r="D73" s="72" t="s">
        <v>8003</v>
      </c>
      <c r="E73" s="72" t="s">
        <v>8004</v>
      </c>
      <c r="F73" s="72" t="s">
        <v>8005</v>
      </c>
      <c r="G73" s="72" t="s">
        <v>8006</v>
      </c>
      <c r="H73" s="72" t="s">
        <v>8007</v>
      </c>
      <c r="I73" s="69">
        <v>3</v>
      </c>
      <c r="J73" s="73" t="s">
        <v>8008</v>
      </c>
      <c r="K73" s="72" t="s">
        <v>7985</v>
      </c>
      <c r="L73" s="73"/>
    </row>
    <row r="74" spans="1:12" ht="55.5" customHeight="1">
      <c r="A74" s="69">
        <v>71</v>
      </c>
      <c r="B74" s="70" t="s">
        <v>244</v>
      </c>
      <c r="C74" s="71" t="s">
        <v>246</v>
      </c>
      <c r="D74" s="72" t="s">
        <v>8009</v>
      </c>
      <c r="E74" s="72" t="s">
        <v>8010</v>
      </c>
      <c r="F74" s="72" t="s">
        <v>8011</v>
      </c>
      <c r="G74" s="72" t="s">
        <v>8012</v>
      </c>
      <c r="H74" s="72" t="s">
        <v>8013</v>
      </c>
      <c r="I74" s="69">
        <v>4</v>
      </c>
      <c r="J74" s="73" t="s">
        <v>8014</v>
      </c>
      <c r="K74" s="72" t="s">
        <v>7985</v>
      </c>
      <c r="L74" s="73"/>
    </row>
    <row r="75" spans="1:12" ht="202.5" customHeight="1">
      <c r="A75" s="69">
        <v>72</v>
      </c>
      <c r="B75" s="87" t="s">
        <v>238</v>
      </c>
      <c r="C75" s="87" t="s">
        <v>242</v>
      </c>
      <c r="D75" s="88" t="s">
        <v>8015</v>
      </c>
      <c r="E75" s="87" t="s">
        <v>8016</v>
      </c>
      <c r="F75" s="87" t="s">
        <v>8017</v>
      </c>
      <c r="G75" s="87" t="s">
        <v>8018</v>
      </c>
      <c r="H75" s="87" t="s">
        <v>8019</v>
      </c>
      <c r="I75" s="87">
        <v>4</v>
      </c>
      <c r="J75" s="88" t="s">
        <v>8020</v>
      </c>
      <c r="K75" s="87"/>
    </row>
    <row r="76" spans="1:12" ht="50.75" customHeight="1">
      <c r="A76" s="69">
        <v>73</v>
      </c>
      <c r="B76" s="87" t="s">
        <v>238</v>
      </c>
      <c r="C76" s="87" t="s">
        <v>241</v>
      </c>
      <c r="D76" s="88" t="s">
        <v>8021</v>
      </c>
      <c r="E76" s="87" t="s">
        <v>8022</v>
      </c>
      <c r="F76" s="87" t="s">
        <v>8023</v>
      </c>
      <c r="G76" s="87" t="s">
        <v>8024</v>
      </c>
      <c r="H76" s="87" t="s">
        <v>8025</v>
      </c>
      <c r="I76" s="87">
        <v>4</v>
      </c>
      <c r="J76" s="88" t="s">
        <v>8026</v>
      </c>
      <c r="K76" s="87"/>
    </row>
    <row r="77" spans="1:12" ht="270" customHeight="1">
      <c r="A77" s="69">
        <v>74</v>
      </c>
      <c r="B77" s="87" t="s">
        <v>238</v>
      </c>
      <c r="C77" s="87" t="s">
        <v>240</v>
      </c>
      <c r="D77" s="88" t="s">
        <v>8027</v>
      </c>
      <c r="E77" s="87" t="s">
        <v>8028</v>
      </c>
      <c r="F77" s="87" t="s">
        <v>8029</v>
      </c>
      <c r="G77" s="87" t="s">
        <v>8030</v>
      </c>
      <c r="H77" s="87" t="s">
        <v>8031</v>
      </c>
      <c r="I77" s="87">
        <v>1</v>
      </c>
      <c r="J77" s="88" t="s">
        <v>8032</v>
      </c>
      <c r="K77" s="87"/>
    </row>
    <row r="78" spans="1:12" ht="84.5" customHeight="1">
      <c r="A78" s="69">
        <v>75</v>
      </c>
      <c r="B78" s="87" t="s">
        <v>238</v>
      </c>
      <c r="C78" s="87" t="s">
        <v>241</v>
      </c>
      <c r="D78" s="88" t="s">
        <v>8033</v>
      </c>
      <c r="E78" s="87" t="s">
        <v>8034</v>
      </c>
      <c r="F78" s="87" t="s">
        <v>8035</v>
      </c>
      <c r="G78" s="87" t="s">
        <v>8036</v>
      </c>
      <c r="H78" s="87" t="s">
        <v>8037</v>
      </c>
      <c r="I78" s="87">
        <v>3</v>
      </c>
      <c r="J78" s="88" t="s">
        <v>8038</v>
      </c>
      <c r="K78" s="87"/>
    </row>
    <row r="79" spans="1:12" ht="67.5" customHeight="1">
      <c r="A79" s="69">
        <v>76</v>
      </c>
      <c r="B79" s="87" t="s">
        <v>238</v>
      </c>
      <c r="C79" s="87" t="s">
        <v>241</v>
      </c>
      <c r="D79" s="88" t="s">
        <v>8039</v>
      </c>
      <c r="E79" s="87" t="s">
        <v>1531</v>
      </c>
      <c r="F79" s="87" t="s">
        <v>3680</v>
      </c>
      <c r="G79" s="87" t="s">
        <v>8040</v>
      </c>
      <c r="H79" s="87" t="s">
        <v>1532</v>
      </c>
      <c r="I79" s="87">
        <v>2</v>
      </c>
      <c r="J79" s="88" t="s">
        <v>8041</v>
      </c>
      <c r="K79" s="87"/>
    </row>
    <row r="80" spans="1:12" ht="50.75" customHeight="1">
      <c r="A80" s="69">
        <v>77</v>
      </c>
      <c r="B80" s="87" t="s">
        <v>238</v>
      </c>
      <c r="C80" s="87" t="s">
        <v>241</v>
      </c>
      <c r="D80" s="88" t="s">
        <v>8042</v>
      </c>
      <c r="E80" s="87" t="s">
        <v>8043</v>
      </c>
      <c r="F80" s="87" t="s">
        <v>8044</v>
      </c>
      <c r="G80" s="87" t="s">
        <v>8045</v>
      </c>
      <c r="H80" s="87" t="s">
        <v>8046</v>
      </c>
      <c r="I80" s="87">
        <v>2</v>
      </c>
      <c r="J80" s="88" t="s">
        <v>8047</v>
      </c>
      <c r="K80" s="87"/>
    </row>
    <row r="81" spans="1:11" ht="354.5" customHeight="1">
      <c r="A81" s="69">
        <v>78</v>
      </c>
      <c r="B81" s="87" t="s">
        <v>238</v>
      </c>
      <c r="C81" s="87" t="s">
        <v>241</v>
      </c>
      <c r="D81" s="88" t="s">
        <v>8048</v>
      </c>
      <c r="E81" s="87" t="s">
        <v>8049</v>
      </c>
      <c r="F81" s="87" t="s">
        <v>8050</v>
      </c>
      <c r="G81" s="87" t="s">
        <v>8051</v>
      </c>
      <c r="H81" s="87" t="s">
        <v>8052</v>
      </c>
      <c r="I81" s="87">
        <v>2</v>
      </c>
      <c r="J81" s="88" t="s">
        <v>8053</v>
      </c>
      <c r="K81" s="87"/>
    </row>
    <row r="82" spans="1:11" ht="84.5" customHeight="1">
      <c r="A82" s="69">
        <v>79</v>
      </c>
      <c r="B82" s="87" t="s">
        <v>238</v>
      </c>
      <c r="C82" s="87" t="s">
        <v>239</v>
      </c>
      <c r="D82" s="88" t="s">
        <v>8054</v>
      </c>
      <c r="E82" s="87" t="s">
        <v>8055</v>
      </c>
      <c r="F82" s="87" t="s">
        <v>8056</v>
      </c>
      <c r="G82" s="87" t="s">
        <v>8057</v>
      </c>
      <c r="H82" s="87" t="s">
        <v>8058</v>
      </c>
      <c r="I82" s="87">
        <v>1</v>
      </c>
      <c r="J82" s="88" t="s">
        <v>8059</v>
      </c>
      <c r="K82" s="87"/>
    </row>
    <row r="83" spans="1:11" ht="84.5" customHeight="1">
      <c r="A83" s="69">
        <v>80</v>
      </c>
      <c r="B83" s="87" t="s">
        <v>238</v>
      </c>
      <c r="C83" s="87" t="s">
        <v>240</v>
      </c>
      <c r="D83" s="88" t="s">
        <v>8060</v>
      </c>
      <c r="E83" s="87" t="s">
        <v>8061</v>
      </c>
      <c r="F83" s="87" t="s">
        <v>8062</v>
      </c>
      <c r="G83" s="87" t="s">
        <v>8063</v>
      </c>
      <c r="H83" s="87" t="s">
        <v>8064</v>
      </c>
      <c r="I83" s="87">
        <v>4</v>
      </c>
      <c r="J83" s="88" t="s">
        <v>8065</v>
      </c>
      <c r="K83" s="87"/>
    </row>
    <row r="84" spans="1:11" ht="84.5" customHeight="1">
      <c r="A84" s="69">
        <v>81</v>
      </c>
      <c r="B84" s="87" t="s">
        <v>238</v>
      </c>
      <c r="C84" s="87" t="s">
        <v>241</v>
      </c>
      <c r="D84" s="88" t="s">
        <v>8066</v>
      </c>
      <c r="E84" s="87" t="s">
        <v>8067</v>
      </c>
      <c r="F84" s="87" t="s">
        <v>8068</v>
      </c>
      <c r="G84" s="87" t="s">
        <v>8069</v>
      </c>
      <c r="H84" s="87" t="s">
        <v>8070</v>
      </c>
      <c r="I84" s="87">
        <v>1</v>
      </c>
      <c r="J84" s="88" t="s">
        <v>8071</v>
      </c>
      <c r="K84" s="87"/>
    </row>
    <row r="85" spans="1:11" ht="84.5" customHeight="1">
      <c r="A85" s="69">
        <v>82</v>
      </c>
      <c r="B85" s="87" t="s">
        <v>238</v>
      </c>
      <c r="C85" s="87" t="s">
        <v>241</v>
      </c>
      <c r="D85" s="88" t="s">
        <v>8072</v>
      </c>
      <c r="E85" s="87" t="s">
        <v>8073</v>
      </c>
      <c r="F85" s="87" t="s">
        <v>8074</v>
      </c>
      <c r="G85" s="87" t="s">
        <v>8075</v>
      </c>
      <c r="H85" s="87" t="s">
        <v>8076</v>
      </c>
      <c r="I85" s="87">
        <v>3</v>
      </c>
      <c r="J85" s="88" t="s">
        <v>8077</v>
      </c>
      <c r="K85" s="87"/>
    </row>
    <row r="86" spans="1:11" ht="84.5" customHeight="1">
      <c r="A86" s="69">
        <v>83</v>
      </c>
      <c r="B86" s="87" t="s">
        <v>238</v>
      </c>
      <c r="C86" s="87" t="s">
        <v>241</v>
      </c>
      <c r="D86" s="88" t="s">
        <v>2090</v>
      </c>
      <c r="E86" s="87" t="s">
        <v>2092</v>
      </c>
      <c r="F86" s="87" t="s">
        <v>8078</v>
      </c>
      <c r="G86" s="87" t="s">
        <v>8079</v>
      </c>
      <c r="H86" s="87" t="s">
        <v>8080</v>
      </c>
      <c r="I86" s="87">
        <v>1</v>
      </c>
      <c r="J86" s="88" t="s">
        <v>8081</v>
      </c>
      <c r="K86" s="87"/>
    </row>
    <row r="87" spans="1:11" ht="50.75" customHeight="1">
      <c r="A87" s="69">
        <v>84</v>
      </c>
      <c r="B87" s="87" t="s">
        <v>238</v>
      </c>
      <c r="C87" s="87" t="s">
        <v>239</v>
      </c>
      <c r="D87" s="88" t="s">
        <v>8082</v>
      </c>
      <c r="E87" s="87" t="s">
        <v>8083</v>
      </c>
      <c r="F87" s="87" t="s">
        <v>8084</v>
      </c>
      <c r="G87" s="87" t="s">
        <v>8085</v>
      </c>
      <c r="H87" s="87" t="s">
        <v>8086</v>
      </c>
      <c r="I87" s="87">
        <v>2</v>
      </c>
      <c r="J87" s="88" t="s">
        <v>8087</v>
      </c>
      <c r="K87" s="87"/>
    </row>
    <row r="88" spans="1:11" ht="67.5" customHeight="1">
      <c r="A88" s="69">
        <v>85</v>
      </c>
      <c r="B88" s="87" t="s">
        <v>238</v>
      </c>
      <c r="C88" s="87" t="s">
        <v>241</v>
      </c>
      <c r="D88" s="88" t="s">
        <v>8088</v>
      </c>
      <c r="E88" s="87" t="s">
        <v>469</v>
      </c>
      <c r="F88" s="87" t="s">
        <v>470</v>
      </c>
      <c r="G88" s="87" t="s">
        <v>471</v>
      </c>
      <c r="H88" s="87" t="s">
        <v>472</v>
      </c>
      <c r="I88" s="87">
        <v>1</v>
      </c>
      <c r="J88" s="88" t="s">
        <v>473</v>
      </c>
      <c r="K88" s="87"/>
    </row>
    <row r="89" spans="1:11" ht="67.5" customHeight="1">
      <c r="A89" s="69">
        <v>86</v>
      </c>
      <c r="B89" s="87" t="s">
        <v>238</v>
      </c>
      <c r="C89" s="87" t="s">
        <v>241</v>
      </c>
      <c r="D89" s="88" t="s">
        <v>8089</v>
      </c>
      <c r="E89" s="87" t="s">
        <v>476</v>
      </c>
      <c r="F89" s="87" t="s">
        <v>478</v>
      </c>
      <c r="G89" s="87" t="s">
        <v>475</v>
      </c>
      <c r="H89" s="87" t="s">
        <v>477</v>
      </c>
      <c r="I89" s="87">
        <v>3</v>
      </c>
      <c r="J89" s="88" t="s">
        <v>1767</v>
      </c>
      <c r="K89" s="87"/>
    </row>
    <row r="90" spans="1:11" ht="50.75" customHeight="1">
      <c r="A90" s="69">
        <v>87</v>
      </c>
      <c r="B90" s="87" t="s">
        <v>238</v>
      </c>
      <c r="C90" s="87" t="s">
        <v>241</v>
      </c>
      <c r="D90" s="88" t="s">
        <v>8090</v>
      </c>
      <c r="E90" s="87" t="s">
        <v>6197</v>
      </c>
      <c r="F90" s="87" t="s">
        <v>8091</v>
      </c>
      <c r="G90" s="87" t="s">
        <v>8092</v>
      </c>
      <c r="H90" s="87" t="s">
        <v>8093</v>
      </c>
      <c r="I90" s="87">
        <v>2</v>
      </c>
      <c r="J90" s="88" t="s">
        <v>8094</v>
      </c>
      <c r="K90" s="87"/>
    </row>
    <row r="91" spans="1:11" ht="67.5" customHeight="1">
      <c r="A91" s="69">
        <v>88</v>
      </c>
      <c r="B91" s="87" t="s">
        <v>238</v>
      </c>
      <c r="C91" s="87" t="s">
        <v>243</v>
      </c>
      <c r="D91" s="88" t="s">
        <v>8095</v>
      </c>
      <c r="E91" s="87" t="s">
        <v>8096</v>
      </c>
      <c r="F91" s="87" t="s">
        <v>8097</v>
      </c>
      <c r="G91" s="87" t="s">
        <v>8098</v>
      </c>
      <c r="H91" s="87" t="s">
        <v>8099</v>
      </c>
      <c r="I91" s="87">
        <v>2</v>
      </c>
      <c r="J91" s="88" t="s">
        <v>8100</v>
      </c>
      <c r="K91" s="87"/>
    </row>
    <row r="92" spans="1:11" ht="67.5" customHeight="1">
      <c r="A92" s="69">
        <v>89</v>
      </c>
      <c r="B92" s="87" t="s">
        <v>244</v>
      </c>
      <c r="C92" s="87" t="s">
        <v>246</v>
      </c>
      <c r="D92" s="88" t="s">
        <v>8101</v>
      </c>
      <c r="E92" s="87" t="s">
        <v>8102</v>
      </c>
      <c r="F92" s="87" t="s">
        <v>8103</v>
      </c>
      <c r="G92" s="87" t="s">
        <v>8104</v>
      </c>
      <c r="H92" s="87" t="s">
        <v>8105</v>
      </c>
      <c r="I92" s="87">
        <v>4</v>
      </c>
      <c r="J92" s="88" t="s">
        <v>8106</v>
      </c>
      <c r="K92" s="87"/>
    </row>
    <row r="93" spans="1:11" ht="67.5" customHeight="1">
      <c r="A93" s="69">
        <v>90</v>
      </c>
      <c r="B93" s="87" t="s">
        <v>244</v>
      </c>
      <c r="C93" s="87" t="s">
        <v>245</v>
      </c>
      <c r="D93" s="88" t="s">
        <v>8107</v>
      </c>
      <c r="E93" s="87" t="s">
        <v>8108</v>
      </c>
      <c r="F93" s="87" t="s">
        <v>8109</v>
      </c>
      <c r="G93" s="87" t="s">
        <v>8110</v>
      </c>
      <c r="H93" s="87" t="s">
        <v>8111</v>
      </c>
      <c r="I93" s="87">
        <v>1</v>
      </c>
      <c r="J93" s="88" t="s">
        <v>8112</v>
      </c>
      <c r="K93" s="87"/>
    </row>
    <row r="94" spans="1:11" ht="84.5" customHeight="1">
      <c r="A94" s="69">
        <v>91</v>
      </c>
      <c r="B94" s="87" t="s">
        <v>244</v>
      </c>
      <c r="C94" s="87" t="s">
        <v>245</v>
      </c>
      <c r="D94" s="88" t="s">
        <v>8113</v>
      </c>
      <c r="E94" s="87" t="s">
        <v>8114</v>
      </c>
      <c r="F94" s="87" t="s">
        <v>8115</v>
      </c>
      <c r="G94" s="87" t="s">
        <v>8116</v>
      </c>
      <c r="H94" s="87" t="s">
        <v>8117</v>
      </c>
      <c r="I94" s="87">
        <v>4</v>
      </c>
      <c r="J94" s="88" t="s">
        <v>8118</v>
      </c>
      <c r="K94" s="87"/>
    </row>
    <row r="95" spans="1:11" ht="84.5" customHeight="1">
      <c r="A95" s="69">
        <v>92</v>
      </c>
      <c r="B95" s="87" t="s">
        <v>244</v>
      </c>
      <c r="C95" s="87" t="s">
        <v>246</v>
      </c>
      <c r="D95" s="88" t="s">
        <v>8119</v>
      </c>
      <c r="E95" s="87" t="s">
        <v>8120</v>
      </c>
      <c r="F95" s="87" t="s">
        <v>8121</v>
      </c>
      <c r="G95" s="87" t="s">
        <v>8122</v>
      </c>
      <c r="H95" s="87" t="s">
        <v>8123</v>
      </c>
      <c r="I95" s="87">
        <v>1</v>
      </c>
      <c r="J95" s="88" t="s">
        <v>8124</v>
      </c>
      <c r="K95" s="87"/>
    </row>
    <row r="96" spans="1:11" ht="67.5" customHeight="1">
      <c r="A96" s="69">
        <v>93</v>
      </c>
      <c r="B96" s="87" t="s">
        <v>244</v>
      </c>
      <c r="C96" s="87" t="s">
        <v>245</v>
      </c>
      <c r="D96" s="88" t="s">
        <v>8125</v>
      </c>
      <c r="E96" s="87" t="s">
        <v>8126</v>
      </c>
      <c r="F96" s="87" t="s">
        <v>8127</v>
      </c>
      <c r="G96" s="87" t="s">
        <v>8128</v>
      </c>
      <c r="H96" s="87" t="s">
        <v>8129</v>
      </c>
      <c r="I96" s="87">
        <v>4</v>
      </c>
      <c r="J96" s="88" t="s">
        <v>8130</v>
      </c>
      <c r="K96" s="87"/>
    </row>
    <row r="97" spans="1:11" ht="84.5" customHeight="1">
      <c r="A97" s="69">
        <v>94</v>
      </c>
      <c r="B97" s="87" t="s">
        <v>244</v>
      </c>
      <c r="C97" s="87" t="s">
        <v>245</v>
      </c>
      <c r="D97" s="88" t="s">
        <v>8131</v>
      </c>
      <c r="E97" s="87" t="s">
        <v>8132</v>
      </c>
      <c r="F97" s="87" t="s">
        <v>8133</v>
      </c>
      <c r="G97" s="87" t="s">
        <v>8134</v>
      </c>
      <c r="H97" s="87" t="s">
        <v>8135</v>
      </c>
      <c r="I97" s="87">
        <v>1</v>
      </c>
      <c r="J97" s="88" t="s">
        <v>8136</v>
      </c>
      <c r="K97" s="87"/>
    </row>
    <row r="98" spans="1:11" ht="17" customHeight="1">
      <c r="A98" s="69"/>
      <c r="B98" s="87"/>
      <c r="C98" s="87"/>
      <c r="D98" s="88"/>
      <c r="E98" s="87"/>
      <c r="F98" s="87"/>
      <c r="G98" s="87"/>
      <c r="H98" s="87"/>
      <c r="I98" s="87"/>
      <c r="J98" s="88"/>
      <c r="K98" s="87"/>
    </row>
    <row r="99" spans="1:11" ht="17" customHeight="1">
      <c r="A99" s="69"/>
      <c r="B99" s="87"/>
      <c r="C99" s="87"/>
      <c r="D99" s="88"/>
      <c r="E99" s="87"/>
      <c r="F99" s="87"/>
      <c r="G99" s="87"/>
      <c r="H99" s="87"/>
      <c r="I99" s="87"/>
      <c r="J99" s="88"/>
      <c r="K99" s="87"/>
    </row>
    <row r="100" spans="1:11" ht="17" customHeight="1">
      <c r="A100" s="69"/>
      <c r="B100" s="87"/>
      <c r="C100" s="87"/>
      <c r="D100" s="88"/>
      <c r="E100" s="87"/>
      <c r="F100" s="87"/>
      <c r="G100" s="87"/>
      <c r="H100" s="87"/>
      <c r="I100" s="87"/>
      <c r="J100" s="88"/>
      <c r="K100" s="87"/>
    </row>
    <row r="101" spans="1:11" ht="17" customHeight="1">
      <c r="A101" s="69"/>
      <c r="B101" s="87"/>
      <c r="C101" s="87"/>
      <c r="D101" s="88"/>
      <c r="E101" s="87"/>
      <c r="F101" s="87"/>
      <c r="G101" s="87"/>
      <c r="H101" s="87"/>
      <c r="I101" s="87"/>
      <c r="J101" s="88"/>
      <c r="K101" s="87"/>
    </row>
    <row r="102" spans="1:11" ht="17" customHeight="1">
      <c r="A102" s="69"/>
      <c r="B102" s="87"/>
      <c r="C102" s="87"/>
      <c r="D102" s="88"/>
      <c r="E102" s="87"/>
      <c r="F102" s="87"/>
      <c r="G102" s="87"/>
      <c r="H102" s="87"/>
      <c r="I102" s="87"/>
      <c r="J102" s="88"/>
      <c r="K102" s="87"/>
    </row>
    <row r="103" spans="1:11" ht="17" customHeight="1">
      <c r="A103" s="69"/>
      <c r="B103" s="87"/>
      <c r="C103" s="87"/>
      <c r="D103" s="88"/>
      <c r="E103" s="87"/>
      <c r="F103" s="87"/>
      <c r="G103" s="87"/>
      <c r="H103" s="87"/>
      <c r="I103" s="87"/>
      <c r="J103" s="88"/>
      <c r="K103" s="87"/>
    </row>
    <row r="104" spans="1:11" ht="17" customHeight="1">
      <c r="A104" s="69"/>
      <c r="B104" s="87"/>
      <c r="C104" s="87"/>
      <c r="D104" s="88"/>
      <c r="E104" s="87"/>
      <c r="F104" s="87"/>
      <c r="G104" s="87"/>
      <c r="H104" s="87"/>
      <c r="I104" s="87"/>
      <c r="J104" s="88"/>
      <c r="K104" s="87"/>
    </row>
    <row r="105" spans="1:11" ht="17" customHeight="1">
      <c r="A105" s="69"/>
      <c r="B105" s="87"/>
      <c r="C105" s="87"/>
      <c r="D105" s="88"/>
      <c r="E105" s="87"/>
      <c r="F105" s="87"/>
      <c r="G105" s="87"/>
      <c r="H105" s="87"/>
      <c r="I105" s="87"/>
      <c r="J105" s="88"/>
      <c r="K105" s="87"/>
    </row>
    <row r="106" spans="1:11" ht="17" customHeight="1">
      <c r="A106" s="69"/>
      <c r="B106" s="87"/>
      <c r="C106" s="87"/>
      <c r="D106" s="88"/>
      <c r="E106" s="87"/>
      <c r="F106" s="87"/>
      <c r="G106" s="87"/>
      <c r="H106" s="87"/>
      <c r="I106" s="87"/>
      <c r="J106" s="88"/>
      <c r="K106" s="87"/>
    </row>
    <row r="107" spans="1:11" ht="17" customHeight="1">
      <c r="A107" s="69"/>
      <c r="B107" s="87"/>
      <c r="C107" s="87"/>
      <c r="D107" s="88"/>
      <c r="E107" s="87"/>
      <c r="F107" s="87"/>
      <c r="G107" s="87"/>
      <c r="H107" s="87"/>
      <c r="I107" s="87"/>
      <c r="J107" s="88"/>
      <c r="K107" s="87"/>
    </row>
    <row r="108" spans="1:11" ht="17" customHeight="1">
      <c r="A108" s="69"/>
      <c r="B108" s="87"/>
      <c r="C108" s="87"/>
      <c r="D108" s="88"/>
      <c r="E108" s="87"/>
      <c r="F108" s="87"/>
      <c r="G108" s="87"/>
      <c r="H108" s="87"/>
      <c r="I108" s="87"/>
      <c r="J108" s="88"/>
      <c r="K108" s="87"/>
    </row>
    <row r="109" spans="1:11" ht="17" customHeight="1">
      <c r="A109" s="69"/>
      <c r="B109" s="87"/>
      <c r="C109" s="87"/>
      <c r="D109" s="88"/>
      <c r="E109" s="87"/>
      <c r="F109" s="87"/>
      <c r="G109" s="87"/>
      <c r="H109" s="87"/>
      <c r="I109" s="87"/>
      <c r="J109" s="88"/>
      <c r="K109" s="87"/>
    </row>
    <row r="110" spans="1:11" ht="17" customHeight="1">
      <c r="A110" s="69"/>
      <c r="B110" s="87"/>
      <c r="C110" s="87"/>
      <c r="D110" s="88"/>
      <c r="E110" s="87"/>
      <c r="F110" s="87"/>
      <c r="G110" s="87"/>
      <c r="H110" s="87"/>
      <c r="I110" s="87"/>
      <c r="J110" s="88"/>
      <c r="K110" s="87"/>
    </row>
    <row r="111" spans="1:11" ht="17" customHeight="1">
      <c r="A111" s="69"/>
      <c r="B111" s="87"/>
      <c r="C111" s="87"/>
      <c r="D111" s="88"/>
      <c r="E111" s="87"/>
      <c r="F111" s="87"/>
      <c r="G111" s="87"/>
      <c r="H111" s="87"/>
      <c r="I111" s="87"/>
      <c r="J111" s="88"/>
      <c r="K111" s="87"/>
    </row>
    <row r="112" spans="1:11" ht="17" customHeight="1">
      <c r="A112" s="69"/>
      <c r="B112" s="87"/>
      <c r="C112" s="87"/>
      <c r="D112" s="88"/>
      <c r="E112" s="87"/>
      <c r="F112" s="87"/>
      <c r="G112" s="87"/>
      <c r="H112" s="87"/>
      <c r="I112" s="87"/>
      <c r="J112" s="88"/>
      <c r="K112" s="87"/>
    </row>
  </sheetData>
  <mergeCells count="1">
    <mergeCell ref="A1:L1"/>
  </mergeCells>
  <phoneticPr fontId="58" type="noConversion"/>
  <pageMargins left="0.75" right="0.75" top="1" bottom="1" header="0.511811023622047" footer="0.511811023622047"/>
  <pageSetup fitToHeight="0"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M133"/>
  <sheetViews>
    <sheetView zoomScaleNormal="100" workbookViewId="0">
      <pane xSplit="3" ySplit="3" topLeftCell="G130" activePane="bottomRight" state="frozen"/>
      <selection pane="topRight" activeCell="D1" sqref="D1"/>
      <selection pane="bottomLeft" activeCell="A4" sqref="A4"/>
      <selection pane="bottomRight" activeCell="L3" sqref="L3:M3"/>
    </sheetView>
  </sheetViews>
  <sheetFormatPr baseColWidth="10" defaultColWidth="8.6640625" defaultRowHeight="15"/>
  <cols>
    <col min="1" max="1" width="6" style="6" customWidth="1"/>
    <col min="2" max="2" width="20.1640625" style="65" customWidth="1"/>
    <col min="3" max="3" width="17.83203125" style="65" customWidth="1"/>
    <col min="4" max="4" width="42" style="5" customWidth="1"/>
    <col min="5" max="8" width="20" style="5" customWidth="1"/>
    <col min="9" max="9" width="10" style="6" customWidth="1"/>
    <col min="10" max="10" width="44" style="5" customWidth="1"/>
    <col min="11" max="11" width="26" style="5" customWidth="1"/>
    <col min="12" max="12" width="8" style="5" customWidth="1"/>
    <col min="13" max="14" width="8.6640625" style="5" customWidth="1"/>
    <col min="15" max="16384" width="8.6640625" style="5"/>
  </cols>
  <sheetData>
    <row r="1" spans="1:13" ht="16.5" customHeight="1">
      <c r="A1" s="180" t="s">
        <v>8137</v>
      </c>
      <c r="B1" s="179"/>
      <c r="C1" s="179"/>
      <c r="D1" s="151"/>
      <c r="E1" s="151"/>
      <c r="F1" s="151"/>
      <c r="G1" s="151"/>
      <c r="H1" s="151"/>
      <c r="I1" s="152"/>
      <c r="J1" s="151"/>
      <c r="K1" s="151"/>
      <c r="L1" s="151"/>
    </row>
    <row r="3" spans="1:13" ht="19.5" customHeight="1">
      <c r="A3" s="8" t="s">
        <v>0</v>
      </c>
      <c r="B3" s="8" t="s">
        <v>1</v>
      </c>
      <c r="C3" s="8" t="s">
        <v>2</v>
      </c>
      <c r="D3" s="8" t="s">
        <v>3</v>
      </c>
      <c r="E3" s="8" t="s">
        <v>4</v>
      </c>
      <c r="F3" s="8" t="s">
        <v>5</v>
      </c>
      <c r="G3" s="8" t="s">
        <v>6</v>
      </c>
      <c r="H3" s="8" t="s">
        <v>7</v>
      </c>
      <c r="I3" s="8" t="s">
        <v>8</v>
      </c>
      <c r="J3" s="8" t="s">
        <v>9</v>
      </c>
      <c r="K3" s="8" t="s">
        <v>10</v>
      </c>
      <c r="L3" s="93" t="s">
        <v>737</v>
      </c>
      <c r="M3" s="94" t="s">
        <v>738</v>
      </c>
    </row>
    <row r="4" spans="1:13" ht="29.25" customHeight="1">
      <c r="A4" s="69">
        <v>1</v>
      </c>
      <c r="B4" s="70" t="s">
        <v>248</v>
      </c>
      <c r="C4" s="71" t="s">
        <v>249</v>
      </c>
      <c r="D4" s="72" t="s">
        <v>8138</v>
      </c>
      <c r="E4" s="72" t="s">
        <v>8139</v>
      </c>
      <c r="F4" s="72" t="s">
        <v>8140</v>
      </c>
      <c r="G4" s="72" t="s">
        <v>8141</v>
      </c>
      <c r="H4" s="72" t="s">
        <v>8142</v>
      </c>
      <c r="I4" s="69">
        <v>4</v>
      </c>
      <c r="J4" s="73" t="s">
        <v>8143</v>
      </c>
      <c r="K4" s="72"/>
      <c r="L4" s="73"/>
    </row>
    <row r="5" spans="1:13" ht="42" customHeight="1">
      <c r="A5" s="69">
        <v>2</v>
      </c>
      <c r="B5" s="70" t="s">
        <v>248</v>
      </c>
      <c r="C5" s="71" t="s">
        <v>249</v>
      </c>
      <c r="D5" s="72" t="s">
        <v>8144</v>
      </c>
      <c r="E5" s="72" t="s">
        <v>8139</v>
      </c>
      <c r="F5" s="72" t="s">
        <v>8142</v>
      </c>
      <c r="G5" s="72" t="s">
        <v>8145</v>
      </c>
      <c r="H5" s="72" t="s">
        <v>8146</v>
      </c>
      <c r="I5" s="69">
        <v>1</v>
      </c>
      <c r="J5" s="73" t="s">
        <v>8147</v>
      </c>
      <c r="K5" s="72"/>
      <c r="L5" s="73"/>
    </row>
    <row r="6" spans="1:13" ht="55.5" customHeight="1">
      <c r="A6" s="69">
        <v>3</v>
      </c>
      <c r="B6" s="70" t="s">
        <v>248</v>
      </c>
      <c r="C6" s="71" t="s">
        <v>249</v>
      </c>
      <c r="D6" s="72" t="s">
        <v>8148</v>
      </c>
      <c r="E6" s="72" t="s">
        <v>8149</v>
      </c>
      <c r="F6" s="72" t="s">
        <v>8150</v>
      </c>
      <c r="G6" s="72" t="s">
        <v>8151</v>
      </c>
      <c r="H6" s="72" t="s">
        <v>8152</v>
      </c>
      <c r="I6" s="69">
        <v>1</v>
      </c>
      <c r="J6" s="73" t="s">
        <v>8153</v>
      </c>
      <c r="K6" s="72"/>
      <c r="L6" s="73"/>
    </row>
    <row r="7" spans="1:13" ht="42" customHeight="1">
      <c r="A7" s="69">
        <v>4</v>
      </c>
      <c r="B7" s="70" t="s">
        <v>248</v>
      </c>
      <c r="C7" s="71" t="s">
        <v>249</v>
      </c>
      <c r="D7" s="72" t="s">
        <v>8154</v>
      </c>
      <c r="E7" s="72" t="s">
        <v>8155</v>
      </c>
      <c r="F7" s="72" t="s">
        <v>8156</v>
      </c>
      <c r="G7" s="72" t="s">
        <v>8157</v>
      </c>
      <c r="H7" s="72" t="s">
        <v>8158</v>
      </c>
      <c r="I7" s="69">
        <v>1</v>
      </c>
      <c r="J7" s="73" t="s">
        <v>8159</v>
      </c>
      <c r="K7" s="72"/>
      <c r="L7" s="73"/>
    </row>
    <row r="8" spans="1:13" ht="42" customHeight="1">
      <c r="A8" s="69">
        <v>5</v>
      </c>
      <c r="B8" s="70" t="s">
        <v>248</v>
      </c>
      <c r="C8" s="71" t="s">
        <v>249</v>
      </c>
      <c r="D8" s="72" t="s">
        <v>8160</v>
      </c>
      <c r="E8" s="72" t="s">
        <v>8161</v>
      </c>
      <c r="F8" s="72" t="s">
        <v>8162</v>
      </c>
      <c r="G8" s="72" t="s">
        <v>8163</v>
      </c>
      <c r="H8" s="72" t="s">
        <v>8164</v>
      </c>
      <c r="I8" s="69">
        <v>1</v>
      </c>
      <c r="J8" s="73" t="s">
        <v>8165</v>
      </c>
      <c r="K8" s="72"/>
      <c r="L8" s="73"/>
    </row>
    <row r="9" spans="1:13" ht="55.5" customHeight="1">
      <c r="A9" s="69">
        <v>6</v>
      </c>
      <c r="B9" s="70" t="s">
        <v>248</v>
      </c>
      <c r="C9" s="71" t="s">
        <v>249</v>
      </c>
      <c r="D9" s="73" t="s">
        <v>8166</v>
      </c>
      <c r="E9" s="72" t="s">
        <v>8167</v>
      </c>
      <c r="F9" s="72" t="s">
        <v>8168</v>
      </c>
      <c r="G9" s="72" t="s">
        <v>7818</v>
      </c>
      <c r="H9" s="72" t="s">
        <v>8169</v>
      </c>
      <c r="I9" s="69">
        <v>2</v>
      </c>
      <c r="J9" s="73" t="s">
        <v>8170</v>
      </c>
      <c r="K9" s="72"/>
      <c r="L9" s="73"/>
    </row>
    <row r="10" spans="1:13" ht="27.75" customHeight="1">
      <c r="A10" s="69">
        <v>7</v>
      </c>
      <c r="B10" s="70" t="s">
        <v>248</v>
      </c>
      <c r="C10" s="71" t="s">
        <v>249</v>
      </c>
      <c r="D10" s="72" t="s">
        <v>8171</v>
      </c>
      <c r="E10" s="72" t="s">
        <v>8172</v>
      </c>
      <c r="F10" s="72" t="s">
        <v>8173</v>
      </c>
      <c r="G10" s="72" t="s">
        <v>8174</v>
      </c>
      <c r="H10" s="72" t="s">
        <v>8175</v>
      </c>
      <c r="I10" s="69">
        <v>3</v>
      </c>
      <c r="J10" s="73" t="s">
        <v>8176</v>
      </c>
      <c r="K10" s="72"/>
      <c r="L10" s="73"/>
    </row>
    <row r="11" spans="1:13" ht="43.5" customHeight="1">
      <c r="A11" s="69">
        <v>8</v>
      </c>
      <c r="B11" s="63" t="s">
        <v>248</v>
      </c>
      <c r="C11" s="64" t="s">
        <v>249</v>
      </c>
      <c r="D11" s="23" t="s">
        <v>8177</v>
      </c>
      <c r="E11" s="23" t="s">
        <v>8178</v>
      </c>
      <c r="F11" s="23" t="s">
        <v>8179</v>
      </c>
      <c r="G11" s="23" t="s">
        <v>8180</v>
      </c>
      <c r="H11" s="23" t="s">
        <v>8181</v>
      </c>
      <c r="I11" s="20">
        <v>3</v>
      </c>
      <c r="J11" s="24" t="s">
        <v>8182</v>
      </c>
      <c r="K11" s="23"/>
      <c r="L11" s="24"/>
    </row>
    <row r="12" spans="1:13" ht="27.75" customHeight="1">
      <c r="A12" s="69">
        <v>9</v>
      </c>
      <c r="B12" s="63" t="s">
        <v>248</v>
      </c>
      <c r="C12" s="64" t="s">
        <v>249</v>
      </c>
      <c r="D12" s="23" t="s">
        <v>8183</v>
      </c>
      <c r="E12" s="23" t="s">
        <v>8184</v>
      </c>
      <c r="F12" s="23" t="s">
        <v>8185</v>
      </c>
      <c r="G12" s="23" t="s">
        <v>8186</v>
      </c>
      <c r="H12" s="23" t="s">
        <v>8187</v>
      </c>
      <c r="I12" s="20">
        <v>1</v>
      </c>
      <c r="J12" s="24" t="s">
        <v>8188</v>
      </c>
      <c r="K12" s="23"/>
      <c r="L12" s="24"/>
    </row>
    <row r="13" spans="1:13" ht="42" customHeight="1">
      <c r="A13" s="69">
        <v>10</v>
      </c>
      <c r="B13" s="70" t="s">
        <v>248</v>
      </c>
      <c r="C13" s="71" t="s">
        <v>250</v>
      </c>
      <c r="D13" s="72" t="s">
        <v>8189</v>
      </c>
      <c r="E13" s="73" t="s">
        <v>8190</v>
      </c>
      <c r="F13" s="72" t="s">
        <v>8191</v>
      </c>
      <c r="G13" s="72" t="s">
        <v>8192</v>
      </c>
      <c r="H13" s="72" t="s">
        <v>8193</v>
      </c>
      <c r="I13" s="69">
        <v>1</v>
      </c>
      <c r="J13" s="73" t="s">
        <v>8194</v>
      </c>
      <c r="K13" s="72"/>
      <c r="L13" s="73"/>
    </row>
    <row r="14" spans="1:13" ht="42" customHeight="1">
      <c r="A14" s="69">
        <v>11</v>
      </c>
      <c r="B14" s="70" t="s">
        <v>248</v>
      </c>
      <c r="C14" s="71" t="s">
        <v>250</v>
      </c>
      <c r="D14" s="72" t="s">
        <v>8195</v>
      </c>
      <c r="E14" s="72" t="s">
        <v>8196</v>
      </c>
      <c r="F14" s="72" t="s">
        <v>8197</v>
      </c>
      <c r="G14" s="72" t="s">
        <v>8198</v>
      </c>
      <c r="H14" s="72" t="s">
        <v>8199</v>
      </c>
      <c r="I14" s="69">
        <v>2</v>
      </c>
      <c r="J14" s="73" t="s">
        <v>8200</v>
      </c>
      <c r="K14" s="72"/>
      <c r="L14" s="73"/>
    </row>
    <row r="15" spans="1:13" ht="42" customHeight="1">
      <c r="A15" s="69">
        <v>12</v>
      </c>
      <c r="B15" s="70" t="s">
        <v>248</v>
      </c>
      <c r="C15" s="71" t="s">
        <v>250</v>
      </c>
      <c r="D15" s="72" t="s">
        <v>8201</v>
      </c>
      <c r="E15" s="73" t="s">
        <v>8202</v>
      </c>
      <c r="F15" s="72" t="s">
        <v>8203</v>
      </c>
      <c r="G15" s="72" t="s">
        <v>8204</v>
      </c>
      <c r="H15" s="73" t="s">
        <v>8205</v>
      </c>
      <c r="I15" s="69">
        <v>4</v>
      </c>
      <c r="J15" s="73" t="s">
        <v>8206</v>
      </c>
      <c r="K15" s="72"/>
      <c r="L15" s="73"/>
    </row>
    <row r="16" spans="1:13" ht="55.5" customHeight="1">
      <c r="A16" s="69">
        <v>13</v>
      </c>
      <c r="B16" s="70" t="s">
        <v>248</v>
      </c>
      <c r="C16" s="71" t="s">
        <v>250</v>
      </c>
      <c r="D16" s="72" t="s">
        <v>8207</v>
      </c>
      <c r="E16" s="72" t="s">
        <v>8208</v>
      </c>
      <c r="F16" s="72" t="s">
        <v>8209</v>
      </c>
      <c r="G16" s="72" t="s">
        <v>8210</v>
      </c>
      <c r="H16" s="72" t="s">
        <v>8211</v>
      </c>
      <c r="I16" s="69">
        <v>1</v>
      </c>
      <c r="J16" s="73" t="s">
        <v>8212</v>
      </c>
      <c r="K16" s="72"/>
      <c r="L16" s="73"/>
    </row>
    <row r="17" spans="1:12" ht="27.75" customHeight="1">
      <c r="A17" s="69">
        <v>14</v>
      </c>
      <c r="B17" s="70" t="s">
        <v>248</v>
      </c>
      <c r="C17" s="71" t="s">
        <v>250</v>
      </c>
      <c r="D17" s="73" t="s">
        <v>8213</v>
      </c>
      <c r="E17" s="72" t="s">
        <v>8214</v>
      </c>
      <c r="F17" s="72" t="s">
        <v>8215</v>
      </c>
      <c r="G17" s="72" t="s">
        <v>8216</v>
      </c>
      <c r="H17" s="72" t="s">
        <v>8217</v>
      </c>
      <c r="I17" s="69">
        <v>3</v>
      </c>
      <c r="J17" s="73" t="s">
        <v>8218</v>
      </c>
      <c r="K17" s="72"/>
      <c r="L17" s="73"/>
    </row>
    <row r="18" spans="1:12" ht="29.25" customHeight="1">
      <c r="A18" s="69">
        <v>15</v>
      </c>
      <c r="B18" s="70" t="s">
        <v>248</v>
      </c>
      <c r="C18" s="71" t="s">
        <v>250</v>
      </c>
      <c r="D18" s="72" t="s">
        <v>8219</v>
      </c>
      <c r="E18" s="72" t="s">
        <v>8220</v>
      </c>
      <c r="F18" s="72" t="s">
        <v>8221</v>
      </c>
      <c r="G18" s="73" t="s">
        <v>8222</v>
      </c>
      <c r="H18" s="73" t="s">
        <v>8223</v>
      </c>
      <c r="I18" s="69">
        <v>4</v>
      </c>
      <c r="J18" s="73" t="s">
        <v>8224</v>
      </c>
      <c r="K18" s="72"/>
      <c r="L18" s="73"/>
    </row>
    <row r="19" spans="1:12" ht="27.75" customHeight="1">
      <c r="A19" s="69">
        <v>16</v>
      </c>
      <c r="B19" s="70" t="s">
        <v>248</v>
      </c>
      <c r="C19" s="71" t="s">
        <v>250</v>
      </c>
      <c r="D19" s="72" t="s">
        <v>8225</v>
      </c>
      <c r="E19" s="72" t="s">
        <v>8226</v>
      </c>
      <c r="F19" s="72" t="s">
        <v>8227</v>
      </c>
      <c r="G19" s="72" t="s">
        <v>8228</v>
      </c>
      <c r="H19" s="72" t="s">
        <v>8229</v>
      </c>
      <c r="I19" s="69">
        <v>3</v>
      </c>
      <c r="J19" s="73" t="s">
        <v>8230</v>
      </c>
      <c r="K19" s="72"/>
      <c r="L19" s="73"/>
    </row>
    <row r="20" spans="1:12" ht="42" customHeight="1">
      <c r="A20" s="69">
        <v>17</v>
      </c>
      <c r="B20" s="70" t="s">
        <v>248</v>
      </c>
      <c r="C20" s="71" t="s">
        <v>251</v>
      </c>
      <c r="D20" s="72" t="s">
        <v>8231</v>
      </c>
      <c r="E20" s="72" t="s">
        <v>3332</v>
      </c>
      <c r="F20" s="72" t="s">
        <v>1531</v>
      </c>
      <c r="G20" s="72" t="s">
        <v>5794</v>
      </c>
      <c r="H20" s="72" t="s">
        <v>7750</v>
      </c>
      <c r="I20" s="69">
        <v>2</v>
      </c>
      <c r="J20" s="73" t="s">
        <v>8232</v>
      </c>
      <c r="K20" s="72"/>
      <c r="L20" s="73"/>
    </row>
    <row r="21" spans="1:12" ht="42" customHeight="1">
      <c r="A21" s="69">
        <v>18</v>
      </c>
      <c r="B21" s="70" t="s">
        <v>248</v>
      </c>
      <c r="C21" s="71" t="s">
        <v>251</v>
      </c>
      <c r="D21" s="72" t="s">
        <v>8233</v>
      </c>
      <c r="E21" s="72" t="s">
        <v>1529</v>
      </c>
      <c r="F21" s="72" t="s">
        <v>1531</v>
      </c>
      <c r="G21" s="72" t="s">
        <v>8234</v>
      </c>
      <c r="H21" s="72" t="s">
        <v>8235</v>
      </c>
      <c r="I21" s="69">
        <v>1</v>
      </c>
      <c r="J21" s="73" t="s">
        <v>8236</v>
      </c>
      <c r="K21" s="72"/>
      <c r="L21" s="73"/>
    </row>
    <row r="22" spans="1:12" ht="27.75" customHeight="1">
      <c r="A22" s="69">
        <v>19</v>
      </c>
      <c r="B22" s="70" t="s">
        <v>248</v>
      </c>
      <c r="C22" s="71" t="s">
        <v>251</v>
      </c>
      <c r="D22" s="72" t="s">
        <v>8237</v>
      </c>
      <c r="E22" s="72" t="s">
        <v>8238</v>
      </c>
      <c r="F22" s="72" t="s">
        <v>8239</v>
      </c>
      <c r="G22" s="72" t="s">
        <v>8240</v>
      </c>
      <c r="H22" s="72" t="s">
        <v>8241</v>
      </c>
      <c r="I22" s="69">
        <v>3</v>
      </c>
      <c r="J22" s="73" t="s">
        <v>8242</v>
      </c>
      <c r="K22" s="72"/>
      <c r="L22" s="73"/>
    </row>
    <row r="23" spans="1:12" ht="42" customHeight="1">
      <c r="A23" s="69">
        <v>20</v>
      </c>
      <c r="B23" s="70" t="s">
        <v>248</v>
      </c>
      <c r="C23" s="71" t="s">
        <v>251</v>
      </c>
      <c r="D23" s="72" t="s">
        <v>8243</v>
      </c>
      <c r="E23" s="72" t="s">
        <v>8244</v>
      </c>
      <c r="F23" s="72" t="s">
        <v>8245</v>
      </c>
      <c r="G23" s="72" t="s">
        <v>8246</v>
      </c>
      <c r="H23" s="72" t="s">
        <v>8247</v>
      </c>
      <c r="I23" s="69">
        <v>2</v>
      </c>
      <c r="J23" s="73" t="s">
        <v>8248</v>
      </c>
      <c r="K23" s="72"/>
      <c r="L23" s="73"/>
    </row>
    <row r="24" spans="1:12" ht="55.5" customHeight="1">
      <c r="A24" s="69">
        <v>21</v>
      </c>
      <c r="B24" s="70" t="s">
        <v>248</v>
      </c>
      <c r="C24" s="71" t="s">
        <v>251</v>
      </c>
      <c r="D24" s="72" t="s">
        <v>8249</v>
      </c>
      <c r="E24" s="72" t="s">
        <v>8250</v>
      </c>
      <c r="F24" s="72" t="s">
        <v>8251</v>
      </c>
      <c r="G24" s="72" t="s">
        <v>8252</v>
      </c>
      <c r="H24" s="72" t="s">
        <v>7902</v>
      </c>
      <c r="I24" s="69">
        <v>2</v>
      </c>
      <c r="J24" s="73" t="s">
        <v>8253</v>
      </c>
      <c r="K24" s="72"/>
      <c r="L24" s="73"/>
    </row>
    <row r="25" spans="1:12" ht="29.25" customHeight="1">
      <c r="A25" s="69">
        <v>22</v>
      </c>
      <c r="B25" s="70" t="s">
        <v>248</v>
      </c>
      <c r="C25" s="71" t="s">
        <v>251</v>
      </c>
      <c r="D25" s="73" t="s">
        <v>8254</v>
      </c>
      <c r="E25" s="72" t="s">
        <v>6417</v>
      </c>
      <c r="F25" s="72" t="s">
        <v>8255</v>
      </c>
      <c r="G25" s="72" t="s">
        <v>8256</v>
      </c>
      <c r="H25" s="72" t="s">
        <v>8257</v>
      </c>
      <c r="I25" s="69">
        <v>3</v>
      </c>
      <c r="J25" s="73" t="s">
        <v>8258</v>
      </c>
      <c r="K25" s="72"/>
      <c r="L25" s="73"/>
    </row>
    <row r="26" spans="1:12" ht="42" customHeight="1">
      <c r="A26" s="69">
        <v>23</v>
      </c>
      <c r="B26" s="70" t="s">
        <v>248</v>
      </c>
      <c r="C26" s="71" t="s">
        <v>251</v>
      </c>
      <c r="D26" s="72" t="s">
        <v>8259</v>
      </c>
      <c r="E26" s="72" t="s">
        <v>8260</v>
      </c>
      <c r="F26" s="72" t="s">
        <v>8261</v>
      </c>
      <c r="G26" s="72" t="s">
        <v>8262</v>
      </c>
      <c r="H26" s="72" t="s">
        <v>8263</v>
      </c>
      <c r="I26" s="69">
        <v>3</v>
      </c>
      <c r="J26" s="73" t="s">
        <v>8264</v>
      </c>
      <c r="K26" s="72"/>
      <c r="L26" s="73"/>
    </row>
    <row r="27" spans="1:12" ht="42" customHeight="1">
      <c r="A27" s="69">
        <v>24</v>
      </c>
      <c r="B27" s="63" t="s">
        <v>248</v>
      </c>
      <c r="C27" s="64" t="s">
        <v>251</v>
      </c>
      <c r="D27" s="23" t="s">
        <v>8265</v>
      </c>
      <c r="E27" s="23" t="s">
        <v>8266</v>
      </c>
      <c r="F27" s="23" t="s">
        <v>8267</v>
      </c>
      <c r="G27" s="23" t="s">
        <v>8268</v>
      </c>
      <c r="H27" s="23" t="s">
        <v>8269</v>
      </c>
      <c r="I27" s="20">
        <v>3</v>
      </c>
      <c r="J27" s="24" t="s">
        <v>8270</v>
      </c>
      <c r="K27" s="23"/>
      <c r="L27" s="24"/>
    </row>
    <row r="28" spans="1:12" ht="42" customHeight="1">
      <c r="A28" s="69">
        <v>25</v>
      </c>
      <c r="B28" s="70" t="s">
        <v>248</v>
      </c>
      <c r="C28" s="71" t="s">
        <v>252</v>
      </c>
      <c r="D28" s="72" t="s">
        <v>8271</v>
      </c>
      <c r="E28" s="72" t="s">
        <v>8272</v>
      </c>
      <c r="F28" s="72" t="s">
        <v>8273</v>
      </c>
      <c r="G28" s="72" t="s">
        <v>8274</v>
      </c>
      <c r="H28" s="72" t="s">
        <v>8275</v>
      </c>
      <c r="I28" s="69">
        <v>1</v>
      </c>
      <c r="J28" s="73" t="s">
        <v>8276</v>
      </c>
      <c r="K28" s="72"/>
      <c r="L28" s="73"/>
    </row>
    <row r="29" spans="1:12" ht="42" customHeight="1">
      <c r="A29" s="69">
        <v>26</v>
      </c>
      <c r="B29" s="70" t="s">
        <v>248</v>
      </c>
      <c r="C29" s="71" t="s">
        <v>252</v>
      </c>
      <c r="D29" s="72" t="s">
        <v>8277</v>
      </c>
      <c r="E29" s="72" t="s">
        <v>8278</v>
      </c>
      <c r="F29" s="72" t="s">
        <v>8279</v>
      </c>
      <c r="G29" s="72" t="s">
        <v>8280</v>
      </c>
      <c r="H29" s="72" t="s">
        <v>8281</v>
      </c>
      <c r="I29" s="69">
        <v>2</v>
      </c>
      <c r="J29" s="73" t="s">
        <v>8282</v>
      </c>
      <c r="K29" s="72"/>
      <c r="L29" s="73"/>
    </row>
    <row r="30" spans="1:12" ht="42" customHeight="1">
      <c r="A30" s="69">
        <v>27</v>
      </c>
      <c r="B30" s="70" t="s">
        <v>248</v>
      </c>
      <c r="C30" s="71" t="s">
        <v>252</v>
      </c>
      <c r="D30" s="72" t="s">
        <v>8283</v>
      </c>
      <c r="E30" s="72" t="s">
        <v>8284</v>
      </c>
      <c r="F30" s="72" t="s">
        <v>8285</v>
      </c>
      <c r="G30" s="72" t="s">
        <v>8286</v>
      </c>
      <c r="H30" s="72" t="s">
        <v>8287</v>
      </c>
      <c r="I30" s="69">
        <v>3</v>
      </c>
      <c r="J30" s="73" t="s">
        <v>8288</v>
      </c>
      <c r="K30" s="72"/>
      <c r="L30" s="73"/>
    </row>
    <row r="31" spans="1:12" ht="42" customHeight="1">
      <c r="A31" s="69">
        <v>28</v>
      </c>
      <c r="B31" s="70" t="s">
        <v>248</v>
      </c>
      <c r="C31" s="71" t="s">
        <v>252</v>
      </c>
      <c r="D31" s="72" t="s">
        <v>8289</v>
      </c>
      <c r="E31" s="72" t="s">
        <v>8290</v>
      </c>
      <c r="F31" s="72" t="s">
        <v>8291</v>
      </c>
      <c r="G31" s="72" t="s">
        <v>8292</v>
      </c>
      <c r="H31" s="72" t="s">
        <v>8293</v>
      </c>
      <c r="I31" s="69">
        <v>1</v>
      </c>
      <c r="J31" s="73" t="s">
        <v>8294</v>
      </c>
      <c r="K31" s="72"/>
      <c r="L31" s="73"/>
    </row>
    <row r="32" spans="1:12" ht="43.5" customHeight="1">
      <c r="A32" s="69">
        <v>29</v>
      </c>
      <c r="B32" s="70" t="s">
        <v>248</v>
      </c>
      <c r="C32" s="71" t="s">
        <v>252</v>
      </c>
      <c r="D32" s="73" t="s">
        <v>8295</v>
      </c>
      <c r="E32" s="72" t="s">
        <v>8296</v>
      </c>
      <c r="F32" s="72" t="s">
        <v>8297</v>
      </c>
      <c r="G32" s="72" t="s">
        <v>8298</v>
      </c>
      <c r="H32" s="72" t="s">
        <v>8299</v>
      </c>
      <c r="I32" s="69">
        <v>3</v>
      </c>
      <c r="J32" s="73" t="s">
        <v>8300</v>
      </c>
      <c r="K32" s="72"/>
      <c r="L32" s="73"/>
    </row>
    <row r="33" spans="1:12" ht="27.75" customHeight="1">
      <c r="A33" s="69">
        <v>30</v>
      </c>
      <c r="B33" s="70" t="s">
        <v>248</v>
      </c>
      <c r="C33" s="71" t="s">
        <v>252</v>
      </c>
      <c r="D33" s="72" t="s">
        <v>8301</v>
      </c>
      <c r="E33" s="72" t="s">
        <v>8302</v>
      </c>
      <c r="F33" s="72" t="s">
        <v>8303</v>
      </c>
      <c r="G33" s="72" t="s">
        <v>8304</v>
      </c>
      <c r="H33" s="72" t="s">
        <v>8305</v>
      </c>
      <c r="I33" s="69">
        <v>4</v>
      </c>
      <c r="J33" s="73" t="s">
        <v>8306</v>
      </c>
      <c r="K33" s="72"/>
      <c r="L33" s="73"/>
    </row>
    <row r="34" spans="1:12" ht="42" customHeight="1">
      <c r="A34" s="69">
        <v>31</v>
      </c>
      <c r="B34" s="70" t="s">
        <v>248</v>
      </c>
      <c r="C34" s="71" t="s">
        <v>252</v>
      </c>
      <c r="D34" s="72" t="s">
        <v>8307</v>
      </c>
      <c r="E34" s="72" t="s">
        <v>8308</v>
      </c>
      <c r="F34" s="72" t="s">
        <v>8309</v>
      </c>
      <c r="G34" s="72" t="s">
        <v>8310</v>
      </c>
      <c r="H34" s="72" t="s">
        <v>8311</v>
      </c>
      <c r="I34" s="69">
        <v>3</v>
      </c>
      <c r="J34" s="73" t="s">
        <v>8312</v>
      </c>
      <c r="K34" s="72"/>
      <c r="L34" s="73"/>
    </row>
    <row r="35" spans="1:12" ht="42" customHeight="1">
      <c r="A35" s="69">
        <v>32</v>
      </c>
      <c r="B35" s="70" t="s">
        <v>248</v>
      </c>
      <c r="C35" s="71" t="s">
        <v>253</v>
      </c>
      <c r="D35" s="72" t="s">
        <v>8313</v>
      </c>
      <c r="E35" s="72" t="s">
        <v>8314</v>
      </c>
      <c r="F35" s="72" t="s">
        <v>8315</v>
      </c>
      <c r="G35" s="72" t="s">
        <v>8316</v>
      </c>
      <c r="H35" s="72" t="s">
        <v>8317</v>
      </c>
      <c r="I35" s="69">
        <v>1</v>
      </c>
      <c r="J35" s="73" t="s">
        <v>8318</v>
      </c>
      <c r="K35" s="72"/>
      <c r="L35" s="73"/>
    </row>
    <row r="36" spans="1:12" ht="55.5" customHeight="1">
      <c r="A36" s="69">
        <v>33</v>
      </c>
      <c r="B36" s="70" t="s">
        <v>248</v>
      </c>
      <c r="C36" s="71" t="s">
        <v>253</v>
      </c>
      <c r="D36" s="72" t="s">
        <v>8319</v>
      </c>
      <c r="E36" s="72" t="s">
        <v>8320</v>
      </c>
      <c r="F36" s="72" t="s">
        <v>8321</v>
      </c>
      <c r="G36" s="72" t="s">
        <v>8322</v>
      </c>
      <c r="H36" s="72" t="s">
        <v>8323</v>
      </c>
      <c r="I36" s="69">
        <v>1</v>
      </c>
      <c r="J36" s="73" t="s">
        <v>8324</v>
      </c>
      <c r="K36" s="72"/>
      <c r="L36" s="73"/>
    </row>
    <row r="37" spans="1:12" ht="42" customHeight="1">
      <c r="A37" s="69">
        <v>34</v>
      </c>
      <c r="B37" s="70" t="s">
        <v>248</v>
      </c>
      <c r="C37" s="71" t="s">
        <v>253</v>
      </c>
      <c r="D37" s="72" t="s">
        <v>8325</v>
      </c>
      <c r="E37" s="72" t="s">
        <v>8326</v>
      </c>
      <c r="F37" s="72" t="s">
        <v>8327</v>
      </c>
      <c r="G37" s="72" t="s">
        <v>8328</v>
      </c>
      <c r="H37" s="72" t="s">
        <v>8329</v>
      </c>
      <c r="I37" s="69">
        <v>1</v>
      </c>
      <c r="J37" s="73" t="s">
        <v>8330</v>
      </c>
      <c r="K37" s="72"/>
      <c r="L37" s="73"/>
    </row>
    <row r="38" spans="1:12" ht="42" customHeight="1">
      <c r="A38" s="69">
        <v>35</v>
      </c>
      <c r="B38" s="70" t="s">
        <v>248</v>
      </c>
      <c r="C38" s="71" t="s">
        <v>253</v>
      </c>
      <c r="D38" s="72" t="s">
        <v>8331</v>
      </c>
      <c r="E38" s="72" t="s">
        <v>5794</v>
      </c>
      <c r="F38" s="72" t="s">
        <v>8234</v>
      </c>
      <c r="G38" s="72" t="s">
        <v>3333</v>
      </c>
      <c r="H38" s="72" t="s">
        <v>8332</v>
      </c>
      <c r="I38" s="69">
        <v>2</v>
      </c>
      <c r="J38" s="73" t="s">
        <v>8333</v>
      </c>
      <c r="K38" s="72"/>
      <c r="L38" s="73"/>
    </row>
    <row r="39" spans="1:12" ht="29.25" customHeight="1">
      <c r="A39" s="69">
        <v>36</v>
      </c>
      <c r="B39" s="70" t="s">
        <v>248</v>
      </c>
      <c r="C39" s="71" t="s">
        <v>253</v>
      </c>
      <c r="D39" s="72" t="s">
        <v>8334</v>
      </c>
      <c r="E39" s="72" t="s">
        <v>8335</v>
      </c>
      <c r="F39" s="72" t="s">
        <v>8336</v>
      </c>
      <c r="G39" s="72" t="s">
        <v>8337</v>
      </c>
      <c r="H39" s="72" t="s">
        <v>7695</v>
      </c>
      <c r="I39" s="69">
        <v>1</v>
      </c>
      <c r="J39" s="73" t="s">
        <v>8338</v>
      </c>
      <c r="K39" s="72"/>
      <c r="L39" s="73"/>
    </row>
    <row r="40" spans="1:12" ht="69.75" customHeight="1">
      <c r="A40" s="69">
        <v>37</v>
      </c>
      <c r="B40" s="70" t="s">
        <v>248</v>
      </c>
      <c r="C40" s="71" t="s">
        <v>253</v>
      </c>
      <c r="D40" s="72" t="s">
        <v>8339</v>
      </c>
      <c r="E40" s="72" t="s">
        <v>8340</v>
      </c>
      <c r="F40" s="72" t="s">
        <v>8341</v>
      </c>
      <c r="G40" s="72" t="s">
        <v>8342</v>
      </c>
      <c r="H40" s="72" t="s">
        <v>8343</v>
      </c>
      <c r="I40" s="69">
        <v>4</v>
      </c>
      <c r="J40" s="73" t="s">
        <v>8344</v>
      </c>
      <c r="K40" s="72"/>
      <c r="L40" s="73"/>
    </row>
    <row r="41" spans="1:12" ht="42" customHeight="1">
      <c r="A41" s="69">
        <v>38</v>
      </c>
      <c r="B41" s="70" t="s">
        <v>248</v>
      </c>
      <c r="C41" s="71" t="s">
        <v>253</v>
      </c>
      <c r="D41" s="73" t="s">
        <v>8345</v>
      </c>
      <c r="E41" s="72" t="s">
        <v>8346</v>
      </c>
      <c r="F41" s="72" t="s">
        <v>8347</v>
      </c>
      <c r="G41" s="72" t="s">
        <v>8348</v>
      </c>
      <c r="H41" s="72" t="s">
        <v>8349</v>
      </c>
      <c r="I41" s="69">
        <v>3</v>
      </c>
      <c r="J41" s="73" t="s">
        <v>8350</v>
      </c>
      <c r="K41" s="72"/>
      <c r="L41" s="73"/>
    </row>
    <row r="42" spans="1:12" ht="42" customHeight="1">
      <c r="A42" s="69">
        <v>39</v>
      </c>
      <c r="B42" s="70" t="s">
        <v>248</v>
      </c>
      <c r="C42" s="71" t="s">
        <v>254</v>
      </c>
      <c r="D42" s="72" t="s">
        <v>8351</v>
      </c>
      <c r="E42" s="72" t="s">
        <v>8352</v>
      </c>
      <c r="F42" s="72" t="s">
        <v>8353</v>
      </c>
      <c r="G42" s="72" t="s">
        <v>8354</v>
      </c>
      <c r="H42" s="72" t="s">
        <v>8355</v>
      </c>
      <c r="I42" s="69">
        <v>2</v>
      </c>
      <c r="J42" s="73" t="s">
        <v>8356</v>
      </c>
      <c r="K42" s="72"/>
      <c r="L42" s="73"/>
    </row>
    <row r="43" spans="1:12" ht="42" customHeight="1">
      <c r="A43" s="69">
        <v>40</v>
      </c>
      <c r="B43" s="70" t="s">
        <v>248</v>
      </c>
      <c r="C43" s="71" t="s">
        <v>254</v>
      </c>
      <c r="D43" s="72" t="s">
        <v>8357</v>
      </c>
      <c r="E43" s="72" t="s">
        <v>8358</v>
      </c>
      <c r="F43" s="72" t="s">
        <v>8359</v>
      </c>
      <c r="G43" s="72" t="s">
        <v>8360</v>
      </c>
      <c r="H43" s="72" t="s">
        <v>8361</v>
      </c>
      <c r="I43" s="69">
        <v>3</v>
      </c>
      <c r="J43" s="73" t="s">
        <v>8362</v>
      </c>
      <c r="K43" s="72"/>
      <c r="L43" s="73"/>
    </row>
    <row r="44" spans="1:12" ht="55.5" customHeight="1">
      <c r="A44" s="69">
        <v>41</v>
      </c>
      <c r="B44" s="70" t="s">
        <v>248</v>
      </c>
      <c r="C44" s="71" t="s">
        <v>254</v>
      </c>
      <c r="D44" s="72" t="s">
        <v>8363</v>
      </c>
      <c r="E44" s="72" t="s">
        <v>8364</v>
      </c>
      <c r="F44" s="72" t="s">
        <v>8365</v>
      </c>
      <c r="G44" s="72" t="s">
        <v>8366</v>
      </c>
      <c r="H44" s="72" t="s">
        <v>8367</v>
      </c>
      <c r="I44" s="69">
        <v>1</v>
      </c>
      <c r="J44" s="73" t="s">
        <v>8368</v>
      </c>
      <c r="K44" s="72"/>
      <c r="L44" s="73"/>
    </row>
    <row r="45" spans="1:12" ht="55.5" customHeight="1">
      <c r="A45" s="69">
        <v>42</v>
      </c>
      <c r="B45" s="70" t="s">
        <v>248</v>
      </c>
      <c r="C45" s="71" t="s">
        <v>254</v>
      </c>
      <c r="D45" s="72" t="s">
        <v>8369</v>
      </c>
      <c r="E45" s="72" t="s">
        <v>8370</v>
      </c>
      <c r="F45" s="72" t="s">
        <v>8371</v>
      </c>
      <c r="G45" s="72" t="s">
        <v>8372</v>
      </c>
      <c r="H45" s="72" t="s">
        <v>8373</v>
      </c>
      <c r="I45" s="69">
        <v>1</v>
      </c>
      <c r="J45" s="73" t="s">
        <v>8374</v>
      </c>
      <c r="K45" s="72"/>
      <c r="L45" s="73"/>
    </row>
    <row r="46" spans="1:12" ht="43.5" customHeight="1">
      <c r="A46" s="69">
        <v>43</v>
      </c>
      <c r="B46" s="70" t="s">
        <v>248</v>
      </c>
      <c r="C46" s="71" t="s">
        <v>254</v>
      </c>
      <c r="D46" s="73" t="s">
        <v>8375</v>
      </c>
      <c r="E46" s="72" t="s">
        <v>8376</v>
      </c>
      <c r="F46" s="72" t="s">
        <v>8377</v>
      </c>
      <c r="G46" s="72" t="s">
        <v>8378</v>
      </c>
      <c r="H46" s="72" t="s">
        <v>8379</v>
      </c>
      <c r="I46" s="69">
        <v>4</v>
      </c>
      <c r="J46" s="73" t="s">
        <v>8380</v>
      </c>
      <c r="K46" s="72"/>
      <c r="L46" s="73"/>
    </row>
    <row r="47" spans="1:12" ht="27.75" customHeight="1">
      <c r="A47" s="69">
        <v>44</v>
      </c>
      <c r="B47" s="70" t="s">
        <v>248</v>
      </c>
      <c r="C47" s="71" t="s">
        <v>254</v>
      </c>
      <c r="D47" s="72" t="s">
        <v>8381</v>
      </c>
      <c r="E47" s="72" t="s">
        <v>8382</v>
      </c>
      <c r="F47" s="72" t="s">
        <v>8383</v>
      </c>
      <c r="G47" s="72" t="s">
        <v>8384</v>
      </c>
      <c r="H47" s="72" t="s">
        <v>8385</v>
      </c>
      <c r="I47" s="69">
        <v>4</v>
      </c>
      <c r="J47" s="73" t="s">
        <v>8386</v>
      </c>
      <c r="K47" s="72"/>
      <c r="L47" s="73"/>
    </row>
    <row r="48" spans="1:12" ht="27.75" customHeight="1">
      <c r="A48" s="69">
        <v>45</v>
      </c>
      <c r="B48" s="70" t="s">
        <v>248</v>
      </c>
      <c r="C48" s="71" t="s">
        <v>254</v>
      </c>
      <c r="D48" s="72" t="s">
        <v>8387</v>
      </c>
      <c r="E48" s="72" t="s">
        <v>8388</v>
      </c>
      <c r="F48" s="72" t="s">
        <v>8389</v>
      </c>
      <c r="G48" s="72" t="s">
        <v>8390</v>
      </c>
      <c r="H48" s="72" t="s">
        <v>8391</v>
      </c>
      <c r="I48" s="69">
        <v>4</v>
      </c>
      <c r="J48" s="73" t="s">
        <v>8392</v>
      </c>
      <c r="K48" s="72"/>
      <c r="L48" s="73"/>
    </row>
    <row r="49" spans="1:12" ht="42" customHeight="1">
      <c r="A49" s="69">
        <v>46</v>
      </c>
      <c r="B49" s="63" t="s">
        <v>248</v>
      </c>
      <c r="C49" s="64" t="s">
        <v>254</v>
      </c>
      <c r="D49" s="23" t="s">
        <v>8393</v>
      </c>
      <c r="E49" s="23" t="s">
        <v>8394</v>
      </c>
      <c r="F49" s="23" t="s">
        <v>8395</v>
      </c>
      <c r="G49" s="23" t="s">
        <v>8396</v>
      </c>
      <c r="H49" s="23" t="s">
        <v>8397</v>
      </c>
      <c r="I49" s="20">
        <v>2</v>
      </c>
      <c r="J49" s="24" t="s">
        <v>8398</v>
      </c>
      <c r="K49" s="23" t="s">
        <v>8399</v>
      </c>
      <c r="L49" s="24"/>
    </row>
    <row r="50" spans="1:12" ht="55.5" customHeight="1">
      <c r="A50" s="69">
        <v>47</v>
      </c>
      <c r="B50" s="63" t="s">
        <v>248</v>
      </c>
      <c r="C50" s="64" t="s">
        <v>254</v>
      </c>
      <c r="D50" s="23" t="s">
        <v>8400</v>
      </c>
      <c r="E50" s="23" t="s">
        <v>8401</v>
      </c>
      <c r="F50" s="23" t="s">
        <v>8402</v>
      </c>
      <c r="G50" s="23" t="s">
        <v>8403</v>
      </c>
      <c r="H50" s="23" t="s">
        <v>8404</v>
      </c>
      <c r="I50" s="20">
        <v>2</v>
      </c>
      <c r="J50" s="24" t="s">
        <v>8405</v>
      </c>
      <c r="K50" s="23" t="s">
        <v>8406</v>
      </c>
      <c r="L50" s="24"/>
    </row>
    <row r="51" spans="1:12" ht="55.5" customHeight="1">
      <c r="A51" s="69">
        <v>48</v>
      </c>
      <c r="B51" s="70" t="s">
        <v>248</v>
      </c>
      <c r="C51" s="71" t="s">
        <v>255</v>
      </c>
      <c r="D51" s="72" t="s">
        <v>8407</v>
      </c>
      <c r="E51" s="73" t="s">
        <v>8408</v>
      </c>
      <c r="F51" s="72" t="s">
        <v>8409</v>
      </c>
      <c r="G51" s="72" t="s">
        <v>8410</v>
      </c>
      <c r="H51" s="72" t="s">
        <v>8411</v>
      </c>
      <c r="I51" s="69">
        <v>1</v>
      </c>
      <c r="J51" s="73" t="s">
        <v>8412</v>
      </c>
      <c r="K51" s="72"/>
      <c r="L51" s="73"/>
    </row>
    <row r="52" spans="1:12" ht="42" customHeight="1">
      <c r="A52" s="69">
        <v>49</v>
      </c>
      <c r="B52" s="70" t="s">
        <v>248</v>
      </c>
      <c r="C52" s="71" t="s">
        <v>255</v>
      </c>
      <c r="D52" s="73" t="s">
        <v>8413</v>
      </c>
      <c r="E52" s="72" t="s">
        <v>8414</v>
      </c>
      <c r="F52" s="72" t="s">
        <v>8415</v>
      </c>
      <c r="G52" s="72" t="s">
        <v>8416</v>
      </c>
      <c r="H52" s="72" t="s">
        <v>8417</v>
      </c>
      <c r="I52" s="69">
        <v>4</v>
      </c>
      <c r="J52" s="73" t="s">
        <v>8418</v>
      </c>
      <c r="K52" s="72"/>
      <c r="L52" s="73"/>
    </row>
    <row r="53" spans="1:12" ht="43.5" customHeight="1">
      <c r="A53" s="69">
        <v>50</v>
      </c>
      <c r="B53" s="70" t="s">
        <v>248</v>
      </c>
      <c r="C53" s="71" t="s">
        <v>255</v>
      </c>
      <c r="D53" s="73" t="s">
        <v>8419</v>
      </c>
      <c r="E53" s="72" t="s">
        <v>8420</v>
      </c>
      <c r="F53" s="72" t="s">
        <v>8421</v>
      </c>
      <c r="G53" s="72" t="s">
        <v>8422</v>
      </c>
      <c r="H53" s="72" t="s">
        <v>8423</v>
      </c>
      <c r="I53" s="69">
        <v>4</v>
      </c>
      <c r="J53" s="73" t="s">
        <v>8424</v>
      </c>
      <c r="K53" s="72"/>
      <c r="L53" s="73"/>
    </row>
    <row r="54" spans="1:12" ht="42" customHeight="1">
      <c r="A54" s="69">
        <v>51</v>
      </c>
      <c r="B54" s="70" t="s">
        <v>248</v>
      </c>
      <c r="C54" s="71" t="s">
        <v>255</v>
      </c>
      <c r="D54" s="73" t="s">
        <v>8425</v>
      </c>
      <c r="E54" s="72" t="s">
        <v>8426</v>
      </c>
      <c r="F54" s="72" t="s">
        <v>8427</v>
      </c>
      <c r="G54" s="72" t="s">
        <v>8428</v>
      </c>
      <c r="H54" s="72" t="s">
        <v>8429</v>
      </c>
      <c r="I54" s="69">
        <v>1</v>
      </c>
      <c r="J54" s="73" t="s">
        <v>8430</v>
      </c>
      <c r="K54" s="72"/>
      <c r="L54" s="73"/>
    </row>
    <row r="55" spans="1:12" ht="27.75" customHeight="1">
      <c r="A55" s="69">
        <v>52</v>
      </c>
      <c r="B55" s="70" t="s">
        <v>248</v>
      </c>
      <c r="C55" s="71" t="s">
        <v>255</v>
      </c>
      <c r="D55" s="73" t="s">
        <v>8431</v>
      </c>
      <c r="E55" s="72" t="s">
        <v>8432</v>
      </c>
      <c r="F55" s="72" t="s">
        <v>8433</v>
      </c>
      <c r="G55" s="72" t="s">
        <v>6417</v>
      </c>
      <c r="H55" s="72" t="s">
        <v>6415</v>
      </c>
      <c r="I55" s="69">
        <v>2</v>
      </c>
      <c r="J55" s="73" t="s">
        <v>8434</v>
      </c>
      <c r="K55" s="72"/>
      <c r="L55" s="73"/>
    </row>
    <row r="56" spans="1:12" ht="42" customHeight="1">
      <c r="A56" s="69">
        <v>53</v>
      </c>
      <c r="B56" s="70" t="s">
        <v>248</v>
      </c>
      <c r="C56" s="71" t="s">
        <v>255</v>
      </c>
      <c r="D56" s="73" t="s">
        <v>8435</v>
      </c>
      <c r="E56" s="73" t="s">
        <v>8436</v>
      </c>
      <c r="F56" s="73" t="s">
        <v>8437</v>
      </c>
      <c r="G56" s="73" t="s">
        <v>8438</v>
      </c>
      <c r="H56" s="73" t="s">
        <v>8439</v>
      </c>
      <c r="I56" s="69">
        <v>2</v>
      </c>
      <c r="J56" s="73" t="s">
        <v>8440</v>
      </c>
      <c r="K56" s="72"/>
      <c r="L56" s="73"/>
    </row>
    <row r="57" spans="1:12" ht="42" customHeight="1">
      <c r="A57" s="69">
        <v>54</v>
      </c>
      <c r="B57" s="70" t="s">
        <v>248</v>
      </c>
      <c r="C57" s="71" t="s">
        <v>255</v>
      </c>
      <c r="D57" s="73" t="s">
        <v>8441</v>
      </c>
      <c r="E57" s="72" t="s">
        <v>8442</v>
      </c>
      <c r="F57" s="72" t="s">
        <v>8443</v>
      </c>
      <c r="G57" s="72" t="s">
        <v>8444</v>
      </c>
      <c r="H57" s="72" t="s">
        <v>8445</v>
      </c>
      <c r="I57" s="69">
        <v>4</v>
      </c>
      <c r="J57" s="73" t="s">
        <v>8446</v>
      </c>
      <c r="K57" s="72"/>
      <c r="L57" s="73"/>
    </row>
    <row r="58" spans="1:12" ht="27.75" customHeight="1">
      <c r="A58" s="69">
        <v>55</v>
      </c>
      <c r="B58" s="70" t="s">
        <v>256</v>
      </c>
      <c r="C58" s="71" t="s">
        <v>257</v>
      </c>
      <c r="D58" s="72" t="s">
        <v>8447</v>
      </c>
      <c r="E58" s="72" t="s">
        <v>8409</v>
      </c>
      <c r="F58" s="72" t="s">
        <v>8411</v>
      </c>
      <c r="G58" s="73" t="s">
        <v>8408</v>
      </c>
      <c r="H58" s="72" t="s">
        <v>8410</v>
      </c>
      <c r="I58" s="69">
        <v>2</v>
      </c>
      <c r="J58" s="73" t="s">
        <v>8448</v>
      </c>
      <c r="K58" s="72"/>
      <c r="L58" s="73"/>
    </row>
    <row r="59" spans="1:12" ht="42" customHeight="1">
      <c r="A59" s="69">
        <v>56</v>
      </c>
      <c r="B59" s="70" t="s">
        <v>256</v>
      </c>
      <c r="C59" s="71" t="s">
        <v>257</v>
      </c>
      <c r="D59" s="72" t="s">
        <v>8449</v>
      </c>
      <c r="E59" s="72" t="s">
        <v>8450</v>
      </c>
      <c r="F59" s="72" t="s">
        <v>8451</v>
      </c>
      <c r="G59" s="72" t="s">
        <v>8452</v>
      </c>
      <c r="H59" s="72" t="s">
        <v>8453</v>
      </c>
      <c r="I59" s="69">
        <v>3</v>
      </c>
      <c r="J59" s="73" t="s">
        <v>8454</v>
      </c>
      <c r="K59" s="72"/>
      <c r="L59" s="73"/>
    </row>
    <row r="60" spans="1:12" ht="57.75" customHeight="1">
      <c r="A60" s="69">
        <v>57</v>
      </c>
      <c r="B60" s="70" t="s">
        <v>256</v>
      </c>
      <c r="C60" s="71" t="s">
        <v>257</v>
      </c>
      <c r="D60" s="72" t="s">
        <v>8455</v>
      </c>
      <c r="E60" s="72" t="s">
        <v>8456</v>
      </c>
      <c r="F60" s="72" t="s">
        <v>8457</v>
      </c>
      <c r="G60" s="72" t="s">
        <v>8458</v>
      </c>
      <c r="H60" s="72" t="s">
        <v>8459</v>
      </c>
      <c r="I60" s="69">
        <v>2</v>
      </c>
      <c r="J60" s="73" t="s">
        <v>8460</v>
      </c>
      <c r="K60" s="72"/>
      <c r="L60" s="73"/>
    </row>
    <row r="61" spans="1:12" ht="42" customHeight="1">
      <c r="A61" s="69">
        <v>58</v>
      </c>
      <c r="B61" s="70" t="s">
        <v>256</v>
      </c>
      <c r="C61" s="71" t="s">
        <v>257</v>
      </c>
      <c r="D61" s="72" t="s">
        <v>8461</v>
      </c>
      <c r="E61" s="72" t="s">
        <v>8462</v>
      </c>
      <c r="F61" s="72" t="s">
        <v>8463</v>
      </c>
      <c r="G61" s="72" t="s">
        <v>8464</v>
      </c>
      <c r="H61" s="72" t="s">
        <v>8465</v>
      </c>
      <c r="I61" s="69">
        <v>4</v>
      </c>
      <c r="J61" s="73" t="s">
        <v>8466</v>
      </c>
      <c r="K61" s="72"/>
      <c r="L61" s="73"/>
    </row>
    <row r="62" spans="1:12" ht="55.5" customHeight="1">
      <c r="A62" s="69">
        <v>59</v>
      </c>
      <c r="B62" s="70" t="s">
        <v>256</v>
      </c>
      <c r="C62" s="71" t="s">
        <v>257</v>
      </c>
      <c r="D62" s="73" t="s">
        <v>8467</v>
      </c>
      <c r="E62" s="72" t="s">
        <v>8468</v>
      </c>
      <c r="F62" s="72" t="s">
        <v>8469</v>
      </c>
      <c r="G62" s="72" t="s">
        <v>8470</v>
      </c>
      <c r="H62" s="72" t="s">
        <v>8471</v>
      </c>
      <c r="I62" s="69">
        <v>2</v>
      </c>
      <c r="J62" s="73" t="s">
        <v>8472</v>
      </c>
      <c r="K62" s="72"/>
      <c r="L62" s="73"/>
    </row>
    <row r="63" spans="1:12" ht="42" customHeight="1">
      <c r="A63" s="69">
        <v>60</v>
      </c>
      <c r="B63" s="70" t="s">
        <v>256</v>
      </c>
      <c r="C63" s="71" t="s">
        <v>257</v>
      </c>
      <c r="D63" s="72" t="s">
        <v>8473</v>
      </c>
      <c r="E63" s="72" t="s">
        <v>8474</v>
      </c>
      <c r="F63" s="72" t="s">
        <v>8475</v>
      </c>
      <c r="G63" s="72" t="s">
        <v>8476</v>
      </c>
      <c r="H63" s="72" t="s">
        <v>8477</v>
      </c>
      <c r="I63" s="69">
        <v>1</v>
      </c>
      <c r="J63" s="73" t="s">
        <v>8478</v>
      </c>
      <c r="K63" s="72"/>
      <c r="L63" s="73"/>
    </row>
    <row r="64" spans="1:12" ht="42" customHeight="1">
      <c r="A64" s="69">
        <v>61</v>
      </c>
      <c r="B64" s="70" t="s">
        <v>256</v>
      </c>
      <c r="C64" s="71" t="s">
        <v>257</v>
      </c>
      <c r="D64" s="72" t="s">
        <v>8479</v>
      </c>
      <c r="E64" s="72" t="s">
        <v>8480</v>
      </c>
      <c r="F64" s="72" t="s">
        <v>8481</v>
      </c>
      <c r="G64" s="72" t="s">
        <v>8482</v>
      </c>
      <c r="H64" s="72" t="s">
        <v>8483</v>
      </c>
      <c r="I64" s="69">
        <v>1</v>
      </c>
      <c r="J64" s="73" t="s">
        <v>8484</v>
      </c>
      <c r="K64" s="72"/>
      <c r="L64" s="73"/>
    </row>
    <row r="65" spans="1:12" ht="42" customHeight="1">
      <c r="A65" s="69">
        <v>62</v>
      </c>
      <c r="B65" s="70" t="s">
        <v>256</v>
      </c>
      <c r="C65" s="71" t="s">
        <v>258</v>
      </c>
      <c r="D65" s="72" t="s">
        <v>7783</v>
      </c>
      <c r="E65" s="72" t="s">
        <v>7784</v>
      </c>
      <c r="F65" s="72" t="s">
        <v>8485</v>
      </c>
      <c r="G65" s="72" t="s">
        <v>8486</v>
      </c>
      <c r="H65" s="72" t="s">
        <v>8487</v>
      </c>
      <c r="I65" s="69">
        <v>2</v>
      </c>
      <c r="J65" s="73" t="s">
        <v>8488</v>
      </c>
      <c r="K65" s="72" t="s">
        <v>8489</v>
      </c>
      <c r="L65" s="73"/>
    </row>
    <row r="66" spans="1:12" ht="42" customHeight="1">
      <c r="A66" s="69">
        <v>63</v>
      </c>
      <c r="B66" s="70" t="s">
        <v>256</v>
      </c>
      <c r="C66" s="71" t="s">
        <v>258</v>
      </c>
      <c r="D66" s="73" t="s">
        <v>8490</v>
      </c>
      <c r="E66" s="72" t="s">
        <v>8491</v>
      </c>
      <c r="F66" s="72" t="s">
        <v>8492</v>
      </c>
      <c r="G66" s="72" t="s">
        <v>8493</v>
      </c>
      <c r="H66" s="73" t="s">
        <v>8494</v>
      </c>
      <c r="I66" s="69">
        <v>3</v>
      </c>
      <c r="J66" s="73" t="s">
        <v>8495</v>
      </c>
      <c r="K66" s="72" t="s">
        <v>8489</v>
      </c>
      <c r="L66" s="73"/>
    </row>
    <row r="67" spans="1:12" ht="43.5" customHeight="1">
      <c r="A67" s="69">
        <v>64</v>
      </c>
      <c r="B67" s="70" t="s">
        <v>256</v>
      </c>
      <c r="C67" s="71" t="s">
        <v>258</v>
      </c>
      <c r="D67" s="73" t="s">
        <v>8496</v>
      </c>
      <c r="E67" s="72" t="s">
        <v>8497</v>
      </c>
      <c r="F67" s="72" t="s">
        <v>8498</v>
      </c>
      <c r="G67" s="72" t="s">
        <v>8499</v>
      </c>
      <c r="H67" s="72" t="s">
        <v>8500</v>
      </c>
      <c r="I67" s="69">
        <v>1</v>
      </c>
      <c r="J67" s="73" t="s">
        <v>8501</v>
      </c>
      <c r="K67" s="72" t="s">
        <v>8489</v>
      </c>
      <c r="L67" s="73"/>
    </row>
    <row r="68" spans="1:12" ht="27.75" customHeight="1">
      <c r="A68" s="69">
        <v>65</v>
      </c>
      <c r="B68" s="70" t="s">
        <v>256</v>
      </c>
      <c r="C68" s="71" t="s">
        <v>258</v>
      </c>
      <c r="D68" s="73" t="s">
        <v>8502</v>
      </c>
      <c r="E68" s="72" t="s">
        <v>8503</v>
      </c>
      <c r="F68" s="72" t="s">
        <v>8504</v>
      </c>
      <c r="G68" s="72" t="s">
        <v>8505</v>
      </c>
      <c r="H68" s="72" t="s">
        <v>8506</v>
      </c>
      <c r="I68" s="69">
        <v>2</v>
      </c>
      <c r="J68" s="73" t="s">
        <v>8507</v>
      </c>
      <c r="K68" s="72" t="s">
        <v>8489</v>
      </c>
      <c r="L68" s="73"/>
    </row>
    <row r="69" spans="1:12" ht="42" customHeight="1">
      <c r="A69" s="69">
        <v>66</v>
      </c>
      <c r="B69" s="70" t="s">
        <v>256</v>
      </c>
      <c r="C69" s="71" t="s">
        <v>258</v>
      </c>
      <c r="D69" s="73" t="s">
        <v>8508</v>
      </c>
      <c r="E69" s="72" t="s">
        <v>8509</v>
      </c>
      <c r="F69" s="72" t="s">
        <v>8510</v>
      </c>
      <c r="G69" s="72" t="s">
        <v>8511</v>
      </c>
      <c r="H69" s="72" t="s">
        <v>8512</v>
      </c>
      <c r="I69" s="69">
        <v>2</v>
      </c>
      <c r="J69" s="73" t="s">
        <v>8513</v>
      </c>
      <c r="K69" s="72" t="s">
        <v>8489</v>
      </c>
      <c r="L69" s="73"/>
    </row>
    <row r="70" spans="1:12" ht="55.5" customHeight="1">
      <c r="A70" s="69">
        <v>67</v>
      </c>
      <c r="B70" s="70" t="s">
        <v>256</v>
      </c>
      <c r="C70" s="71" t="s">
        <v>258</v>
      </c>
      <c r="D70" s="73" t="s">
        <v>8514</v>
      </c>
      <c r="E70" s="72" t="s">
        <v>8515</v>
      </c>
      <c r="F70" s="72" t="s">
        <v>8516</v>
      </c>
      <c r="G70" s="72" t="s">
        <v>8517</v>
      </c>
      <c r="H70" s="72" t="s">
        <v>8518</v>
      </c>
      <c r="I70" s="69">
        <v>3</v>
      </c>
      <c r="J70" s="73" t="s">
        <v>8519</v>
      </c>
      <c r="K70" s="72" t="s">
        <v>8489</v>
      </c>
      <c r="L70" s="73"/>
    </row>
    <row r="71" spans="1:12" ht="42" customHeight="1">
      <c r="A71" s="69">
        <v>68</v>
      </c>
      <c r="B71" s="70" t="s">
        <v>256</v>
      </c>
      <c r="C71" s="71" t="s">
        <v>258</v>
      </c>
      <c r="D71" s="73" t="s">
        <v>8520</v>
      </c>
      <c r="E71" s="72" t="s">
        <v>8521</v>
      </c>
      <c r="F71" s="72" t="s">
        <v>8522</v>
      </c>
      <c r="G71" s="72" t="s">
        <v>8523</v>
      </c>
      <c r="H71" s="72" t="s">
        <v>8524</v>
      </c>
      <c r="I71" s="69">
        <v>3</v>
      </c>
      <c r="J71" s="73" t="s">
        <v>8525</v>
      </c>
      <c r="K71" s="72" t="s">
        <v>8489</v>
      </c>
      <c r="L71" s="73"/>
    </row>
    <row r="72" spans="1:12" ht="42" customHeight="1">
      <c r="A72" s="69">
        <v>69</v>
      </c>
      <c r="B72" s="63" t="s">
        <v>256</v>
      </c>
      <c r="C72" s="64" t="s">
        <v>258</v>
      </c>
      <c r="D72" s="23" t="s">
        <v>8526</v>
      </c>
      <c r="E72" s="23" t="s">
        <v>5793</v>
      </c>
      <c r="F72" s="23" t="s">
        <v>8527</v>
      </c>
      <c r="G72" s="23" t="s">
        <v>8528</v>
      </c>
      <c r="H72" s="23" t="s">
        <v>8529</v>
      </c>
      <c r="I72" s="20">
        <v>2</v>
      </c>
      <c r="J72" s="24" t="s">
        <v>8530</v>
      </c>
      <c r="K72" s="23" t="s">
        <v>8531</v>
      </c>
      <c r="L72" s="24"/>
    </row>
    <row r="73" spans="1:12" ht="55.5" customHeight="1">
      <c r="A73" s="69">
        <v>70</v>
      </c>
      <c r="B73" s="63" t="s">
        <v>256</v>
      </c>
      <c r="C73" s="64" t="s">
        <v>258</v>
      </c>
      <c r="D73" s="23" t="s">
        <v>8532</v>
      </c>
      <c r="E73" s="23" t="s">
        <v>8533</v>
      </c>
      <c r="F73" s="23" t="s">
        <v>8534</v>
      </c>
      <c r="G73" s="23" t="s">
        <v>8535</v>
      </c>
      <c r="H73" s="23" t="s">
        <v>8536</v>
      </c>
      <c r="I73" s="20">
        <v>1</v>
      </c>
      <c r="J73" s="24" t="s">
        <v>8537</v>
      </c>
      <c r="K73" s="23"/>
      <c r="L73" s="24"/>
    </row>
    <row r="74" spans="1:12" ht="72" customHeight="1">
      <c r="A74" s="69">
        <v>71</v>
      </c>
      <c r="B74" s="70" t="s">
        <v>256</v>
      </c>
      <c r="C74" s="71" t="s">
        <v>259</v>
      </c>
      <c r="D74" s="73" t="s">
        <v>8538</v>
      </c>
      <c r="E74" s="72" t="s">
        <v>8539</v>
      </c>
      <c r="F74" s="72" t="s">
        <v>8540</v>
      </c>
      <c r="G74" s="72" t="s">
        <v>8541</v>
      </c>
      <c r="H74" s="72" t="s">
        <v>8542</v>
      </c>
      <c r="I74" s="69">
        <v>4</v>
      </c>
      <c r="J74" s="73" t="s">
        <v>8543</v>
      </c>
      <c r="K74" s="72" t="s">
        <v>8489</v>
      </c>
      <c r="L74" s="73"/>
    </row>
    <row r="75" spans="1:12" ht="42" customHeight="1">
      <c r="A75" s="69">
        <v>72</v>
      </c>
      <c r="B75" s="70" t="s">
        <v>256</v>
      </c>
      <c r="C75" s="71" t="s">
        <v>259</v>
      </c>
      <c r="D75" s="73" t="s">
        <v>8544</v>
      </c>
      <c r="E75" s="72" t="s">
        <v>8545</v>
      </c>
      <c r="F75" s="72" t="s">
        <v>8542</v>
      </c>
      <c r="G75" s="72" t="s">
        <v>8546</v>
      </c>
      <c r="H75" s="72" t="s">
        <v>8547</v>
      </c>
      <c r="I75" s="69">
        <v>3</v>
      </c>
      <c r="J75" s="73" t="s">
        <v>8548</v>
      </c>
      <c r="K75" s="72" t="s">
        <v>8489</v>
      </c>
      <c r="L75" s="73"/>
    </row>
    <row r="76" spans="1:12" ht="42" customHeight="1">
      <c r="A76" s="69">
        <v>73</v>
      </c>
      <c r="B76" s="70" t="s">
        <v>256</v>
      </c>
      <c r="C76" s="71" t="s">
        <v>259</v>
      </c>
      <c r="D76" s="73" t="s">
        <v>8549</v>
      </c>
      <c r="E76" s="72" t="s">
        <v>8550</v>
      </c>
      <c r="F76" s="72" t="s">
        <v>8551</v>
      </c>
      <c r="G76" s="72" t="s">
        <v>8552</v>
      </c>
      <c r="H76" s="72" t="s">
        <v>8553</v>
      </c>
      <c r="I76" s="69">
        <v>2</v>
      </c>
      <c r="J76" s="73" t="s">
        <v>8554</v>
      </c>
      <c r="K76" s="72" t="s">
        <v>8489</v>
      </c>
      <c r="L76" s="73"/>
    </row>
    <row r="77" spans="1:12" ht="27.75" customHeight="1">
      <c r="A77" s="69">
        <v>74</v>
      </c>
      <c r="B77" s="70" t="s">
        <v>256</v>
      </c>
      <c r="C77" s="71" t="s">
        <v>259</v>
      </c>
      <c r="D77" s="73" t="s">
        <v>8555</v>
      </c>
      <c r="E77" s="72" t="s">
        <v>8556</v>
      </c>
      <c r="F77" s="72" t="s">
        <v>8557</v>
      </c>
      <c r="G77" s="72" t="s">
        <v>8558</v>
      </c>
      <c r="H77" s="72" t="s">
        <v>8559</v>
      </c>
      <c r="I77" s="69">
        <v>3</v>
      </c>
      <c r="J77" s="73" t="s">
        <v>8560</v>
      </c>
      <c r="K77" s="72" t="s">
        <v>8489</v>
      </c>
      <c r="L77" s="73"/>
    </row>
    <row r="78" spans="1:12" ht="55.5" customHeight="1">
      <c r="A78" s="69">
        <v>75</v>
      </c>
      <c r="B78" s="70" t="s">
        <v>256</v>
      </c>
      <c r="C78" s="71" t="s">
        <v>259</v>
      </c>
      <c r="D78" s="73" t="s">
        <v>8561</v>
      </c>
      <c r="E78" s="72" t="s">
        <v>8562</v>
      </c>
      <c r="F78" s="72" t="s">
        <v>8563</v>
      </c>
      <c r="G78" s="72" t="s">
        <v>7778</v>
      </c>
      <c r="H78" s="72" t="s">
        <v>8564</v>
      </c>
      <c r="I78" s="69">
        <v>4</v>
      </c>
      <c r="J78" s="73" t="s">
        <v>8565</v>
      </c>
      <c r="K78" s="72" t="s">
        <v>8489</v>
      </c>
      <c r="L78" s="73"/>
    </row>
    <row r="79" spans="1:12" ht="55.5" customHeight="1">
      <c r="A79" s="69">
        <v>76</v>
      </c>
      <c r="B79" s="70" t="s">
        <v>256</v>
      </c>
      <c r="C79" s="71" t="s">
        <v>259</v>
      </c>
      <c r="D79" s="73" t="s">
        <v>8566</v>
      </c>
      <c r="E79" s="72" t="s">
        <v>8567</v>
      </c>
      <c r="F79" s="72" t="s">
        <v>8568</v>
      </c>
      <c r="G79" s="72" t="s">
        <v>8569</v>
      </c>
      <c r="H79" s="72" t="s">
        <v>8570</v>
      </c>
      <c r="I79" s="69">
        <v>2</v>
      </c>
      <c r="J79" s="73" t="s">
        <v>8571</v>
      </c>
      <c r="K79" s="72" t="s">
        <v>8489</v>
      </c>
      <c r="L79" s="73"/>
    </row>
    <row r="80" spans="1:12" ht="43.5" customHeight="1">
      <c r="A80" s="69">
        <v>77</v>
      </c>
      <c r="B80" s="70" t="s">
        <v>256</v>
      </c>
      <c r="C80" s="71" t="s">
        <v>259</v>
      </c>
      <c r="D80" s="73" t="s">
        <v>8572</v>
      </c>
      <c r="E80" s="72" t="s">
        <v>8573</v>
      </c>
      <c r="F80" s="72" t="s">
        <v>8574</v>
      </c>
      <c r="G80" s="72" t="s">
        <v>8575</v>
      </c>
      <c r="H80" s="72" t="s">
        <v>8576</v>
      </c>
      <c r="I80" s="69">
        <v>2</v>
      </c>
      <c r="J80" s="73" t="s">
        <v>8577</v>
      </c>
      <c r="K80" s="72" t="s">
        <v>8489</v>
      </c>
      <c r="L80" s="73"/>
    </row>
    <row r="81" spans="1:12" ht="27.75" customHeight="1">
      <c r="A81" s="69">
        <v>78</v>
      </c>
      <c r="B81" s="70" t="s">
        <v>256</v>
      </c>
      <c r="C81" s="71" t="s">
        <v>260</v>
      </c>
      <c r="D81" s="73" t="s">
        <v>8578</v>
      </c>
      <c r="E81" s="72" t="s">
        <v>8579</v>
      </c>
      <c r="F81" s="72" t="s">
        <v>8580</v>
      </c>
      <c r="G81" s="73" t="s">
        <v>8581</v>
      </c>
      <c r="H81" s="72" t="s">
        <v>8582</v>
      </c>
      <c r="I81" s="69">
        <v>2</v>
      </c>
      <c r="J81" s="73" t="s">
        <v>8583</v>
      </c>
      <c r="K81" s="72"/>
      <c r="L81" s="73"/>
    </row>
    <row r="82" spans="1:12" ht="27.75" customHeight="1">
      <c r="A82" s="69">
        <v>79</v>
      </c>
      <c r="B82" s="70" t="s">
        <v>256</v>
      </c>
      <c r="C82" s="71" t="s">
        <v>260</v>
      </c>
      <c r="D82" s="73" t="s">
        <v>8584</v>
      </c>
      <c r="E82" s="72" t="s">
        <v>8585</v>
      </c>
      <c r="F82" s="72" t="s">
        <v>8586</v>
      </c>
      <c r="G82" s="72" t="s">
        <v>8587</v>
      </c>
      <c r="H82" s="72" t="s">
        <v>8588</v>
      </c>
      <c r="I82" s="69">
        <v>3</v>
      </c>
      <c r="J82" s="73" t="s">
        <v>8589</v>
      </c>
      <c r="K82" s="72"/>
      <c r="L82" s="73"/>
    </row>
    <row r="83" spans="1:12" ht="27.75" customHeight="1">
      <c r="A83" s="69">
        <v>80</v>
      </c>
      <c r="B83" s="70" t="s">
        <v>256</v>
      </c>
      <c r="C83" s="71" t="s">
        <v>260</v>
      </c>
      <c r="D83" s="73" t="s">
        <v>8590</v>
      </c>
      <c r="E83" s="73" t="s">
        <v>5846</v>
      </c>
      <c r="F83" s="73" t="s">
        <v>5847</v>
      </c>
      <c r="G83" s="73" t="s">
        <v>5845</v>
      </c>
      <c r="H83" s="73" t="s">
        <v>5848</v>
      </c>
      <c r="I83" s="69">
        <v>2</v>
      </c>
      <c r="J83" s="73" t="s">
        <v>8591</v>
      </c>
      <c r="K83" s="72"/>
      <c r="L83" s="73"/>
    </row>
    <row r="84" spans="1:12" ht="42" customHeight="1">
      <c r="A84" s="69">
        <v>81</v>
      </c>
      <c r="B84" s="70" t="s">
        <v>256</v>
      </c>
      <c r="C84" s="71" t="s">
        <v>260</v>
      </c>
      <c r="D84" s="73" t="s">
        <v>8592</v>
      </c>
      <c r="E84" s="72" t="s">
        <v>8593</v>
      </c>
      <c r="F84" s="72" t="s">
        <v>8594</v>
      </c>
      <c r="G84" s="72" t="s">
        <v>8595</v>
      </c>
      <c r="H84" s="72" t="s">
        <v>8596</v>
      </c>
      <c r="I84" s="69">
        <v>4</v>
      </c>
      <c r="J84" s="73" t="s">
        <v>8597</v>
      </c>
      <c r="K84" s="72"/>
      <c r="L84" s="73"/>
    </row>
    <row r="85" spans="1:12" ht="42" customHeight="1">
      <c r="A85" s="69">
        <v>82</v>
      </c>
      <c r="B85" s="70" t="s">
        <v>256</v>
      </c>
      <c r="C85" s="71" t="s">
        <v>260</v>
      </c>
      <c r="D85" s="73" t="s">
        <v>8598</v>
      </c>
      <c r="E85" s="73" t="s">
        <v>8599</v>
      </c>
      <c r="F85" s="72" t="s">
        <v>8600</v>
      </c>
      <c r="G85" s="72" t="s">
        <v>8601</v>
      </c>
      <c r="H85" s="72" t="s">
        <v>8602</v>
      </c>
      <c r="I85" s="69">
        <v>3</v>
      </c>
      <c r="J85" s="73" t="s">
        <v>8603</v>
      </c>
      <c r="K85" s="72"/>
      <c r="L85" s="73"/>
    </row>
    <row r="86" spans="1:12" ht="55.5" customHeight="1">
      <c r="A86" s="69">
        <v>83</v>
      </c>
      <c r="B86" s="70" t="s">
        <v>256</v>
      </c>
      <c r="C86" s="71" t="s">
        <v>260</v>
      </c>
      <c r="D86" s="73" t="s">
        <v>8604</v>
      </c>
      <c r="E86" s="72" t="s">
        <v>8605</v>
      </c>
      <c r="F86" s="72" t="s">
        <v>8606</v>
      </c>
      <c r="G86" s="72" t="s">
        <v>8607</v>
      </c>
      <c r="H86" s="72" t="s">
        <v>8608</v>
      </c>
      <c r="I86" s="69">
        <v>3</v>
      </c>
      <c r="J86" s="73" t="s">
        <v>8609</v>
      </c>
      <c r="K86" s="72"/>
      <c r="L86" s="73"/>
    </row>
    <row r="87" spans="1:12" ht="43.5" customHeight="1">
      <c r="A87" s="69">
        <v>84</v>
      </c>
      <c r="B87" s="70" t="s">
        <v>256</v>
      </c>
      <c r="C87" s="71" t="s">
        <v>261</v>
      </c>
      <c r="D87" s="73" t="s">
        <v>8610</v>
      </c>
      <c r="E87" s="72" t="s">
        <v>8611</v>
      </c>
      <c r="F87" s="72" t="s">
        <v>8612</v>
      </c>
      <c r="G87" s="72" t="s">
        <v>8613</v>
      </c>
      <c r="H87" s="72" t="s">
        <v>8614</v>
      </c>
      <c r="I87" s="69">
        <v>3</v>
      </c>
      <c r="J87" s="73" t="s">
        <v>8615</v>
      </c>
      <c r="K87" s="72" t="s">
        <v>8489</v>
      </c>
      <c r="L87" s="73"/>
    </row>
    <row r="88" spans="1:12" ht="42" customHeight="1">
      <c r="A88" s="69">
        <v>85</v>
      </c>
      <c r="B88" s="70" t="s">
        <v>256</v>
      </c>
      <c r="C88" s="71" t="s">
        <v>261</v>
      </c>
      <c r="D88" s="73" t="s">
        <v>8616</v>
      </c>
      <c r="E88" s="72" t="s">
        <v>8617</v>
      </c>
      <c r="F88" s="72" t="s">
        <v>8618</v>
      </c>
      <c r="G88" s="72" t="s">
        <v>8619</v>
      </c>
      <c r="H88" s="72" t="s">
        <v>8620</v>
      </c>
      <c r="I88" s="69">
        <v>4</v>
      </c>
      <c r="J88" s="73" t="s">
        <v>8621</v>
      </c>
      <c r="K88" s="72" t="s">
        <v>8489</v>
      </c>
      <c r="L88" s="73"/>
    </row>
    <row r="89" spans="1:12" ht="42" customHeight="1">
      <c r="A89" s="69">
        <v>86</v>
      </c>
      <c r="B89" s="70" t="s">
        <v>256</v>
      </c>
      <c r="C89" s="71" t="s">
        <v>261</v>
      </c>
      <c r="D89" s="73" t="s">
        <v>8622</v>
      </c>
      <c r="E89" s="72" t="s">
        <v>8623</v>
      </c>
      <c r="F89" s="72" t="s">
        <v>8624</v>
      </c>
      <c r="G89" s="72" t="s">
        <v>8625</v>
      </c>
      <c r="H89" s="73" t="s">
        <v>8626</v>
      </c>
      <c r="I89" s="69">
        <v>1</v>
      </c>
      <c r="J89" s="73" t="s">
        <v>8627</v>
      </c>
      <c r="K89" s="72" t="s">
        <v>8489</v>
      </c>
      <c r="L89" s="73"/>
    </row>
    <row r="90" spans="1:12" ht="42" customHeight="1">
      <c r="A90" s="69">
        <v>87</v>
      </c>
      <c r="B90" s="70" t="s">
        <v>256</v>
      </c>
      <c r="C90" s="71" t="s">
        <v>261</v>
      </c>
      <c r="D90" s="73" t="s">
        <v>8628</v>
      </c>
      <c r="E90" s="72" t="s">
        <v>8629</v>
      </c>
      <c r="F90" s="72" t="s">
        <v>8630</v>
      </c>
      <c r="G90" s="72" t="s">
        <v>8631</v>
      </c>
      <c r="H90" s="72" t="s">
        <v>8632</v>
      </c>
      <c r="I90" s="69">
        <v>2</v>
      </c>
      <c r="J90" s="73" t="s">
        <v>8633</v>
      </c>
      <c r="K90" s="72" t="s">
        <v>8489</v>
      </c>
      <c r="L90" s="73"/>
    </row>
    <row r="91" spans="1:12" ht="42" customHeight="1">
      <c r="A91" s="69">
        <v>88</v>
      </c>
      <c r="B91" s="70" t="s">
        <v>256</v>
      </c>
      <c r="C91" s="71" t="s">
        <v>261</v>
      </c>
      <c r="D91" s="73" t="s">
        <v>8634</v>
      </c>
      <c r="E91" s="72" t="s">
        <v>8635</v>
      </c>
      <c r="F91" s="72" t="s">
        <v>8636</v>
      </c>
      <c r="G91" s="72" t="s">
        <v>8637</v>
      </c>
      <c r="H91" s="72" t="s">
        <v>8638</v>
      </c>
      <c r="I91" s="69">
        <v>4</v>
      </c>
      <c r="J91" s="73" t="s">
        <v>8639</v>
      </c>
      <c r="K91" s="72" t="s">
        <v>8489</v>
      </c>
      <c r="L91" s="73"/>
    </row>
    <row r="92" spans="1:12" ht="55.5" customHeight="1">
      <c r="A92" s="69">
        <v>89</v>
      </c>
      <c r="B92" s="70" t="s">
        <v>256</v>
      </c>
      <c r="C92" s="71" t="s">
        <v>261</v>
      </c>
      <c r="D92" s="72" t="s">
        <v>8640</v>
      </c>
      <c r="E92" s="72" t="s">
        <v>8641</v>
      </c>
      <c r="F92" s="72" t="s">
        <v>8642</v>
      </c>
      <c r="G92" s="72" t="s">
        <v>8643</v>
      </c>
      <c r="H92" s="72" t="s">
        <v>8644</v>
      </c>
      <c r="I92" s="69">
        <v>4</v>
      </c>
      <c r="J92" s="73" t="s">
        <v>8645</v>
      </c>
      <c r="K92" s="72" t="s">
        <v>8489</v>
      </c>
      <c r="L92" s="73"/>
    </row>
    <row r="93" spans="1:12" ht="69.75" customHeight="1">
      <c r="A93" s="69">
        <v>90</v>
      </c>
      <c r="B93" s="70" t="s">
        <v>256</v>
      </c>
      <c r="C93" s="71" t="s">
        <v>261</v>
      </c>
      <c r="D93" s="72" t="s">
        <v>8646</v>
      </c>
      <c r="E93" s="72" t="s">
        <v>8647</v>
      </c>
      <c r="F93" s="72" t="s">
        <v>8648</v>
      </c>
      <c r="G93" s="72" t="s">
        <v>8649</v>
      </c>
      <c r="H93" s="72" t="s">
        <v>8650</v>
      </c>
      <c r="I93" s="69">
        <v>1</v>
      </c>
      <c r="J93" s="73" t="s">
        <v>8651</v>
      </c>
      <c r="K93" s="72" t="s">
        <v>8489</v>
      </c>
      <c r="L93" s="73"/>
    </row>
    <row r="94" spans="1:12" ht="69.75" customHeight="1">
      <c r="A94" s="69">
        <v>91</v>
      </c>
      <c r="B94" s="70" t="s">
        <v>256</v>
      </c>
      <c r="C94" s="71" t="s">
        <v>262</v>
      </c>
      <c r="D94" s="72" t="s">
        <v>8652</v>
      </c>
      <c r="E94" s="72" t="s">
        <v>8653</v>
      </c>
      <c r="F94" s="72" t="s">
        <v>5794</v>
      </c>
      <c r="G94" s="73" t="s">
        <v>7744</v>
      </c>
      <c r="H94" s="72" t="s">
        <v>7750</v>
      </c>
      <c r="I94" s="69">
        <v>1</v>
      </c>
      <c r="J94" s="73" t="s">
        <v>8654</v>
      </c>
      <c r="K94" s="72" t="s">
        <v>8655</v>
      </c>
      <c r="L94" s="73"/>
    </row>
    <row r="95" spans="1:12" ht="69.75" customHeight="1">
      <c r="A95" s="69">
        <v>92</v>
      </c>
      <c r="B95" s="70" t="s">
        <v>256</v>
      </c>
      <c r="C95" s="71" t="s">
        <v>262</v>
      </c>
      <c r="D95" s="72" t="s">
        <v>8656</v>
      </c>
      <c r="E95" s="72" t="s">
        <v>8657</v>
      </c>
      <c r="F95" s="72" t="s">
        <v>8658</v>
      </c>
      <c r="G95" s="72" t="s">
        <v>8659</v>
      </c>
      <c r="H95" s="72" t="s">
        <v>8660</v>
      </c>
      <c r="I95" s="69">
        <v>3</v>
      </c>
      <c r="J95" s="73" t="s">
        <v>8661</v>
      </c>
      <c r="K95" s="72" t="s">
        <v>8655</v>
      </c>
      <c r="L95" s="73"/>
    </row>
    <row r="96" spans="1:12" ht="69.75" customHeight="1">
      <c r="A96" s="69">
        <v>93</v>
      </c>
      <c r="B96" s="70" t="s">
        <v>256</v>
      </c>
      <c r="C96" s="71" t="s">
        <v>262</v>
      </c>
      <c r="D96" s="72" t="s">
        <v>8662</v>
      </c>
      <c r="E96" s="72" t="s">
        <v>8663</v>
      </c>
      <c r="F96" s="72" t="s">
        <v>8664</v>
      </c>
      <c r="G96" s="72" t="s">
        <v>8665</v>
      </c>
      <c r="H96" s="72" t="s">
        <v>8666</v>
      </c>
      <c r="I96" s="69">
        <v>4</v>
      </c>
      <c r="J96" s="73" t="s">
        <v>8667</v>
      </c>
      <c r="K96" s="72" t="s">
        <v>8655</v>
      </c>
      <c r="L96" s="73"/>
    </row>
    <row r="97" spans="1:12" ht="69.75" customHeight="1">
      <c r="A97" s="69">
        <v>94</v>
      </c>
      <c r="B97" s="70" t="s">
        <v>256</v>
      </c>
      <c r="C97" s="71" t="s">
        <v>262</v>
      </c>
      <c r="D97" s="72" t="s">
        <v>8668</v>
      </c>
      <c r="E97" s="72" t="s">
        <v>8669</v>
      </c>
      <c r="F97" s="72" t="s">
        <v>8670</v>
      </c>
      <c r="G97" s="72" t="s">
        <v>8671</v>
      </c>
      <c r="H97" s="72" t="s">
        <v>8672</v>
      </c>
      <c r="I97" s="69">
        <v>4</v>
      </c>
      <c r="J97" s="73" t="s">
        <v>8673</v>
      </c>
      <c r="K97" s="72" t="s">
        <v>8655</v>
      </c>
      <c r="L97" s="73"/>
    </row>
    <row r="98" spans="1:12" ht="69.75" customHeight="1">
      <c r="A98" s="69">
        <v>95</v>
      </c>
      <c r="B98" s="70" t="s">
        <v>256</v>
      </c>
      <c r="C98" s="71" t="s">
        <v>262</v>
      </c>
      <c r="D98" s="72" t="s">
        <v>8674</v>
      </c>
      <c r="E98" s="72" t="s">
        <v>8675</v>
      </c>
      <c r="F98" s="72" t="s">
        <v>8676</v>
      </c>
      <c r="G98" s="72" t="s">
        <v>8275</v>
      </c>
      <c r="H98" s="72" t="s">
        <v>8273</v>
      </c>
      <c r="I98" s="69">
        <v>2</v>
      </c>
      <c r="J98" s="73" t="s">
        <v>8677</v>
      </c>
      <c r="K98" s="72" t="s">
        <v>8655</v>
      </c>
      <c r="L98" s="73"/>
    </row>
    <row r="99" spans="1:12" ht="69.75" customHeight="1">
      <c r="A99" s="69">
        <v>96</v>
      </c>
      <c r="B99" s="70" t="s">
        <v>256</v>
      </c>
      <c r="C99" s="71" t="s">
        <v>262</v>
      </c>
      <c r="D99" s="73" t="s">
        <v>8678</v>
      </c>
      <c r="E99" s="72" t="s">
        <v>8679</v>
      </c>
      <c r="F99" s="72" t="s">
        <v>8680</v>
      </c>
      <c r="G99" s="72" t="s">
        <v>8681</v>
      </c>
      <c r="H99" s="72" t="s">
        <v>8682</v>
      </c>
      <c r="I99" s="69">
        <v>1</v>
      </c>
      <c r="J99" s="73" t="s">
        <v>8683</v>
      </c>
      <c r="K99" s="72" t="s">
        <v>8655</v>
      </c>
      <c r="L99" s="73"/>
    </row>
    <row r="100" spans="1:12" ht="69.75" customHeight="1">
      <c r="A100" s="69">
        <v>97</v>
      </c>
      <c r="B100" s="70" t="s">
        <v>256</v>
      </c>
      <c r="C100" s="71" t="s">
        <v>262</v>
      </c>
      <c r="D100" s="72" t="s">
        <v>8684</v>
      </c>
      <c r="E100" s="72" t="s">
        <v>8685</v>
      </c>
      <c r="F100" s="72" t="s">
        <v>8686</v>
      </c>
      <c r="G100" s="72" t="s">
        <v>8687</v>
      </c>
      <c r="H100" s="72" t="s">
        <v>8688</v>
      </c>
      <c r="I100" s="69">
        <v>4</v>
      </c>
      <c r="J100" s="73" t="s">
        <v>8689</v>
      </c>
      <c r="K100" s="72" t="s">
        <v>8655</v>
      </c>
      <c r="L100" s="73"/>
    </row>
    <row r="101" spans="1:12" ht="67.5" customHeight="1">
      <c r="A101" s="69">
        <v>98</v>
      </c>
      <c r="B101" s="87" t="s">
        <v>248</v>
      </c>
      <c r="C101" s="87" t="s">
        <v>249</v>
      </c>
      <c r="D101" s="88" t="s">
        <v>8690</v>
      </c>
      <c r="E101" s="87" t="s">
        <v>8691</v>
      </c>
      <c r="F101" s="87" t="s">
        <v>8692</v>
      </c>
      <c r="G101" s="87" t="s">
        <v>8693</v>
      </c>
      <c r="H101" s="87" t="s">
        <v>8694</v>
      </c>
      <c r="I101" s="87">
        <v>3</v>
      </c>
      <c r="J101" s="88" t="s">
        <v>8695</v>
      </c>
      <c r="K101" s="87"/>
    </row>
    <row r="102" spans="1:12" ht="67.5" customHeight="1">
      <c r="A102" s="69">
        <v>99</v>
      </c>
      <c r="B102" s="87" t="s">
        <v>248</v>
      </c>
      <c r="C102" s="87" t="s">
        <v>249</v>
      </c>
      <c r="D102" s="88" t="s">
        <v>8696</v>
      </c>
      <c r="E102" s="87" t="s">
        <v>6350</v>
      </c>
      <c r="F102" s="87" t="s">
        <v>6351</v>
      </c>
      <c r="G102" s="87" t="s">
        <v>6352</v>
      </c>
      <c r="H102" s="87" t="s">
        <v>7912</v>
      </c>
      <c r="I102" s="87">
        <v>2</v>
      </c>
      <c r="J102" s="88" t="s">
        <v>8697</v>
      </c>
      <c r="K102" s="87"/>
    </row>
    <row r="103" spans="1:12" ht="84.5" customHeight="1">
      <c r="A103" s="69">
        <v>100</v>
      </c>
      <c r="B103" s="87" t="s">
        <v>248</v>
      </c>
      <c r="C103" s="87" t="s">
        <v>250</v>
      </c>
      <c r="D103" s="88" t="s">
        <v>8698</v>
      </c>
      <c r="E103" s="87" t="s">
        <v>8699</v>
      </c>
      <c r="F103" s="87" t="s">
        <v>8700</v>
      </c>
      <c r="G103" s="87" t="s">
        <v>8701</v>
      </c>
      <c r="H103" s="87" t="s">
        <v>8702</v>
      </c>
      <c r="I103" s="87">
        <v>2</v>
      </c>
      <c r="J103" s="88" t="s">
        <v>8703</v>
      </c>
      <c r="K103" s="87"/>
    </row>
    <row r="104" spans="1:12" ht="84.5" customHeight="1">
      <c r="A104" s="69">
        <v>101</v>
      </c>
      <c r="B104" s="87" t="s">
        <v>248</v>
      </c>
      <c r="C104" s="87" t="s">
        <v>253</v>
      </c>
      <c r="D104" s="88" t="s">
        <v>8704</v>
      </c>
      <c r="E104" s="87" t="s">
        <v>1529</v>
      </c>
      <c r="F104" s="87" t="s">
        <v>1531</v>
      </c>
      <c r="G104" s="87" t="s">
        <v>3680</v>
      </c>
      <c r="H104" s="87" t="s">
        <v>5798</v>
      </c>
      <c r="I104" s="87">
        <v>3</v>
      </c>
      <c r="J104" s="88" t="s">
        <v>8705</v>
      </c>
      <c r="K104" s="87"/>
    </row>
    <row r="105" spans="1:12" ht="67.5" customHeight="1">
      <c r="A105" s="69">
        <v>102</v>
      </c>
      <c r="B105" s="87" t="s">
        <v>248</v>
      </c>
      <c r="C105" s="87" t="s">
        <v>251</v>
      </c>
      <c r="D105" s="88" t="s">
        <v>8706</v>
      </c>
      <c r="E105" s="87" t="s">
        <v>8707</v>
      </c>
      <c r="F105" s="87" t="s">
        <v>8708</v>
      </c>
      <c r="G105" s="87" t="s">
        <v>8709</v>
      </c>
      <c r="H105" s="87" t="s">
        <v>8710</v>
      </c>
      <c r="I105" s="87">
        <v>4</v>
      </c>
      <c r="J105" s="88" t="s">
        <v>8711</v>
      </c>
      <c r="K105" s="87"/>
    </row>
    <row r="106" spans="1:12" ht="67.5" customHeight="1">
      <c r="A106" s="69">
        <v>103</v>
      </c>
      <c r="B106" s="87" t="s">
        <v>248</v>
      </c>
      <c r="C106" s="87" t="s">
        <v>252</v>
      </c>
      <c r="D106" s="88" t="s">
        <v>8712</v>
      </c>
      <c r="E106" s="87" t="s">
        <v>8713</v>
      </c>
      <c r="F106" s="87" t="s">
        <v>8714</v>
      </c>
      <c r="G106" s="87" t="s">
        <v>8715</v>
      </c>
      <c r="H106" s="87" t="s">
        <v>8716</v>
      </c>
      <c r="I106" s="87">
        <v>2</v>
      </c>
      <c r="J106" s="88" t="s">
        <v>8717</v>
      </c>
      <c r="K106" s="87"/>
    </row>
    <row r="107" spans="1:12" ht="101.25" customHeight="1">
      <c r="A107" s="69">
        <v>104</v>
      </c>
      <c r="B107" s="87" t="s">
        <v>248</v>
      </c>
      <c r="C107" s="87" t="s">
        <v>253</v>
      </c>
      <c r="D107" s="88" t="s">
        <v>8718</v>
      </c>
      <c r="E107" s="87" t="s">
        <v>8719</v>
      </c>
      <c r="F107" s="87" t="s">
        <v>8720</v>
      </c>
      <c r="G107" s="87" t="s">
        <v>8721</v>
      </c>
      <c r="H107" s="87" t="s">
        <v>8722</v>
      </c>
      <c r="I107" s="87">
        <v>2</v>
      </c>
      <c r="J107" s="88" t="s">
        <v>8723</v>
      </c>
      <c r="K107" s="87"/>
    </row>
    <row r="108" spans="1:12" ht="84.5" customHeight="1">
      <c r="A108" s="69">
        <v>105</v>
      </c>
      <c r="B108" s="87" t="s">
        <v>248</v>
      </c>
      <c r="C108" s="87" t="s">
        <v>254</v>
      </c>
      <c r="D108" s="88" t="s">
        <v>8724</v>
      </c>
      <c r="E108" s="87" t="s">
        <v>8725</v>
      </c>
      <c r="F108" s="87" t="s">
        <v>8726</v>
      </c>
      <c r="G108" s="87" t="s">
        <v>8727</v>
      </c>
      <c r="H108" s="87" t="s">
        <v>8728</v>
      </c>
      <c r="I108" s="87">
        <v>3</v>
      </c>
      <c r="J108" s="88" t="s">
        <v>8729</v>
      </c>
      <c r="K108" s="87"/>
    </row>
    <row r="109" spans="1:12" ht="67.5" customHeight="1">
      <c r="A109" s="69">
        <v>106</v>
      </c>
      <c r="B109" s="87" t="s">
        <v>248</v>
      </c>
      <c r="C109" s="87" t="s">
        <v>255</v>
      </c>
      <c r="D109" s="88" t="s">
        <v>8730</v>
      </c>
      <c r="E109" s="87" t="s">
        <v>8731</v>
      </c>
      <c r="F109" s="87" t="s">
        <v>8732</v>
      </c>
      <c r="G109" s="87" t="s">
        <v>8733</v>
      </c>
      <c r="H109" s="87" t="s">
        <v>8734</v>
      </c>
      <c r="I109" s="87">
        <v>4</v>
      </c>
      <c r="J109" s="88" t="s">
        <v>8735</v>
      </c>
      <c r="K109" s="87"/>
    </row>
    <row r="110" spans="1:12" ht="84.5" customHeight="1">
      <c r="A110" s="69">
        <v>107</v>
      </c>
      <c r="B110" s="87" t="s">
        <v>248</v>
      </c>
      <c r="C110" s="87" t="s">
        <v>250</v>
      </c>
      <c r="D110" s="88" t="s">
        <v>8736</v>
      </c>
      <c r="E110" s="87" t="s">
        <v>8737</v>
      </c>
      <c r="F110" s="87" t="s">
        <v>8738</v>
      </c>
      <c r="G110" s="87" t="s">
        <v>8739</v>
      </c>
      <c r="H110" s="87" t="s">
        <v>8740</v>
      </c>
      <c r="I110" s="87">
        <v>3</v>
      </c>
      <c r="J110" s="88" t="s">
        <v>8741</v>
      </c>
      <c r="K110" s="87"/>
    </row>
    <row r="111" spans="1:12" ht="67.5" customHeight="1">
      <c r="A111" s="69">
        <v>108</v>
      </c>
      <c r="B111" s="87" t="s">
        <v>248</v>
      </c>
      <c r="C111" s="87" t="s">
        <v>249</v>
      </c>
      <c r="D111" s="88" t="s">
        <v>8742</v>
      </c>
      <c r="E111" s="87" t="s">
        <v>8743</v>
      </c>
      <c r="F111" s="87" t="s">
        <v>8744</v>
      </c>
      <c r="G111" s="87" t="s">
        <v>8745</v>
      </c>
      <c r="H111" s="87" t="s">
        <v>8746</v>
      </c>
      <c r="I111" s="87">
        <v>4</v>
      </c>
      <c r="J111" s="88" t="s">
        <v>8747</v>
      </c>
      <c r="K111" s="87"/>
    </row>
    <row r="112" spans="1:12" ht="84.5" customHeight="1">
      <c r="A112" s="69">
        <v>109</v>
      </c>
      <c r="B112" s="87" t="s">
        <v>248</v>
      </c>
      <c r="C112" s="87" t="s">
        <v>251</v>
      </c>
      <c r="D112" s="88" t="s">
        <v>8748</v>
      </c>
      <c r="E112" s="87" t="s">
        <v>8749</v>
      </c>
      <c r="F112" s="87" t="s">
        <v>8750</v>
      </c>
      <c r="G112" s="87" t="s">
        <v>8751</v>
      </c>
      <c r="H112" s="87" t="s">
        <v>8752</v>
      </c>
      <c r="I112" s="87">
        <v>1</v>
      </c>
      <c r="J112" s="88" t="s">
        <v>8753</v>
      </c>
      <c r="K112" s="87"/>
    </row>
    <row r="113" spans="1:11" ht="101.25" customHeight="1">
      <c r="A113" s="69">
        <v>110</v>
      </c>
      <c r="B113" s="87" t="s">
        <v>248</v>
      </c>
      <c r="C113" s="87" t="s">
        <v>251</v>
      </c>
      <c r="D113" s="88" t="s">
        <v>8754</v>
      </c>
      <c r="E113" s="87" t="s">
        <v>8755</v>
      </c>
      <c r="F113" s="87" t="s">
        <v>8756</v>
      </c>
      <c r="G113" s="87" t="s">
        <v>8757</v>
      </c>
      <c r="H113" s="87" t="s">
        <v>8758</v>
      </c>
      <c r="I113" s="87">
        <v>1</v>
      </c>
      <c r="J113" s="88" t="s">
        <v>8759</v>
      </c>
      <c r="K113" s="87"/>
    </row>
    <row r="114" spans="1:11" ht="67.5" customHeight="1">
      <c r="A114" s="69">
        <v>111</v>
      </c>
      <c r="B114" s="87" t="s">
        <v>248</v>
      </c>
      <c r="C114" s="87" t="s">
        <v>251</v>
      </c>
      <c r="D114" s="88" t="s">
        <v>8760</v>
      </c>
      <c r="E114" s="87" t="s">
        <v>8761</v>
      </c>
      <c r="F114" s="87" t="s">
        <v>8762</v>
      </c>
      <c r="G114" s="87" t="s">
        <v>8763</v>
      </c>
      <c r="H114" s="87" t="s">
        <v>8764</v>
      </c>
      <c r="I114" s="87">
        <v>1</v>
      </c>
      <c r="J114" s="88" t="s">
        <v>8765</v>
      </c>
      <c r="K114" s="87"/>
    </row>
    <row r="115" spans="1:11" ht="67.5" customHeight="1">
      <c r="A115" s="69">
        <v>112</v>
      </c>
      <c r="B115" s="87" t="s">
        <v>248</v>
      </c>
      <c r="C115" s="87" t="s">
        <v>254</v>
      </c>
      <c r="D115" s="88" t="s">
        <v>8766</v>
      </c>
      <c r="E115" s="87" t="s">
        <v>8767</v>
      </c>
      <c r="F115" s="87" t="s">
        <v>8768</v>
      </c>
      <c r="G115" s="87" t="s">
        <v>8769</v>
      </c>
      <c r="H115" s="87" t="s">
        <v>8770</v>
      </c>
      <c r="I115" s="87">
        <v>4</v>
      </c>
      <c r="J115" s="88" t="s">
        <v>8771</v>
      </c>
      <c r="K115" s="87"/>
    </row>
    <row r="116" spans="1:11" ht="50.75" customHeight="1">
      <c r="A116" s="69">
        <v>113</v>
      </c>
      <c r="B116" s="87" t="s">
        <v>248</v>
      </c>
      <c r="C116" s="87" t="s">
        <v>253</v>
      </c>
      <c r="D116" s="88" t="s">
        <v>8772</v>
      </c>
      <c r="E116" s="87" t="s">
        <v>8773</v>
      </c>
      <c r="F116" s="87" t="s">
        <v>8774</v>
      </c>
      <c r="G116" s="87" t="s">
        <v>8775</v>
      </c>
      <c r="H116" s="87" t="s">
        <v>8776</v>
      </c>
      <c r="I116" s="87">
        <v>2</v>
      </c>
      <c r="J116" s="88" t="s">
        <v>8777</v>
      </c>
      <c r="K116" s="87"/>
    </row>
    <row r="117" spans="1:11" ht="50.75" customHeight="1">
      <c r="A117" s="69">
        <v>114</v>
      </c>
      <c r="B117" s="87" t="s">
        <v>248</v>
      </c>
      <c r="C117" s="87" t="s">
        <v>254</v>
      </c>
      <c r="D117" s="88" t="s">
        <v>8778</v>
      </c>
      <c r="E117" s="87" t="s">
        <v>8779</v>
      </c>
      <c r="F117" s="87" t="s">
        <v>8780</v>
      </c>
      <c r="G117" s="87" t="s">
        <v>8781</v>
      </c>
      <c r="H117" s="87" t="s">
        <v>8782</v>
      </c>
      <c r="I117" s="87">
        <v>2</v>
      </c>
      <c r="J117" s="88" t="s">
        <v>8783</v>
      </c>
      <c r="K117" s="87"/>
    </row>
    <row r="118" spans="1:11" ht="50.75" customHeight="1">
      <c r="A118" s="69">
        <v>115</v>
      </c>
      <c r="B118" s="87" t="s">
        <v>248</v>
      </c>
      <c r="C118" s="87" t="s">
        <v>249</v>
      </c>
      <c r="D118" s="88" t="s">
        <v>8784</v>
      </c>
      <c r="E118" s="87" t="s">
        <v>8785</v>
      </c>
      <c r="F118" s="87" t="s">
        <v>8786</v>
      </c>
      <c r="G118" s="87" t="s">
        <v>8787</v>
      </c>
      <c r="H118" s="87" t="s">
        <v>8788</v>
      </c>
      <c r="I118" s="87">
        <v>2</v>
      </c>
      <c r="J118" s="88" t="s">
        <v>8789</v>
      </c>
      <c r="K118" s="87"/>
    </row>
    <row r="119" spans="1:11" ht="50.75" customHeight="1">
      <c r="A119" s="69">
        <v>116</v>
      </c>
      <c r="B119" s="87" t="s">
        <v>248</v>
      </c>
      <c r="C119" s="87" t="s">
        <v>254</v>
      </c>
      <c r="D119" s="88" t="s">
        <v>8790</v>
      </c>
      <c r="E119" s="87" t="s">
        <v>8791</v>
      </c>
      <c r="F119" s="87" t="s">
        <v>8792</v>
      </c>
      <c r="G119" s="87" t="s">
        <v>8793</v>
      </c>
      <c r="H119" s="87" t="s">
        <v>8794</v>
      </c>
      <c r="I119" s="87">
        <v>2</v>
      </c>
      <c r="J119" s="88" t="s">
        <v>8795</v>
      </c>
      <c r="K119" s="87"/>
    </row>
    <row r="120" spans="1:11" ht="50.75" customHeight="1">
      <c r="A120" s="69">
        <v>117</v>
      </c>
      <c r="B120" s="87" t="s">
        <v>248</v>
      </c>
      <c r="C120" s="87" t="s">
        <v>249</v>
      </c>
      <c r="D120" s="88" t="s">
        <v>8796</v>
      </c>
      <c r="E120" s="87" t="s">
        <v>8084</v>
      </c>
      <c r="F120" s="87" t="s">
        <v>8086</v>
      </c>
      <c r="G120" s="87" t="s">
        <v>8083</v>
      </c>
      <c r="H120" s="87" t="s">
        <v>8797</v>
      </c>
      <c r="I120" s="87">
        <v>4</v>
      </c>
      <c r="J120" s="88" t="s">
        <v>8798</v>
      </c>
      <c r="K120" s="87"/>
    </row>
    <row r="121" spans="1:11" ht="67.5" customHeight="1">
      <c r="A121" s="69">
        <v>118</v>
      </c>
      <c r="B121" s="87" t="s">
        <v>248</v>
      </c>
      <c r="C121" s="87" t="s">
        <v>254</v>
      </c>
      <c r="D121" s="88" t="s">
        <v>8799</v>
      </c>
      <c r="E121" s="87" t="s">
        <v>471</v>
      </c>
      <c r="F121" s="87" t="s">
        <v>472</v>
      </c>
      <c r="G121" s="87" t="s">
        <v>470</v>
      </c>
      <c r="H121" s="87" t="s">
        <v>469</v>
      </c>
      <c r="I121" s="87">
        <v>4</v>
      </c>
      <c r="J121" s="88" t="s">
        <v>5323</v>
      </c>
      <c r="K121" s="87"/>
    </row>
    <row r="122" spans="1:11" ht="67.5" customHeight="1">
      <c r="A122" s="69">
        <v>119</v>
      </c>
      <c r="B122" s="87" t="s">
        <v>256</v>
      </c>
      <c r="C122" s="87" t="s">
        <v>258</v>
      </c>
      <c r="D122" s="88" t="s">
        <v>8800</v>
      </c>
      <c r="E122" s="87" t="s">
        <v>472</v>
      </c>
      <c r="F122" s="87" t="s">
        <v>471</v>
      </c>
      <c r="G122" s="87" t="s">
        <v>469</v>
      </c>
      <c r="H122" s="87" t="s">
        <v>470</v>
      </c>
      <c r="I122" s="87">
        <v>3</v>
      </c>
      <c r="J122" s="88" t="s">
        <v>1765</v>
      </c>
      <c r="K122" s="87"/>
    </row>
    <row r="123" spans="1:11" ht="67.5" customHeight="1">
      <c r="A123" s="69">
        <v>120</v>
      </c>
      <c r="B123" s="87" t="s">
        <v>256</v>
      </c>
      <c r="C123" s="87" t="s">
        <v>258</v>
      </c>
      <c r="D123" s="88" t="s">
        <v>8801</v>
      </c>
      <c r="E123" s="87" t="s">
        <v>478</v>
      </c>
      <c r="F123" s="87" t="s">
        <v>475</v>
      </c>
      <c r="G123" s="87" t="s">
        <v>477</v>
      </c>
      <c r="H123" s="87" t="s">
        <v>476</v>
      </c>
      <c r="I123" s="87">
        <v>2</v>
      </c>
      <c r="J123" s="88" t="s">
        <v>2439</v>
      </c>
      <c r="K123" s="87"/>
    </row>
    <row r="124" spans="1:11" ht="50.75" customHeight="1">
      <c r="A124" s="69">
        <v>121</v>
      </c>
      <c r="B124" s="87" t="s">
        <v>256</v>
      </c>
      <c r="C124" s="87" t="s">
        <v>258</v>
      </c>
      <c r="D124" s="88" t="s">
        <v>8802</v>
      </c>
      <c r="E124" s="87" t="s">
        <v>8084</v>
      </c>
      <c r="F124" s="87" t="s">
        <v>8086</v>
      </c>
      <c r="G124" s="87" t="s">
        <v>8085</v>
      </c>
      <c r="H124" s="87" t="s">
        <v>8083</v>
      </c>
      <c r="I124" s="87">
        <v>1</v>
      </c>
      <c r="J124" s="88" t="s">
        <v>8803</v>
      </c>
      <c r="K124" s="87"/>
    </row>
    <row r="125" spans="1:11" ht="67.5" customHeight="1">
      <c r="A125" s="69">
        <v>122</v>
      </c>
      <c r="B125" s="87" t="s">
        <v>256</v>
      </c>
      <c r="C125" s="87" t="s">
        <v>258</v>
      </c>
      <c r="D125" s="88" t="s">
        <v>8804</v>
      </c>
      <c r="E125" s="87" t="s">
        <v>471</v>
      </c>
      <c r="F125" s="87" t="s">
        <v>470</v>
      </c>
      <c r="G125" s="87" t="s">
        <v>472</v>
      </c>
      <c r="H125" s="87" t="s">
        <v>469</v>
      </c>
      <c r="I125" s="87">
        <v>4</v>
      </c>
      <c r="J125" s="88" t="s">
        <v>5323</v>
      </c>
      <c r="K125" s="87"/>
    </row>
    <row r="126" spans="1:11" ht="67.5" customHeight="1">
      <c r="A126" s="69">
        <v>123</v>
      </c>
      <c r="B126" s="87" t="s">
        <v>256</v>
      </c>
      <c r="C126" s="87" t="s">
        <v>258</v>
      </c>
      <c r="D126" s="88" t="s">
        <v>8805</v>
      </c>
      <c r="E126" s="87" t="s">
        <v>478</v>
      </c>
      <c r="F126" s="87" t="s">
        <v>475</v>
      </c>
      <c r="G126" s="87" t="s">
        <v>477</v>
      </c>
      <c r="H126" s="87" t="s">
        <v>476</v>
      </c>
      <c r="I126" s="87">
        <v>2</v>
      </c>
      <c r="J126" s="88" t="s">
        <v>2439</v>
      </c>
      <c r="K126" s="87"/>
    </row>
    <row r="127" spans="1:11" ht="67.5" customHeight="1">
      <c r="A127" s="69">
        <v>124</v>
      </c>
      <c r="B127" s="87" t="s">
        <v>248</v>
      </c>
      <c r="C127" s="87" t="s">
        <v>251</v>
      </c>
      <c r="D127" s="88" t="s">
        <v>8806</v>
      </c>
      <c r="E127" s="87" t="s">
        <v>469</v>
      </c>
      <c r="F127" s="87" t="s">
        <v>471</v>
      </c>
      <c r="G127" s="87" t="s">
        <v>470</v>
      </c>
      <c r="H127" s="87" t="s">
        <v>472</v>
      </c>
      <c r="I127" s="87">
        <v>1</v>
      </c>
      <c r="J127" s="88" t="s">
        <v>473</v>
      </c>
      <c r="K127" s="87"/>
    </row>
    <row r="128" spans="1:11" ht="101.25" customHeight="1">
      <c r="A128" s="69">
        <v>125</v>
      </c>
      <c r="B128" s="87" t="s">
        <v>256</v>
      </c>
      <c r="C128" s="87" t="s">
        <v>258</v>
      </c>
      <c r="D128" s="88" t="s">
        <v>8807</v>
      </c>
      <c r="E128" s="87" t="s">
        <v>8808</v>
      </c>
      <c r="F128" s="87" t="s">
        <v>8809</v>
      </c>
      <c r="G128" s="87" t="s">
        <v>8810</v>
      </c>
      <c r="H128" s="87" t="s">
        <v>8811</v>
      </c>
      <c r="I128" s="87">
        <v>1</v>
      </c>
      <c r="J128" s="88" t="s">
        <v>8812</v>
      </c>
      <c r="K128" s="87"/>
    </row>
    <row r="129" spans="1:11" ht="67.5" customHeight="1">
      <c r="A129" s="69">
        <v>126</v>
      </c>
      <c r="B129" s="87" t="s">
        <v>256</v>
      </c>
      <c r="C129" s="87" t="s">
        <v>260</v>
      </c>
      <c r="D129" s="88" t="s">
        <v>8813</v>
      </c>
      <c r="E129" s="87" t="s">
        <v>8814</v>
      </c>
      <c r="F129" s="87" t="s">
        <v>8815</v>
      </c>
      <c r="G129" s="87" t="s">
        <v>8816</v>
      </c>
      <c r="H129" s="87" t="s">
        <v>8817</v>
      </c>
      <c r="I129" s="87">
        <v>4</v>
      </c>
      <c r="J129" s="88" t="s">
        <v>8818</v>
      </c>
      <c r="K129" s="87"/>
    </row>
    <row r="130" spans="1:11" ht="67.5" customHeight="1">
      <c r="A130" s="69">
        <v>127</v>
      </c>
      <c r="B130" s="87" t="s">
        <v>256</v>
      </c>
      <c r="C130" s="87" t="s">
        <v>258</v>
      </c>
      <c r="D130" s="88" t="s">
        <v>8819</v>
      </c>
      <c r="E130" s="87" t="s">
        <v>8820</v>
      </c>
      <c r="F130" s="87" t="s">
        <v>8821</v>
      </c>
      <c r="G130" s="87" t="s">
        <v>8822</v>
      </c>
      <c r="H130" s="87" t="s">
        <v>8823</v>
      </c>
      <c r="I130" s="87">
        <v>1</v>
      </c>
      <c r="J130" s="88" t="s">
        <v>8824</v>
      </c>
      <c r="K130" s="87"/>
    </row>
    <row r="131" spans="1:11" ht="118.25" customHeight="1">
      <c r="A131" s="69">
        <v>128</v>
      </c>
      <c r="B131" s="87" t="s">
        <v>256</v>
      </c>
      <c r="C131" s="87" t="s">
        <v>258</v>
      </c>
      <c r="D131" s="88" t="s">
        <v>8825</v>
      </c>
      <c r="E131" s="87" t="s">
        <v>8826</v>
      </c>
      <c r="F131" s="87" t="s">
        <v>8827</v>
      </c>
      <c r="G131" s="87" t="s">
        <v>8828</v>
      </c>
      <c r="H131" s="87" t="s">
        <v>8829</v>
      </c>
      <c r="I131" s="87">
        <v>1</v>
      </c>
      <c r="J131" s="88" t="s">
        <v>8830</v>
      </c>
      <c r="K131" s="87"/>
    </row>
    <row r="132" spans="1:11" ht="84.5" customHeight="1">
      <c r="A132" s="69">
        <v>129</v>
      </c>
      <c r="B132" s="87" t="s">
        <v>256</v>
      </c>
      <c r="C132" s="87" t="s">
        <v>258</v>
      </c>
      <c r="D132" s="88" t="s">
        <v>8831</v>
      </c>
      <c r="E132" s="87" t="s">
        <v>8832</v>
      </c>
      <c r="F132" s="87" t="s">
        <v>8833</v>
      </c>
      <c r="G132" s="87" t="s">
        <v>8834</v>
      </c>
      <c r="H132" s="87" t="s">
        <v>8835</v>
      </c>
      <c r="I132" s="87">
        <v>1</v>
      </c>
      <c r="J132" s="88" t="s">
        <v>8836</v>
      </c>
      <c r="K132" s="87"/>
    </row>
    <row r="133" spans="1:11" ht="17" customHeight="1">
      <c r="A133">
        <v>130</v>
      </c>
      <c r="B133" t="s">
        <v>256</v>
      </c>
      <c r="C133" t="s">
        <v>260</v>
      </c>
      <c r="D133" t="s">
        <v>8837</v>
      </c>
      <c r="E133" t="s">
        <v>1075</v>
      </c>
      <c r="F133" t="s">
        <v>1076</v>
      </c>
      <c r="G133" t="s">
        <v>8838</v>
      </c>
      <c r="H133" t="s">
        <v>1078</v>
      </c>
      <c r="I133">
        <v>4</v>
      </c>
      <c r="J133" t="s">
        <v>8839</v>
      </c>
      <c r="K133" t="s">
        <v>8840</v>
      </c>
    </row>
  </sheetData>
  <mergeCells count="1">
    <mergeCell ref="A1:L1"/>
  </mergeCells>
  <phoneticPr fontId="58" type="noConversion"/>
  <pageMargins left="0.75" right="0.75" top="1" bottom="1" header="0.511811023622047" footer="0.511811023622047"/>
  <pageSetup fitToHeight="0"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M158"/>
  <sheetViews>
    <sheetView zoomScaleNormal="100" workbookViewId="0">
      <pane xSplit="3" ySplit="3" topLeftCell="H154" activePane="bottomRight" state="frozen"/>
      <selection pane="topRight" activeCell="D1" sqref="D1"/>
      <selection pane="bottomLeft" activeCell="A4" sqref="A4"/>
      <selection pane="bottomRight" activeCell="H154" sqref="H154"/>
    </sheetView>
  </sheetViews>
  <sheetFormatPr baseColWidth="10" defaultColWidth="8.6640625" defaultRowHeight="15"/>
  <cols>
    <col min="1" max="1" width="6" style="6" customWidth="1"/>
    <col min="2" max="2" width="26" style="6" customWidth="1"/>
    <col min="3" max="3" width="30" style="6" customWidth="1"/>
    <col min="4" max="4" width="42" style="5" customWidth="1"/>
    <col min="5" max="8" width="20" style="5" customWidth="1"/>
    <col min="9" max="9" width="10" style="5" customWidth="1"/>
    <col min="10" max="10" width="44" style="5" customWidth="1"/>
    <col min="11" max="11" width="26" style="5" customWidth="1"/>
    <col min="12" max="12" width="8" style="5" customWidth="1"/>
    <col min="13" max="14" width="8.6640625" style="5" customWidth="1"/>
    <col min="15" max="16384" width="8.6640625" style="5"/>
  </cols>
  <sheetData>
    <row r="1" spans="1:13" ht="16.5" customHeight="1">
      <c r="A1" s="180" t="s">
        <v>8841</v>
      </c>
      <c r="B1" s="152"/>
      <c r="C1" s="152"/>
      <c r="D1" s="151"/>
      <c r="E1" s="151"/>
      <c r="F1" s="151"/>
      <c r="G1" s="151"/>
      <c r="H1" s="151"/>
      <c r="I1" s="151"/>
      <c r="J1" s="151"/>
      <c r="K1" s="151"/>
      <c r="L1" s="151"/>
    </row>
    <row r="3" spans="1:13" ht="19.5" customHeight="1">
      <c r="A3" s="8" t="s">
        <v>0</v>
      </c>
      <c r="B3" s="8" t="s">
        <v>1</v>
      </c>
      <c r="C3" s="8" t="s">
        <v>2</v>
      </c>
      <c r="D3" s="8" t="s">
        <v>3</v>
      </c>
      <c r="E3" s="8" t="s">
        <v>4</v>
      </c>
      <c r="F3" s="8" t="s">
        <v>5</v>
      </c>
      <c r="G3" s="8" t="s">
        <v>6</v>
      </c>
      <c r="H3" s="8" t="s">
        <v>7</v>
      </c>
      <c r="I3" s="8" t="s">
        <v>8</v>
      </c>
      <c r="J3" s="8" t="s">
        <v>9</v>
      </c>
      <c r="K3" s="8" t="s">
        <v>10</v>
      </c>
      <c r="L3" s="93" t="s">
        <v>737</v>
      </c>
      <c r="M3" s="94" t="s">
        <v>738</v>
      </c>
    </row>
    <row r="4" spans="1:13" ht="43.5" customHeight="1">
      <c r="A4" s="69">
        <v>1</v>
      </c>
      <c r="B4" s="79" t="s">
        <v>264</v>
      </c>
      <c r="C4" s="80" t="s">
        <v>265</v>
      </c>
      <c r="D4" s="72" t="s">
        <v>8842</v>
      </c>
      <c r="E4" s="72" t="s">
        <v>8843</v>
      </c>
      <c r="F4" s="72" t="s">
        <v>8844</v>
      </c>
      <c r="G4" s="72" t="s">
        <v>8845</v>
      </c>
      <c r="H4" s="72" t="s">
        <v>8846</v>
      </c>
      <c r="I4" s="73">
        <v>2</v>
      </c>
      <c r="J4" s="73" t="s">
        <v>8847</v>
      </c>
      <c r="K4" s="72" t="s">
        <v>8844</v>
      </c>
      <c r="L4" s="73"/>
    </row>
    <row r="5" spans="1:13" ht="42" customHeight="1">
      <c r="A5" s="69">
        <v>2</v>
      </c>
      <c r="B5" s="79" t="s">
        <v>264</v>
      </c>
      <c r="C5" s="80" t="s">
        <v>265</v>
      </c>
      <c r="D5" s="72" t="s">
        <v>8848</v>
      </c>
      <c r="E5" s="72" t="s">
        <v>8849</v>
      </c>
      <c r="F5" s="72" t="s">
        <v>8850</v>
      </c>
      <c r="G5" s="72" t="s">
        <v>8851</v>
      </c>
      <c r="H5" s="72" t="s">
        <v>8852</v>
      </c>
      <c r="I5" s="73">
        <v>1</v>
      </c>
      <c r="J5" s="73" t="s">
        <v>8853</v>
      </c>
      <c r="K5" s="72" t="s">
        <v>8844</v>
      </c>
      <c r="L5" s="73"/>
    </row>
    <row r="6" spans="1:13" ht="27.75" customHeight="1">
      <c r="A6" s="69">
        <v>3</v>
      </c>
      <c r="B6" s="79" t="s">
        <v>264</v>
      </c>
      <c r="C6" s="80" t="s">
        <v>265</v>
      </c>
      <c r="D6" s="72" t="s">
        <v>8854</v>
      </c>
      <c r="E6" s="72" t="s">
        <v>8855</v>
      </c>
      <c r="F6" s="72" t="s">
        <v>8856</v>
      </c>
      <c r="G6" s="72" t="s">
        <v>8857</v>
      </c>
      <c r="H6" s="72" t="s">
        <v>8858</v>
      </c>
      <c r="I6" s="73">
        <v>3</v>
      </c>
      <c r="J6" s="73" t="s">
        <v>8859</v>
      </c>
      <c r="K6" s="72" t="s">
        <v>6505</v>
      </c>
      <c r="L6" s="73"/>
    </row>
    <row r="7" spans="1:13" ht="27.75" customHeight="1">
      <c r="A7" s="69">
        <v>4</v>
      </c>
      <c r="B7" s="79" t="s">
        <v>264</v>
      </c>
      <c r="C7" s="80" t="s">
        <v>265</v>
      </c>
      <c r="D7" s="72" t="s">
        <v>8860</v>
      </c>
      <c r="E7" s="72" t="s">
        <v>8861</v>
      </c>
      <c r="F7" s="72" t="s">
        <v>8862</v>
      </c>
      <c r="G7" s="72" t="s">
        <v>8863</v>
      </c>
      <c r="H7" s="72" t="s">
        <v>8864</v>
      </c>
      <c r="I7" s="73">
        <v>3</v>
      </c>
      <c r="J7" s="73" t="s">
        <v>8865</v>
      </c>
      <c r="K7" s="72" t="s">
        <v>8844</v>
      </c>
      <c r="L7" s="73"/>
    </row>
    <row r="8" spans="1:13" ht="42" customHeight="1">
      <c r="A8" s="69">
        <v>5</v>
      </c>
      <c r="B8" s="79" t="s">
        <v>264</v>
      </c>
      <c r="C8" s="80" t="s">
        <v>265</v>
      </c>
      <c r="D8" s="73" t="s">
        <v>8866</v>
      </c>
      <c r="E8" s="72" t="s">
        <v>8867</v>
      </c>
      <c r="F8" s="72" t="s">
        <v>8868</v>
      </c>
      <c r="G8" s="72" t="s">
        <v>8869</v>
      </c>
      <c r="H8" s="72" t="s">
        <v>8870</v>
      </c>
      <c r="I8" s="73">
        <v>3</v>
      </c>
      <c r="J8" s="73" t="s">
        <v>8871</v>
      </c>
      <c r="K8" s="72" t="s">
        <v>6505</v>
      </c>
      <c r="L8" s="73"/>
    </row>
    <row r="9" spans="1:13" ht="55.5" customHeight="1">
      <c r="A9" s="69">
        <v>6</v>
      </c>
      <c r="B9" s="79" t="s">
        <v>264</v>
      </c>
      <c r="C9" s="80" t="s">
        <v>265</v>
      </c>
      <c r="D9" s="72" t="s">
        <v>8872</v>
      </c>
      <c r="E9" s="72" t="s">
        <v>8873</v>
      </c>
      <c r="F9" s="72" t="s">
        <v>8874</v>
      </c>
      <c r="G9" s="72" t="s">
        <v>8875</v>
      </c>
      <c r="H9" s="72" t="s">
        <v>8876</v>
      </c>
      <c r="I9" s="73">
        <v>4</v>
      </c>
      <c r="J9" s="73" t="s">
        <v>8877</v>
      </c>
      <c r="K9" s="72" t="s">
        <v>8844</v>
      </c>
      <c r="L9" s="73"/>
    </row>
    <row r="10" spans="1:13" ht="42" customHeight="1">
      <c r="A10" s="69">
        <v>7</v>
      </c>
      <c r="B10" s="79" t="s">
        <v>264</v>
      </c>
      <c r="C10" s="80" t="s">
        <v>265</v>
      </c>
      <c r="D10" s="72" t="s">
        <v>8878</v>
      </c>
      <c r="E10" s="72" t="s">
        <v>8879</v>
      </c>
      <c r="F10" s="72" t="s">
        <v>8880</v>
      </c>
      <c r="G10" s="72" t="s">
        <v>8881</v>
      </c>
      <c r="H10" s="72" t="s">
        <v>8882</v>
      </c>
      <c r="I10" s="73">
        <v>1</v>
      </c>
      <c r="J10" s="73" t="s">
        <v>8883</v>
      </c>
      <c r="K10" s="72" t="s">
        <v>8844</v>
      </c>
      <c r="L10" s="73"/>
    </row>
    <row r="11" spans="1:13" ht="43.5" customHeight="1">
      <c r="A11" s="69">
        <v>8</v>
      </c>
      <c r="B11" s="79" t="s">
        <v>264</v>
      </c>
      <c r="C11" s="80" t="s">
        <v>266</v>
      </c>
      <c r="D11" s="72" t="s">
        <v>8884</v>
      </c>
      <c r="E11" s="72" t="s">
        <v>8885</v>
      </c>
      <c r="F11" s="72" t="s">
        <v>8886</v>
      </c>
      <c r="G11" s="72" t="s">
        <v>8887</v>
      </c>
      <c r="H11" s="72" t="s">
        <v>8888</v>
      </c>
      <c r="I11" s="73">
        <v>2</v>
      </c>
      <c r="J11" s="73" t="s">
        <v>8889</v>
      </c>
      <c r="K11" s="72" t="s">
        <v>8846</v>
      </c>
      <c r="L11" s="73"/>
    </row>
    <row r="12" spans="1:13" ht="42" customHeight="1">
      <c r="A12" s="69">
        <v>9</v>
      </c>
      <c r="B12" s="79" t="s">
        <v>264</v>
      </c>
      <c r="C12" s="80" t="s">
        <v>266</v>
      </c>
      <c r="D12" s="72" t="s">
        <v>8890</v>
      </c>
      <c r="E12" s="72" t="s">
        <v>8891</v>
      </c>
      <c r="F12" s="72" t="s">
        <v>8892</v>
      </c>
      <c r="G12" s="72" t="s">
        <v>8893</v>
      </c>
      <c r="H12" s="72" t="s">
        <v>8894</v>
      </c>
      <c r="I12" s="73">
        <v>4</v>
      </c>
      <c r="J12" s="73" t="s">
        <v>8895</v>
      </c>
      <c r="K12" s="72" t="s">
        <v>8846</v>
      </c>
      <c r="L12" s="73"/>
    </row>
    <row r="13" spans="1:13" ht="42" customHeight="1">
      <c r="A13" s="69">
        <v>10</v>
      </c>
      <c r="B13" s="79" t="s">
        <v>264</v>
      </c>
      <c r="C13" s="80" t="s">
        <v>266</v>
      </c>
      <c r="D13" s="72" t="s">
        <v>8896</v>
      </c>
      <c r="E13" s="72" t="s">
        <v>8893</v>
      </c>
      <c r="F13" s="72" t="s">
        <v>8897</v>
      </c>
      <c r="G13" s="72" t="s">
        <v>8894</v>
      </c>
      <c r="H13" s="72" t="s">
        <v>8898</v>
      </c>
      <c r="I13" s="73">
        <v>1</v>
      </c>
      <c r="J13" s="73" t="s">
        <v>8899</v>
      </c>
      <c r="K13" s="72" t="s">
        <v>8846</v>
      </c>
      <c r="L13" s="73"/>
    </row>
    <row r="14" spans="1:13" ht="27.75" customHeight="1">
      <c r="A14" s="69">
        <v>11</v>
      </c>
      <c r="B14" s="79" t="s">
        <v>264</v>
      </c>
      <c r="C14" s="80" t="s">
        <v>266</v>
      </c>
      <c r="D14" s="72" t="s">
        <v>8900</v>
      </c>
      <c r="E14" s="72" t="s">
        <v>8901</v>
      </c>
      <c r="F14" s="72" t="s">
        <v>8902</v>
      </c>
      <c r="G14" s="72" t="s">
        <v>8903</v>
      </c>
      <c r="H14" s="72" t="s">
        <v>8904</v>
      </c>
      <c r="I14" s="73">
        <v>3</v>
      </c>
      <c r="J14" s="73" t="s">
        <v>8905</v>
      </c>
      <c r="K14" s="72" t="s">
        <v>8846</v>
      </c>
      <c r="L14" s="73"/>
    </row>
    <row r="15" spans="1:13" ht="42" customHeight="1">
      <c r="A15" s="69">
        <v>12</v>
      </c>
      <c r="B15" s="79" t="s">
        <v>264</v>
      </c>
      <c r="C15" s="80" t="s">
        <v>266</v>
      </c>
      <c r="D15" s="72" t="s">
        <v>8906</v>
      </c>
      <c r="E15" s="73" t="s">
        <v>8907</v>
      </c>
      <c r="F15" s="73" t="s">
        <v>8908</v>
      </c>
      <c r="G15" s="73" t="s">
        <v>8909</v>
      </c>
      <c r="H15" s="72" t="s">
        <v>8910</v>
      </c>
      <c r="I15" s="73">
        <v>3</v>
      </c>
      <c r="J15" s="73" t="s">
        <v>8911</v>
      </c>
      <c r="K15" s="72" t="s">
        <v>8846</v>
      </c>
      <c r="L15" s="73"/>
    </row>
    <row r="16" spans="1:13" ht="42" customHeight="1">
      <c r="A16" s="69">
        <v>13</v>
      </c>
      <c r="B16" s="79" t="s">
        <v>264</v>
      </c>
      <c r="C16" s="80" t="s">
        <v>266</v>
      </c>
      <c r="D16" s="73" t="s">
        <v>8912</v>
      </c>
      <c r="E16" s="72" t="s">
        <v>8913</v>
      </c>
      <c r="F16" s="72" t="s">
        <v>8914</v>
      </c>
      <c r="G16" s="72" t="s">
        <v>8915</v>
      </c>
      <c r="H16" s="72" t="s">
        <v>8893</v>
      </c>
      <c r="I16" s="73">
        <v>4</v>
      </c>
      <c r="J16" s="73" t="s">
        <v>8916</v>
      </c>
      <c r="K16" s="72" t="s">
        <v>8846</v>
      </c>
      <c r="L16" s="73"/>
    </row>
    <row r="17" spans="1:12" ht="55.5" customHeight="1">
      <c r="A17" s="69">
        <v>14</v>
      </c>
      <c r="B17" s="79" t="s">
        <v>264</v>
      </c>
      <c r="C17" s="80" t="s">
        <v>266</v>
      </c>
      <c r="D17" s="72" t="s">
        <v>8917</v>
      </c>
      <c r="E17" s="72" t="s">
        <v>8918</v>
      </c>
      <c r="F17" s="72" t="s">
        <v>8919</v>
      </c>
      <c r="G17" s="72" t="s">
        <v>8920</v>
      </c>
      <c r="H17" s="72" t="s">
        <v>8921</v>
      </c>
      <c r="I17" s="73">
        <v>1</v>
      </c>
      <c r="J17" s="73" t="s">
        <v>8922</v>
      </c>
      <c r="K17" s="72" t="s">
        <v>8846</v>
      </c>
      <c r="L17" s="73"/>
    </row>
    <row r="18" spans="1:12" ht="29.25" customHeight="1">
      <c r="A18" s="69">
        <v>15</v>
      </c>
      <c r="B18" s="21" t="s">
        <v>264</v>
      </c>
      <c r="C18" s="22" t="s">
        <v>266</v>
      </c>
      <c r="D18" s="23" t="s">
        <v>8923</v>
      </c>
      <c r="E18" s="23" t="s">
        <v>8924</v>
      </c>
      <c r="F18" s="23" t="s">
        <v>8925</v>
      </c>
      <c r="G18" s="23" t="s">
        <v>8926</v>
      </c>
      <c r="H18" s="23" t="s">
        <v>8927</v>
      </c>
      <c r="I18" s="24">
        <v>4</v>
      </c>
      <c r="J18" s="24" t="s">
        <v>8928</v>
      </c>
      <c r="K18" s="23"/>
      <c r="L18" s="24"/>
    </row>
    <row r="19" spans="1:12" ht="42" customHeight="1">
      <c r="A19" s="69">
        <v>16</v>
      </c>
      <c r="B19" s="79" t="s">
        <v>264</v>
      </c>
      <c r="C19" s="80" t="s">
        <v>267</v>
      </c>
      <c r="D19" s="72" t="s">
        <v>8929</v>
      </c>
      <c r="E19" s="72" t="s">
        <v>5795</v>
      </c>
      <c r="F19" s="72" t="s">
        <v>8930</v>
      </c>
      <c r="G19" s="72" t="s">
        <v>8931</v>
      </c>
      <c r="H19" s="72" t="s">
        <v>8932</v>
      </c>
      <c r="I19" s="73">
        <v>1</v>
      </c>
      <c r="J19" s="73" t="s">
        <v>8933</v>
      </c>
      <c r="K19" s="72"/>
      <c r="L19" s="73"/>
    </row>
    <row r="20" spans="1:12" ht="27.75" customHeight="1">
      <c r="A20" s="69">
        <v>17</v>
      </c>
      <c r="B20" s="79" t="s">
        <v>264</v>
      </c>
      <c r="C20" s="80" t="s">
        <v>267</v>
      </c>
      <c r="D20" s="72" t="s">
        <v>8934</v>
      </c>
      <c r="E20" s="72" t="s">
        <v>8931</v>
      </c>
      <c r="F20" s="72" t="s">
        <v>3412</v>
      </c>
      <c r="G20" s="72" t="s">
        <v>8930</v>
      </c>
      <c r="H20" s="72" t="s">
        <v>8932</v>
      </c>
      <c r="I20" s="73">
        <v>3</v>
      </c>
      <c r="J20" s="73" t="s">
        <v>8935</v>
      </c>
      <c r="K20" s="72"/>
      <c r="L20" s="73"/>
    </row>
    <row r="21" spans="1:12" ht="42" customHeight="1">
      <c r="A21" s="69">
        <v>18</v>
      </c>
      <c r="B21" s="79" t="s">
        <v>264</v>
      </c>
      <c r="C21" s="80" t="s">
        <v>267</v>
      </c>
      <c r="D21" s="72" t="s">
        <v>8936</v>
      </c>
      <c r="E21" s="72" t="s">
        <v>5795</v>
      </c>
      <c r="F21" s="72" t="s">
        <v>8930</v>
      </c>
      <c r="G21" s="72" t="s">
        <v>8931</v>
      </c>
      <c r="H21" s="72" t="s">
        <v>3412</v>
      </c>
      <c r="I21" s="73">
        <v>3</v>
      </c>
      <c r="J21" s="73" t="s">
        <v>8937</v>
      </c>
      <c r="K21" s="72"/>
      <c r="L21" s="73"/>
    </row>
    <row r="22" spans="1:12" ht="42" customHeight="1">
      <c r="A22" s="69">
        <v>19</v>
      </c>
      <c r="B22" s="79" t="s">
        <v>264</v>
      </c>
      <c r="C22" s="80" t="s">
        <v>267</v>
      </c>
      <c r="D22" s="72" t="s">
        <v>8938</v>
      </c>
      <c r="E22" s="72" t="s">
        <v>8939</v>
      </c>
      <c r="F22" s="72" t="s">
        <v>5795</v>
      </c>
      <c r="G22" s="72" t="s">
        <v>8932</v>
      </c>
      <c r="H22" s="72" t="s">
        <v>8930</v>
      </c>
      <c r="I22" s="73">
        <v>3</v>
      </c>
      <c r="J22" s="73" t="s">
        <v>8940</v>
      </c>
      <c r="K22" s="72"/>
      <c r="L22" s="73"/>
    </row>
    <row r="23" spans="1:12" ht="42" customHeight="1">
      <c r="A23" s="69">
        <v>20</v>
      </c>
      <c r="B23" s="79" t="s">
        <v>264</v>
      </c>
      <c r="C23" s="80" t="s">
        <v>267</v>
      </c>
      <c r="D23" s="73" t="s">
        <v>8941</v>
      </c>
      <c r="E23" s="72" t="s">
        <v>8931</v>
      </c>
      <c r="F23" s="72" t="s">
        <v>8942</v>
      </c>
      <c r="G23" s="72" t="s">
        <v>8932</v>
      </c>
      <c r="H23" s="72" t="s">
        <v>8943</v>
      </c>
      <c r="I23" s="73">
        <v>3</v>
      </c>
      <c r="J23" s="73" t="s">
        <v>8944</v>
      </c>
      <c r="K23" s="72"/>
      <c r="L23" s="73"/>
    </row>
    <row r="24" spans="1:12" ht="42" customHeight="1">
      <c r="A24" s="69">
        <v>21</v>
      </c>
      <c r="B24" s="79" t="s">
        <v>264</v>
      </c>
      <c r="C24" s="80" t="s">
        <v>267</v>
      </c>
      <c r="D24" s="72" t="s">
        <v>8945</v>
      </c>
      <c r="E24" s="72" t="s">
        <v>8946</v>
      </c>
      <c r="F24" s="72" t="s">
        <v>8947</v>
      </c>
      <c r="G24" s="72" t="s">
        <v>8948</v>
      </c>
      <c r="H24" s="72" t="s">
        <v>8949</v>
      </c>
      <c r="I24" s="73">
        <v>1</v>
      </c>
      <c r="J24" s="73" t="s">
        <v>8950</v>
      </c>
      <c r="K24" s="72"/>
      <c r="L24" s="73"/>
    </row>
    <row r="25" spans="1:12" ht="29.25" customHeight="1">
      <c r="A25" s="69">
        <v>22</v>
      </c>
      <c r="B25" s="79" t="s">
        <v>264</v>
      </c>
      <c r="C25" s="80" t="s">
        <v>267</v>
      </c>
      <c r="D25" s="72" t="s">
        <v>8951</v>
      </c>
      <c r="E25" s="72" t="s">
        <v>7902</v>
      </c>
      <c r="F25" s="72" t="s">
        <v>8952</v>
      </c>
      <c r="G25" s="72" t="s">
        <v>8953</v>
      </c>
      <c r="H25" s="72" t="s">
        <v>8954</v>
      </c>
      <c r="I25" s="73">
        <v>2</v>
      </c>
      <c r="J25" s="73" t="s">
        <v>8955</v>
      </c>
      <c r="K25" s="72"/>
      <c r="L25" s="73"/>
    </row>
    <row r="26" spans="1:12" ht="42" customHeight="1">
      <c r="A26" s="69">
        <v>23</v>
      </c>
      <c r="B26" s="79" t="s">
        <v>268</v>
      </c>
      <c r="C26" s="80" t="s">
        <v>269</v>
      </c>
      <c r="D26" s="72" t="s">
        <v>8956</v>
      </c>
      <c r="E26" s="72" t="s">
        <v>4782</v>
      </c>
      <c r="F26" s="72" t="s">
        <v>7695</v>
      </c>
      <c r="G26" s="72" t="s">
        <v>8957</v>
      </c>
      <c r="H26" s="72" t="s">
        <v>8958</v>
      </c>
      <c r="I26" s="73">
        <v>4</v>
      </c>
      <c r="J26" s="73" t="s">
        <v>8959</v>
      </c>
      <c r="K26" s="72"/>
      <c r="L26" s="73"/>
    </row>
    <row r="27" spans="1:12" ht="27.75" customHeight="1">
      <c r="A27" s="69">
        <v>24</v>
      </c>
      <c r="B27" s="79" t="s">
        <v>268</v>
      </c>
      <c r="C27" s="80" t="s">
        <v>269</v>
      </c>
      <c r="D27" s="72" t="s">
        <v>8960</v>
      </c>
      <c r="E27" s="72" t="s">
        <v>8961</v>
      </c>
      <c r="F27" s="72" t="s">
        <v>8962</v>
      </c>
      <c r="G27" s="72" t="s">
        <v>8963</v>
      </c>
      <c r="H27" s="72" t="s">
        <v>8964</v>
      </c>
      <c r="I27" s="73">
        <v>1</v>
      </c>
      <c r="J27" s="73" t="s">
        <v>8965</v>
      </c>
      <c r="K27" s="72"/>
      <c r="L27" s="73"/>
    </row>
    <row r="28" spans="1:12" ht="55.5" customHeight="1">
      <c r="A28" s="69">
        <v>25</v>
      </c>
      <c r="B28" s="79" t="s">
        <v>268</v>
      </c>
      <c r="C28" s="80" t="s">
        <v>269</v>
      </c>
      <c r="D28" s="72" t="s">
        <v>8966</v>
      </c>
      <c r="E28" s="72" t="s">
        <v>8967</v>
      </c>
      <c r="F28" s="72" t="s">
        <v>8968</v>
      </c>
      <c r="G28" s="72" t="s">
        <v>8969</v>
      </c>
      <c r="H28" s="72" t="s">
        <v>7700</v>
      </c>
      <c r="I28" s="73">
        <v>1</v>
      </c>
      <c r="J28" s="73" t="s">
        <v>8970</v>
      </c>
      <c r="K28" s="72"/>
      <c r="L28" s="73"/>
    </row>
    <row r="29" spans="1:12" ht="42" customHeight="1">
      <c r="A29" s="69">
        <v>26</v>
      </c>
      <c r="B29" s="79" t="s">
        <v>268</v>
      </c>
      <c r="C29" s="80" t="s">
        <v>269</v>
      </c>
      <c r="D29" s="72" t="s">
        <v>8971</v>
      </c>
      <c r="E29" s="72" t="s">
        <v>8972</v>
      </c>
      <c r="F29" s="72" t="s">
        <v>7738</v>
      </c>
      <c r="G29" s="72" t="s">
        <v>8973</v>
      </c>
      <c r="H29" s="72" t="s">
        <v>7739</v>
      </c>
      <c r="I29" s="73">
        <v>1</v>
      </c>
      <c r="J29" s="73" t="s">
        <v>8974</v>
      </c>
      <c r="K29" s="72"/>
      <c r="L29" s="73"/>
    </row>
    <row r="30" spans="1:12" ht="27.75" customHeight="1">
      <c r="A30" s="69">
        <v>27</v>
      </c>
      <c r="B30" s="79" t="s">
        <v>268</v>
      </c>
      <c r="C30" s="80" t="s">
        <v>269</v>
      </c>
      <c r="D30" s="73" t="s">
        <v>8975</v>
      </c>
      <c r="E30" s="72" t="s">
        <v>8976</v>
      </c>
      <c r="F30" s="72" t="s">
        <v>8977</v>
      </c>
      <c r="G30" s="72" t="s">
        <v>8978</v>
      </c>
      <c r="H30" s="72" t="s">
        <v>8979</v>
      </c>
      <c r="I30" s="73">
        <v>3</v>
      </c>
      <c r="J30" s="73" t="s">
        <v>8980</v>
      </c>
      <c r="K30" s="72"/>
      <c r="L30" s="73"/>
    </row>
    <row r="31" spans="1:12" ht="42" customHeight="1">
      <c r="A31" s="69">
        <v>28</v>
      </c>
      <c r="B31" s="79" t="s">
        <v>268</v>
      </c>
      <c r="C31" s="80" t="s">
        <v>269</v>
      </c>
      <c r="D31" s="72" t="s">
        <v>8981</v>
      </c>
      <c r="E31" s="72" t="s">
        <v>8458</v>
      </c>
      <c r="F31" s="72" t="s">
        <v>8982</v>
      </c>
      <c r="G31" s="72" t="s">
        <v>8983</v>
      </c>
      <c r="H31" s="72" t="s">
        <v>8984</v>
      </c>
      <c r="I31" s="73">
        <v>2</v>
      </c>
      <c r="J31" s="73" t="s">
        <v>8985</v>
      </c>
      <c r="K31" s="72"/>
      <c r="L31" s="73"/>
    </row>
    <row r="32" spans="1:12" ht="29.25" customHeight="1">
      <c r="A32" s="69">
        <v>29</v>
      </c>
      <c r="B32" s="79" t="s">
        <v>268</v>
      </c>
      <c r="C32" s="80" t="s">
        <v>269</v>
      </c>
      <c r="D32" s="72" t="s">
        <v>8986</v>
      </c>
      <c r="E32" s="72" t="s">
        <v>8987</v>
      </c>
      <c r="F32" s="72" t="s">
        <v>8988</v>
      </c>
      <c r="G32" s="72" t="s">
        <v>8989</v>
      </c>
      <c r="H32" s="72" t="s">
        <v>8990</v>
      </c>
      <c r="I32" s="73">
        <v>4</v>
      </c>
      <c r="J32" s="73" t="s">
        <v>8991</v>
      </c>
      <c r="K32" s="72"/>
      <c r="L32" s="73"/>
    </row>
    <row r="33" spans="1:12" ht="42" customHeight="1">
      <c r="A33" s="69">
        <v>30</v>
      </c>
      <c r="B33" s="21" t="s">
        <v>268</v>
      </c>
      <c r="C33" s="22" t="s">
        <v>269</v>
      </c>
      <c r="D33" s="23" t="s">
        <v>8992</v>
      </c>
      <c r="E33" s="23" t="s">
        <v>8993</v>
      </c>
      <c r="F33" s="23" t="s">
        <v>8994</v>
      </c>
      <c r="G33" s="23" t="s">
        <v>8995</v>
      </c>
      <c r="H33" s="23" t="s">
        <v>8996</v>
      </c>
      <c r="I33" s="24">
        <v>3</v>
      </c>
      <c r="J33" s="24" t="s">
        <v>8997</v>
      </c>
      <c r="K33" s="23"/>
      <c r="L33" s="24"/>
    </row>
    <row r="34" spans="1:12" ht="42" customHeight="1">
      <c r="A34" s="69">
        <v>31</v>
      </c>
      <c r="B34" s="21" t="s">
        <v>268</v>
      </c>
      <c r="C34" s="22" t="s">
        <v>269</v>
      </c>
      <c r="D34" s="23" t="s">
        <v>8998</v>
      </c>
      <c r="E34" s="23" t="s">
        <v>8999</v>
      </c>
      <c r="F34" s="23" t="s">
        <v>9000</v>
      </c>
      <c r="G34" s="23" t="s">
        <v>9001</v>
      </c>
      <c r="H34" s="23" t="s">
        <v>9002</v>
      </c>
      <c r="I34" s="24">
        <v>2</v>
      </c>
      <c r="J34" s="23" t="s">
        <v>9003</v>
      </c>
      <c r="K34" s="23" t="s">
        <v>1620</v>
      </c>
      <c r="L34" s="24"/>
    </row>
    <row r="35" spans="1:12" ht="42" customHeight="1">
      <c r="A35" s="69">
        <v>32</v>
      </c>
      <c r="B35" s="79" t="s">
        <v>268</v>
      </c>
      <c r="C35" s="80" t="s">
        <v>270</v>
      </c>
      <c r="D35" s="72" t="s">
        <v>9004</v>
      </c>
      <c r="E35" s="72" t="s">
        <v>1531</v>
      </c>
      <c r="F35" s="72" t="s">
        <v>5794</v>
      </c>
      <c r="G35" s="72" t="s">
        <v>3679</v>
      </c>
      <c r="H35" s="72" t="s">
        <v>1529</v>
      </c>
      <c r="I35" s="73">
        <v>4</v>
      </c>
      <c r="J35" s="73" t="s">
        <v>9005</v>
      </c>
      <c r="K35" s="72"/>
      <c r="L35" s="73"/>
    </row>
    <row r="36" spans="1:12" ht="42" customHeight="1">
      <c r="A36" s="69">
        <v>33</v>
      </c>
      <c r="B36" s="79" t="s">
        <v>268</v>
      </c>
      <c r="C36" s="80" t="s">
        <v>270</v>
      </c>
      <c r="D36" s="72" t="s">
        <v>9006</v>
      </c>
      <c r="E36" s="72" t="s">
        <v>9007</v>
      </c>
      <c r="F36" s="72" t="s">
        <v>1648</v>
      </c>
      <c r="G36" s="72" t="s">
        <v>3679</v>
      </c>
      <c r="H36" s="72" t="s">
        <v>1529</v>
      </c>
      <c r="I36" s="73">
        <v>3</v>
      </c>
      <c r="J36" s="73" t="s">
        <v>9008</v>
      </c>
      <c r="K36" s="72"/>
      <c r="L36" s="73"/>
    </row>
    <row r="37" spans="1:12" ht="42" customHeight="1">
      <c r="A37" s="69">
        <v>34</v>
      </c>
      <c r="B37" s="79" t="s">
        <v>268</v>
      </c>
      <c r="C37" s="80" t="s">
        <v>270</v>
      </c>
      <c r="D37" s="72" t="s">
        <v>9009</v>
      </c>
      <c r="E37" s="72" t="s">
        <v>9010</v>
      </c>
      <c r="F37" s="72" t="s">
        <v>9011</v>
      </c>
      <c r="G37" s="72" t="s">
        <v>9012</v>
      </c>
      <c r="H37" s="72" t="s">
        <v>9013</v>
      </c>
      <c r="I37" s="73">
        <v>2</v>
      </c>
      <c r="J37" s="73" t="s">
        <v>9014</v>
      </c>
      <c r="K37" s="72"/>
      <c r="L37" s="73"/>
    </row>
    <row r="38" spans="1:12" ht="42" customHeight="1">
      <c r="A38" s="69">
        <v>35</v>
      </c>
      <c r="B38" s="79" t="s">
        <v>268</v>
      </c>
      <c r="C38" s="80" t="s">
        <v>270</v>
      </c>
      <c r="D38" s="72" t="s">
        <v>9015</v>
      </c>
      <c r="E38" s="72" t="s">
        <v>3679</v>
      </c>
      <c r="F38" s="72" t="s">
        <v>5794</v>
      </c>
      <c r="G38" s="72" t="s">
        <v>9007</v>
      </c>
      <c r="H38" s="72" t="s">
        <v>7750</v>
      </c>
      <c r="I38" s="73">
        <v>1</v>
      </c>
      <c r="J38" s="73" t="s">
        <v>9016</v>
      </c>
      <c r="K38" s="72"/>
      <c r="L38" s="73"/>
    </row>
    <row r="39" spans="1:12" ht="43.5" customHeight="1">
      <c r="A39" s="69">
        <v>36</v>
      </c>
      <c r="B39" s="79" t="s">
        <v>268</v>
      </c>
      <c r="C39" s="80" t="s">
        <v>270</v>
      </c>
      <c r="D39" s="73" t="s">
        <v>9017</v>
      </c>
      <c r="E39" s="72" t="s">
        <v>3679</v>
      </c>
      <c r="F39" s="72" t="s">
        <v>1531</v>
      </c>
      <c r="G39" s="72" t="s">
        <v>1529</v>
      </c>
      <c r="H39" s="72" t="s">
        <v>8234</v>
      </c>
      <c r="I39" s="73">
        <v>3</v>
      </c>
      <c r="J39" s="73" t="s">
        <v>9018</v>
      </c>
      <c r="K39" s="72"/>
      <c r="L39" s="73"/>
    </row>
    <row r="40" spans="1:12" ht="42" customHeight="1">
      <c r="A40" s="69">
        <v>37</v>
      </c>
      <c r="B40" s="79" t="s">
        <v>268</v>
      </c>
      <c r="C40" s="80" t="s">
        <v>270</v>
      </c>
      <c r="D40" s="72" t="s">
        <v>9019</v>
      </c>
      <c r="E40" s="72" t="s">
        <v>9020</v>
      </c>
      <c r="F40" s="72" t="s">
        <v>5486</v>
      </c>
      <c r="G40" s="72" t="s">
        <v>9021</v>
      </c>
      <c r="H40" s="72" t="s">
        <v>7902</v>
      </c>
      <c r="I40" s="73">
        <v>1</v>
      </c>
      <c r="J40" s="73" t="s">
        <v>9022</v>
      </c>
      <c r="K40" s="72"/>
      <c r="L40" s="73"/>
    </row>
    <row r="41" spans="1:12" ht="42" customHeight="1">
      <c r="A41" s="69">
        <v>38</v>
      </c>
      <c r="B41" s="79" t="s">
        <v>268</v>
      </c>
      <c r="C41" s="80" t="s">
        <v>270</v>
      </c>
      <c r="D41" s="72" t="s">
        <v>9023</v>
      </c>
      <c r="E41" s="72" t="s">
        <v>9024</v>
      </c>
      <c r="F41" s="72" t="s">
        <v>9025</v>
      </c>
      <c r="G41" s="72" t="s">
        <v>9026</v>
      </c>
      <c r="H41" s="72" t="s">
        <v>8365</v>
      </c>
      <c r="I41" s="73">
        <v>3</v>
      </c>
      <c r="J41" s="73" t="s">
        <v>9027</v>
      </c>
      <c r="K41" s="72"/>
      <c r="L41" s="73"/>
    </row>
    <row r="42" spans="1:12" ht="27.75" customHeight="1">
      <c r="A42" s="69">
        <v>39</v>
      </c>
      <c r="B42" s="79" t="s">
        <v>268</v>
      </c>
      <c r="C42" s="80" t="s">
        <v>271</v>
      </c>
      <c r="D42" s="72" t="s">
        <v>9028</v>
      </c>
      <c r="E42" s="72" t="s">
        <v>9029</v>
      </c>
      <c r="F42" s="72" t="s">
        <v>7750</v>
      </c>
      <c r="G42" s="72" t="s">
        <v>4749</v>
      </c>
      <c r="H42" s="72" t="s">
        <v>3679</v>
      </c>
      <c r="I42" s="73">
        <v>3</v>
      </c>
      <c r="J42" s="73" t="s">
        <v>9030</v>
      </c>
      <c r="K42" s="72"/>
      <c r="L42" s="73"/>
    </row>
    <row r="43" spans="1:12" ht="42" customHeight="1">
      <c r="A43" s="69">
        <v>40</v>
      </c>
      <c r="B43" s="79" t="s">
        <v>268</v>
      </c>
      <c r="C43" s="80" t="s">
        <v>271</v>
      </c>
      <c r="D43" s="73" t="s">
        <v>9031</v>
      </c>
      <c r="E43" s="72" t="s">
        <v>8024</v>
      </c>
      <c r="F43" s="72" t="s">
        <v>9032</v>
      </c>
      <c r="G43" s="72" t="s">
        <v>9033</v>
      </c>
      <c r="H43" s="72" t="s">
        <v>9034</v>
      </c>
      <c r="I43" s="73">
        <v>3</v>
      </c>
      <c r="J43" s="73" t="s">
        <v>9035</v>
      </c>
      <c r="K43" s="72"/>
      <c r="L43" s="73"/>
    </row>
    <row r="44" spans="1:12" ht="55.5" customHeight="1">
      <c r="A44" s="69">
        <v>41</v>
      </c>
      <c r="B44" s="79" t="s">
        <v>268</v>
      </c>
      <c r="C44" s="80" t="s">
        <v>271</v>
      </c>
      <c r="D44" s="73" t="s">
        <v>9036</v>
      </c>
      <c r="E44" s="72" t="s">
        <v>9037</v>
      </c>
      <c r="F44" s="72" t="s">
        <v>9038</v>
      </c>
      <c r="G44" s="72" t="s">
        <v>9039</v>
      </c>
      <c r="H44" s="72" t="s">
        <v>9040</v>
      </c>
      <c r="I44" s="73">
        <v>3</v>
      </c>
      <c r="J44" s="73" t="s">
        <v>9041</v>
      </c>
      <c r="K44" s="72"/>
      <c r="L44" s="73"/>
    </row>
    <row r="45" spans="1:12" ht="42" customHeight="1">
      <c r="A45" s="69">
        <v>42</v>
      </c>
      <c r="B45" s="79" t="s">
        <v>268</v>
      </c>
      <c r="C45" s="80" t="s">
        <v>271</v>
      </c>
      <c r="D45" s="73" t="s">
        <v>9042</v>
      </c>
      <c r="E45" s="72" t="s">
        <v>9043</v>
      </c>
      <c r="F45" s="72" t="s">
        <v>9044</v>
      </c>
      <c r="G45" s="72" t="s">
        <v>9045</v>
      </c>
      <c r="H45" s="72" t="s">
        <v>9046</v>
      </c>
      <c r="I45" s="73">
        <v>1</v>
      </c>
      <c r="J45" s="73" t="s">
        <v>9047</v>
      </c>
      <c r="K45" s="72"/>
      <c r="L45" s="73"/>
    </row>
    <row r="46" spans="1:12" ht="43.5" customHeight="1">
      <c r="A46" s="69">
        <v>43</v>
      </c>
      <c r="B46" s="79" t="s">
        <v>268</v>
      </c>
      <c r="C46" s="80" t="s">
        <v>271</v>
      </c>
      <c r="D46" s="73" t="s">
        <v>9048</v>
      </c>
      <c r="E46" s="72" t="s">
        <v>8915</v>
      </c>
      <c r="F46" s="72" t="s">
        <v>8913</v>
      </c>
      <c r="G46" s="72" t="s">
        <v>4749</v>
      </c>
      <c r="H46" s="72" t="s">
        <v>5794</v>
      </c>
      <c r="I46" s="73">
        <v>3</v>
      </c>
      <c r="J46" s="73" t="s">
        <v>9049</v>
      </c>
      <c r="K46" s="72"/>
      <c r="L46" s="73"/>
    </row>
    <row r="47" spans="1:12" ht="42" customHeight="1">
      <c r="A47" s="69">
        <v>44</v>
      </c>
      <c r="B47" s="79" t="s">
        <v>268</v>
      </c>
      <c r="C47" s="80" t="s">
        <v>271</v>
      </c>
      <c r="D47" s="73" t="s">
        <v>9050</v>
      </c>
      <c r="E47" s="73" t="s">
        <v>9051</v>
      </c>
      <c r="F47" s="72" t="s">
        <v>9052</v>
      </c>
      <c r="G47" s="73" t="s">
        <v>9053</v>
      </c>
      <c r="H47" s="73" t="s">
        <v>9054</v>
      </c>
      <c r="I47" s="73">
        <v>1</v>
      </c>
      <c r="J47" s="73" t="s">
        <v>9055</v>
      </c>
      <c r="K47" s="72"/>
      <c r="L47" s="73"/>
    </row>
    <row r="48" spans="1:12" ht="27.75" customHeight="1">
      <c r="A48" s="69">
        <v>45</v>
      </c>
      <c r="B48" s="79" t="s">
        <v>268</v>
      </c>
      <c r="C48" s="80" t="s">
        <v>271</v>
      </c>
      <c r="D48" s="73" t="s">
        <v>9056</v>
      </c>
      <c r="E48" s="72" t="s">
        <v>9057</v>
      </c>
      <c r="F48" s="72" t="s">
        <v>8383</v>
      </c>
      <c r="G48" s="72" t="s">
        <v>8384</v>
      </c>
      <c r="H48" s="72" t="s">
        <v>9058</v>
      </c>
      <c r="I48" s="73">
        <v>1</v>
      </c>
      <c r="J48" s="73" t="s">
        <v>9059</v>
      </c>
      <c r="K48" s="72"/>
      <c r="L48" s="73"/>
    </row>
    <row r="49" spans="1:12" ht="27.75" customHeight="1">
      <c r="A49" s="69">
        <v>46</v>
      </c>
      <c r="B49" s="21" t="s">
        <v>268</v>
      </c>
      <c r="C49" s="22" t="s">
        <v>271</v>
      </c>
      <c r="D49" s="23" t="s">
        <v>9060</v>
      </c>
      <c r="E49" s="23" t="s">
        <v>9061</v>
      </c>
      <c r="F49" s="23" t="s">
        <v>9062</v>
      </c>
      <c r="G49" s="23" t="s">
        <v>9063</v>
      </c>
      <c r="H49" s="23" t="s">
        <v>9064</v>
      </c>
      <c r="I49" s="24">
        <v>2</v>
      </c>
      <c r="J49" s="24" t="s">
        <v>9065</v>
      </c>
      <c r="K49" s="23"/>
      <c r="L49" s="24"/>
    </row>
    <row r="50" spans="1:12" ht="42" customHeight="1">
      <c r="A50" s="69">
        <v>47</v>
      </c>
      <c r="B50" s="21" t="s">
        <v>268</v>
      </c>
      <c r="C50" s="22" t="s">
        <v>271</v>
      </c>
      <c r="D50" s="23" t="s">
        <v>9066</v>
      </c>
      <c r="E50" s="23" t="s">
        <v>9067</v>
      </c>
      <c r="F50" s="23" t="s">
        <v>9068</v>
      </c>
      <c r="G50" s="23" t="s">
        <v>9069</v>
      </c>
      <c r="H50" s="23" t="s">
        <v>9070</v>
      </c>
      <c r="I50" s="24">
        <v>2</v>
      </c>
      <c r="J50" s="24" t="s">
        <v>9071</v>
      </c>
      <c r="K50" s="23"/>
      <c r="L50" s="24"/>
    </row>
    <row r="51" spans="1:12" ht="27.75" customHeight="1">
      <c r="A51" s="69">
        <v>48</v>
      </c>
      <c r="B51" s="79" t="s">
        <v>268</v>
      </c>
      <c r="C51" s="80" t="s">
        <v>272</v>
      </c>
      <c r="D51" s="72" t="s">
        <v>9072</v>
      </c>
      <c r="E51" s="72" t="s">
        <v>9073</v>
      </c>
      <c r="F51" s="72" t="s">
        <v>9074</v>
      </c>
      <c r="G51" s="72" t="s">
        <v>9075</v>
      </c>
      <c r="H51" s="72" t="s">
        <v>9076</v>
      </c>
      <c r="I51" s="73">
        <v>4</v>
      </c>
      <c r="J51" s="73" t="s">
        <v>9077</v>
      </c>
      <c r="K51" s="72"/>
      <c r="L51" s="73"/>
    </row>
    <row r="52" spans="1:12" ht="27.75" customHeight="1">
      <c r="A52" s="69">
        <v>49</v>
      </c>
      <c r="B52" s="79" t="s">
        <v>268</v>
      </c>
      <c r="C52" s="80" t="s">
        <v>272</v>
      </c>
      <c r="D52" s="72" t="s">
        <v>9078</v>
      </c>
      <c r="E52" s="72" t="s">
        <v>9079</v>
      </c>
      <c r="F52" s="72" t="s">
        <v>9080</v>
      </c>
      <c r="G52" s="72" t="s">
        <v>9081</v>
      </c>
      <c r="H52" s="72" t="s">
        <v>9082</v>
      </c>
      <c r="I52" s="73">
        <v>2</v>
      </c>
      <c r="J52" s="73" t="s">
        <v>9083</v>
      </c>
      <c r="K52" s="72"/>
      <c r="L52" s="73"/>
    </row>
    <row r="53" spans="1:12" ht="43.5" customHeight="1">
      <c r="A53" s="69">
        <v>50</v>
      </c>
      <c r="B53" s="79" t="s">
        <v>268</v>
      </c>
      <c r="C53" s="80" t="s">
        <v>272</v>
      </c>
      <c r="D53" s="72" t="s">
        <v>9084</v>
      </c>
      <c r="E53" s="72" t="s">
        <v>9085</v>
      </c>
      <c r="F53" s="72" t="s">
        <v>9086</v>
      </c>
      <c r="G53" s="72" t="s">
        <v>9087</v>
      </c>
      <c r="H53" s="72" t="s">
        <v>9088</v>
      </c>
      <c r="I53" s="73">
        <v>4</v>
      </c>
      <c r="J53" s="73" t="s">
        <v>9089</v>
      </c>
      <c r="K53" s="72"/>
      <c r="L53" s="73"/>
    </row>
    <row r="54" spans="1:12" ht="42" customHeight="1">
      <c r="A54" s="69">
        <v>51</v>
      </c>
      <c r="B54" s="79" t="s">
        <v>268</v>
      </c>
      <c r="C54" s="80" t="s">
        <v>272</v>
      </c>
      <c r="D54" s="72" t="s">
        <v>9090</v>
      </c>
      <c r="E54" s="72" t="s">
        <v>9091</v>
      </c>
      <c r="F54" s="72" t="s">
        <v>9092</v>
      </c>
      <c r="G54" s="72" t="s">
        <v>9093</v>
      </c>
      <c r="H54" s="72" t="s">
        <v>9094</v>
      </c>
      <c r="I54" s="73">
        <v>4</v>
      </c>
      <c r="J54" s="73" t="s">
        <v>9095</v>
      </c>
      <c r="K54" s="72"/>
      <c r="L54" s="73"/>
    </row>
    <row r="55" spans="1:12" ht="42" customHeight="1">
      <c r="A55" s="69">
        <v>52</v>
      </c>
      <c r="B55" s="79" t="s">
        <v>268</v>
      </c>
      <c r="C55" s="80" t="s">
        <v>272</v>
      </c>
      <c r="D55" s="73" t="s">
        <v>9096</v>
      </c>
      <c r="E55" s="72" t="s">
        <v>9097</v>
      </c>
      <c r="F55" s="72" t="s">
        <v>9098</v>
      </c>
      <c r="G55" s="72" t="s">
        <v>9099</v>
      </c>
      <c r="H55" s="72" t="s">
        <v>9100</v>
      </c>
      <c r="I55" s="73">
        <v>3</v>
      </c>
      <c r="J55" s="73" t="s">
        <v>9101</v>
      </c>
      <c r="K55" s="72"/>
      <c r="L55" s="73"/>
    </row>
    <row r="56" spans="1:12" ht="42" customHeight="1">
      <c r="A56" s="69">
        <v>53</v>
      </c>
      <c r="B56" s="79" t="s">
        <v>268</v>
      </c>
      <c r="C56" s="80" t="s">
        <v>272</v>
      </c>
      <c r="D56" s="72" t="s">
        <v>9102</v>
      </c>
      <c r="E56" s="72" t="s">
        <v>9032</v>
      </c>
      <c r="F56" s="72" t="s">
        <v>9103</v>
      </c>
      <c r="G56" s="72" t="s">
        <v>8024</v>
      </c>
      <c r="H56" s="72" t="s">
        <v>9104</v>
      </c>
      <c r="I56" s="73">
        <v>4</v>
      </c>
      <c r="J56" s="73" t="s">
        <v>9105</v>
      </c>
      <c r="K56" s="72"/>
      <c r="L56" s="73"/>
    </row>
    <row r="57" spans="1:12" ht="55.5" customHeight="1">
      <c r="A57" s="69">
        <v>54</v>
      </c>
      <c r="B57" s="79" t="s">
        <v>268</v>
      </c>
      <c r="C57" s="80" t="s">
        <v>272</v>
      </c>
      <c r="D57" s="72" t="s">
        <v>9106</v>
      </c>
      <c r="E57" s="72" t="s">
        <v>9107</v>
      </c>
      <c r="F57" s="72" t="s">
        <v>9108</v>
      </c>
      <c r="G57" s="72" t="s">
        <v>9109</v>
      </c>
      <c r="H57" s="72" t="s">
        <v>9110</v>
      </c>
      <c r="I57" s="73">
        <v>4</v>
      </c>
      <c r="J57" s="73" t="s">
        <v>9111</v>
      </c>
      <c r="K57" s="72"/>
      <c r="L57" s="73"/>
    </row>
    <row r="58" spans="1:12" ht="42" customHeight="1">
      <c r="A58" s="69">
        <v>55</v>
      </c>
      <c r="B58" s="21" t="s">
        <v>268</v>
      </c>
      <c r="C58" s="22" t="s">
        <v>272</v>
      </c>
      <c r="D58" s="23" t="s">
        <v>9112</v>
      </c>
      <c r="E58" s="23" t="s">
        <v>9113</v>
      </c>
      <c r="F58" s="23" t="s">
        <v>9114</v>
      </c>
      <c r="G58" s="23" t="s">
        <v>9115</v>
      </c>
      <c r="H58" s="23" t="s">
        <v>9116</v>
      </c>
      <c r="I58" s="24">
        <v>4</v>
      </c>
      <c r="J58" s="24" t="s">
        <v>9117</v>
      </c>
      <c r="K58" s="23"/>
      <c r="L58" s="24"/>
    </row>
    <row r="59" spans="1:12" ht="69.75" customHeight="1">
      <c r="A59" s="69">
        <v>56</v>
      </c>
      <c r="B59" s="79" t="s">
        <v>268</v>
      </c>
      <c r="C59" s="80" t="s">
        <v>273</v>
      </c>
      <c r="D59" s="72" t="s">
        <v>9118</v>
      </c>
      <c r="E59" s="72" t="s">
        <v>9119</v>
      </c>
      <c r="F59" s="72" t="s">
        <v>9120</v>
      </c>
      <c r="G59" s="72" t="s">
        <v>9121</v>
      </c>
      <c r="H59" s="72" t="s">
        <v>9122</v>
      </c>
      <c r="I59" s="73">
        <v>1</v>
      </c>
      <c r="J59" s="73" t="s">
        <v>9123</v>
      </c>
      <c r="K59" s="72" t="s">
        <v>7985</v>
      </c>
      <c r="L59" s="73"/>
    </row>
    <row r="60" spans="1:12" ht="29.25" customHeight="1">
      <c r="A60" s="69">
        <v>57</v>
      </c>
      <c r="B60" s="79" t="s">
        <v>268</v>
      </c>
      <c r="C60" s="80" t="s">
        <v>273</v>
      </c>
      <c r="D60" s="72" t="s">
        <v>9124</v>
      </c>
      <c r="E60" s="72" t="s">
        <v>9125</v>
      </c>
      <c r="F60" s="72" t="s">
        <v>9126</v>
      </c>
      <c r="G60" s="72" t="s">
        <v>9127</v>
      </c>
      <c r="H60" s="72" t="s">
        <v>9128</v>
      </c>
      <c r="I60" s="73">
        <v>4</v>
      </c>
      <c r="J60" s="73" t="s">
        <v>9129</v>
      </c>
      <c r="K60" s="72" t="s">
        <v>6608</v>
      </c>
      <c r="L60" s="73"/>
    </row>
    <row r="61" spans="1:12" ht="42" customHeight="1">
      <c r="A61" s="69">
        <v>58</v>
      </c>
      <c r="B61" s="79" t="s">
        <v>268</v>
      </c>
      <c r="C61" s="80" t="s">
        <v>273</v>
      </c>
      <c r="D61" s="72" t="s">
        <v>9130</v>
      </c>
      <c r="E61" s="72" t="s">
        <v>9131</v>
      </c>
      <c r="F61" s="72" t="s">
        <v>9132</v>
      </c>
      <c r="G61" s="72" t="s">
        <v>7969</v>
      </c>
      <c r="H61" s="72" t="s">
        <v>6634</v>
      </c>
      <c r="I61" s="73">
        <v>4</v>
      </c>
      <c r="J61" s="73" t="s">
        <v>9133</v>
      </c>
      <c r="K61" s="72" t="s">
        <v>6608</v>
      </c>
      <c r="L61" s="73"/>
    </row>
    <row r="62" spans="1:12" ht="42" customHeight="1">
      <c r="A62" s="69">
        <v>59</v>
      </c>
      <c r="B62" s="79" t="s">
        <v>268</v>
      </c>
      <c r="C62" s="80" t="s">
        <v>273</v>
      </c>
      <c r="D62" s="72" t="s">
        <v>9134</v>
      </c>
      <c r="E62" s="72" t="s">
        <v>9135</v>
      </c>
      <c r="F62" s="72" t="s">
        <v>9136</v>
      </c>
      <c r="G62" s="72" t="s">
        <v>9137</v>
      </c>
      <c r="H62" s="72" t="s">
        <v>9138</v>
      </c>
      <c r="I62" s="73">
        <v>2</v>
      </c>
      <c r="J62" s="73" t="s">
        <v>9139</v>
      </c>
      <c r="K62" s="72" t="s">
        <v>6608</v>
      </c>
      <c r="L62" s="73"/>
    </row>
    <row r="63" spans="1:12" ht="42" customHeight="1">
      <c r="A63" s="69">
        <v>60</v>
      </c>
      <c r="B63" s="79" t="s">
        <v>268</v>
      </c>
      <c r="C63" s="80" t="s">
        <v>273</v>
      </c>
      <c r="D63" s="73" t="s">
        <v>9140</v>
      </c>
      <c r="E63" s="72" t="s">
        <v>7999</v>
      </c>
      <c r="F63" s="72" t="s">
        <v>9141</v>
      </c>
      <c r="G63" s="72" t="s">
        <v>8001</v>
      </c>
      <c r="H63" s="72" t="s">
        <v>8000</v>
      </c>
      <c r="I63" s="73">
        <v>2</v>
      </c>
      <c r="J63" s="73" t="s">
        <v>9142</v>
      </c>
      <c r="K63" s="72" t="s">
        <v>3461</v>
      </c>
      <c r="L63" s="73"/>
    </row>
    <row r="64" spans="1:12" ht="55.5" customHeight="1">
      <c r="A64" s="69">
        <v>61</v>
      </c>
      <c r="B64" s="79" t="s">
        <v>268</v>
      </c>
      <c r="C64" s="80" t="s">
        <v>273</v>
      </c>
      <c r="D64" s="72" t="s">
        <v>9143</v>
      </c>
      <c r="E64" s="72" t="s">
        <v>6611</v>
      </c>
      <c r="F64" s="72" t="s">
        <v>6613</v>
      </c>
      <c r="G64" s="72" t="s">
        <v>6612</v>
      </c>
      <c r="H64" s="72" t="s">
        <v>6610</v>
      </c>
      <c r="I64" s="73">
        <v>4</v>
      </c>
      <c r="J64" s="73" t="s">
        <v>9144</v>
      </c>
      <c r="K64" s="72" t="s">
        <v>6608</v>
      </c>
      <c r="L64" s="73"/>
    </row>
    <row r="65" spans="1:12" ht="42" customHeight="1">
      <c r="A65" s="69">
        <v>62</v>
      </c>
      <c r="B65" s="79" t="s">
        <v>268</v>
      </c>
      <c r="C65" s="80" t="s">
        <v>273</v>
      </c>
      <c r="D65" s="72" t="s">
        <v>9145</v>
      </c>
      <c r="E65" s="72" t="s">
        <v>9146</v>
      </c>
      <c r="F65" s="72" t="s">
        <v>9147</v>
      </c>
      <c r="G65" s="72" t="s">
        <v>9148</v>
      </c>
      <c r="H65" s="72" t="s">
        <v>9149</v>
      </c>
      <c r="I65" s="73">
        <v>1</v>
      </c>
      <c r="J65" s="73" t="s">
        <v>9150</v>
      </c>
      <c r="K65" s="72" t="s">
        <v>9151</v>
      </c>
      <c r="L65" s="73"/>
    </row>
    <row r="66" spans="1:12" ht="55.5" customHeight="1">
      <c r="A66" s="69">
        <v>63</v>
      </c>
      <c r="B66" s="79" t="s">
        <v>274</v>
      </c>
      <c r="C66" s="80" t="s">
        <v>275</v>
      </c>
      <c r="D66" s="72" t="s">
        <v>9152</v>
      </c>
      <c r="E66" s="72" t="s">
        <v>9153</v>
      </c>
      <c r="F66" s="72" t="s">
        <v>9154</v>
      </c>
      <c r="G66" s="72" t="s">
        <v>9155</v>
      </c>
      <c r="H66" s="72" t="s">
        <v>9156</v>
      </c>
      <c r="I66" s="73">
        <v>1</v>
      </c>
      <c r="J66" s="73" t="s">
        <v>9157</v>
      </c>
      <c r="K66" s="72"/>
      <c r="L66" s="73"/>
    </row>
    <row r="67" spans="1:12" ht="43.5" customHeight="1">
      <c r="A67" s="69">
        <v>64</v>
      </c>
      <c r="B67" s="79" t="s">
        <v>274</v>
      </c>
      <c r="C67" s="80" t="s">
        <v>275</v>
      </c>
      <c r="D67" s="72" t="s">
        <v>9158</v>
      </c>
      <c r="E67" s="72" t="s">
        <v>9159</v>
      </c>
      <c r="F67" s="72" t="s">
        <v>9160</v>
      </c>
      <c r="G67" s="72" t="s">
        <v>9161</v>
      </c>
      <c r="H67" s="72" t="s">
        <v>9162</v>
      </c>
      <c r="I67" s="73">
        <v>2</v>
      </c>
      <c r="J67" s="73" t="s">
        <v>9163</v>
      </c>
      <c r="K67" s="72"/>
      <c r="L67" s="73"/>
    </row>
    <row r="68" spans="1:12" ht="42" customHeight="1">
      <c r="A68" s="69">
        <v>65</v>
      </c>
      <c r="B68" s="79" t="s">
        <v>274</v>
      </c>
      <c r="C68" s="80" t="s">
        <v>275</v>
      </c>
      <c r="D68" s="72" t="s">
        <v>9164</v>
      </c>
      <c r="E68" s="72" t="s">
        <v>9165</v>
      </c>
      <c r="F68" s="72" t="s">
        <v>9166</v>
      </c>
      <c r="G68" s="72" t="s">
        <v>9167</v>
      </c>
      <c r="H68" s="73" t="s">
        <v>9168</v>
      </c>
      <c r="I68" s="73">
        <v>2</v>
      </c>
      <c r="J68" s="73" t="s">
        <v>9169</v>
      </c>
      <c r="K68" s="72"/>
      <c r="L68" s="73"/>
    </row>
    <row r="69" spans="1:12" ht="42" customHeight="1">
      <c r="A69" s="69">
        <v>66</v>
      </c>
      <c r="B69" s="79" t="s">
        <v>274</v>
      </c>
      <c r="C69" s="80" t="s">
        <v>275</v>
      </c>
      <c r="D69" s="72" t="s">
        <v>9170</v>
      </c>
      <c r="E69" s="72" t="s">
        <v>9171</v>
      </c>
      <c r="F69" s="72" t="s">
        <v>9040</v>
      </c>
      <c r="G69" s="72" t="s">
        <v>9172</v>
      </c>
      <c r="H69" s="72" t="s">
        <v>9173</v>
      </c>
      <c r="I69" s="73">
        <v>3</v>
      </c>
      <c r="J69" s="73" t="s">
        <v>9174</v>
      </c>
      <c r="K69" s="72"/>
      <c r="L69" s="73"/>
    </row>
    <row r="70" spans="1:12" ht="42" customHeight="1">
      <c r="A70" s="69">
        <v>67</v>
      </c>
      <c r="B70" s="79" t="s">
        <v>274</v>
      </c>
      <c r="C70" s="80" t="s">
        <v>275</v>
      </c>
      <c r="D70" s="73" t="s">
        <v>9175</v>
      </c>
      <c r="E70" s="72" t="s">
        <v>7750</v>
      </c>
      <c r="F70" s="72" t="s">
        <v>5794</v>
      </c>
      <c r="G70" s="72" t="s">
        <v>9007</v>
      </c>
      <c r="H70" s="72" t="s">
        <v>3679</v>
      </c>
      <c r="I70" s="73">
        <v>4</v>
      </c>
      <c r="J70" s="73" t="s">
        <v>9176</v>
      </c>
      <c r="K70" s="72"/>
      <c r="L70" s="73"/>
    </row>
    <row r="71" spans="1:12" ht="42" customHeight="1">
      <c r="A71" s="69">
        <v>68</v>
      </c>
      <c r="B71" s="79" t="s">
        <v>274</v>
      </c>
      <c r="C71" s="80" t="s">
        <v>275</v>
      </c>
      <c r="D71" s="72" t="s">
        <v>9177</v>
      </c>
      <c r="E71" s="72" t="s">
        <v>9178</v>
      </c>
      <c r="F71" s="72" t="s">
        <v>9179</v>
      </c>
      <c r="G71" s="72" t="s">
        <v>9180</v>
      </c>
      <c r="H71" s="72" t="s">
        <v>9181</v>
      </c>
      <c r="I71" s="73">
        <v>4</v>
      </c>
      <c r="J71" s="73" t="s">
        <v>9182</v>
      </c>
      <c r="K71" s="72"/>
      <c r="L71" s="73"/>
    </row>
    <row r="72" spans="1:12" ht="42" customHeight="1">
      <c r="A72" s="69">
        <v>69</v>
      </c>
      <c r="B72" s="79" t="s">
        <v>274</v>
      </c>
      <c r="C72" s="80" t="s">
        <v>275</v>
      </c>
      <c r="D72" s="72" t="s">
        <v>9183</v>
      </c>
      <c r="E72" s="72" t="s">
        <v>9184</v>
      </c>
      <c r="F72" s="72" t="s">
        <v>9185</v>
      </c>
      <c r="G72" s="72" t="s">
        <v>9186</v>
      </c>
      <c r="H72" s="72" t="s">
        <v>9187</v>
      </c>
      <c r="I72" s="73">
        <v>4</v>
      </c>
      <c r="J72" s="73" t="s">
        <v>9188</v>
      </c>
      <c r="K72" s="72"/>
      <c r="L72" s="73"/>
    </row>
    <row r="73" spans="1:12" ht="55.5" customHeight="1">
      <c r="A73" s="69">
        <v>70</v>
      </c>
      <c r="B73" s="21" t="s">
        <v>274</v>
      </c>
      <c r="C73" s="22" t="s">
        <v>275</v>
      </c>
      <c r="D73" s="23" t="s">
        <v>9189</v>
      </c>
      <c r="E73" s="23" t="s">
        <v>9190</v>
      </c>
      <c r="F73" s="23" t="s">
        <v>9191</v>
      </c>
      <c r="G73" s="23" t="s">
        <v>9192</v>
      </c>
      <c r="H73" s="23" t="s">
        <v>9193</v>
      </c>
      <c r="I73" s="24">
        <v>1</v>
      </c>
      <c r="J73" s="24" t="s">
        <v>9194</v>
      </c>
      <c r="K73" s="23"/>
      <c r="L73" s="24"/>
    </row>
    <row r="74" spans="1:12" ht="57.75" customHeight="1">
      <c r="A74" s="69">
        <v>71</v>
      </c>
      <c r="B74" s="79" t="s">
        <v>274</v>
      </c>
      <c r="C74" s="80" t="s">
        <v>276</v>
      </c>
      <c r="D74" s="72" t="s">
        <v>9195</v>
      </c>
      <c r="E74" s="72" t="s">
        <v>9196</v>
      </c>
      <c r="F74" s="72" t="s">
        <v>9029</v>
      </c>
      <c r="G74" s="72" t="s">
        <v>9197</v>
      </c>
      <c r="H74" s="72" t="s">
        <v>9198</v>
      </c>
      <c r="I74" s="73">
        <v>4</v>
      </c>
      <c r="J74" s="73" t="s">
        <v>9199</v>
      </c>
      <c r="K74" s="72"/>
      <c r="L74" s="73"/>
    </row>
    <row r="75" spans="1:12" ht="27.75" customHeight="1">
      <c r="A75" s="69">
        <v>72</v>
      </c>
      <c r="B75" s="79" t="s">
        <v>274</v>
      </c>
      <c r="C75" s="80" t="s">
        <v>276</v>
      </c>
      <c r="D75" s="72" t="s">
        <v>9200</v>
      </c>
      <c r="E75" s="72" t="s">
        <v>9196</v>
      </c>
      <c r="F75" s="72" t="s">
        <v>9201</v>
      </c>
      <c r="G75" s="72" t="s">
        <v>9197</v>
      </c>
      <c r="H75" s="72" t="s">
        <v>9198</v>
      </c>
      <c r="I75" s="73">
        <v>1</v>
      </c>
      <c r="J75" s="73" t="s">
        <v>9202</v>
      </c>
      <c r="K75" s="72"/>
      <c r="L75" s="73"/>
    </row>
    <row r="76" spans="1:12" ht="42" customHeight="1">
      <c r="A76" s="69">
        <v>73</v>
      </c>
      <c r="B76" s="79" t="s">
        <v>274</v>
      </c>
      <c r="C76" s="80" t="s">
        <v>276</v>
      </c>
      <c r="D76" s="72" t="s">
        <v>9203</v>
      </c>
      <c r="E76" s="72" t="s">
        <v>9197</v>
      </c>
      <c r="F76" s="72" t="s">
        <v>9198</v>
      </c>
      <c r="G76" s="72" t="s">
        <v>5794</v>
      </c>
      <c r="H76" s="72" t="s">
        <v>9196</v>
      </c>
      <c r="I76" s="73">
        <v>1</v>
      </c>
      <c r="J76" s="73" t="s">
        <v>9204</v>
      </c>
      <c r="K76" s="72"/>
      <c r="L76" s="73"/>
    </row>
    <row r="77" spans="1:12" ht="55.5" customHeight="1">
      <c r="A77" s="69">
        <v>74</v>
      </c>
      <c r="B77" s="79" t="s">
        <v>274</v>
      </c>
      <c r="C77" s="80" t="s">
        <v>276</v>
      </c>
      <c r="D77" s="72" t="s">
        <v>9205</v>
      </c>
      <c r="E77" s="72" t="s">
        <v>9206</v>
      </c>
      <c r="F77" s="72" t="s">
        <v>9207</v>
      </c>
      <c r="G77" s="72" t="s">
        <v>9208</v>
      </c>
      <c r="H77" s="72" t="s">
        <v>9209</v>
      </c>
      <c r="I77" s="73">
        <v>4</v>
      </c>
      <c r="J77" s="73" t="s">
        <v>9210</v>
      </c>
      <c r="K77" s="72"/>
      <c r="L77" s="73"/>
    </row>
    <row r="78" spans="1:12" ht="42" customHeight="1">
      <c r="A78" s="69">
        <v>75</v>
      </c>
      <c r="B78" s="79" t="s">
        <v>274</v>
      </c>
      <c r="C78" s="80" t="s">
        <v>276</v>
      </c>
      <c r="D78" s="73" t="s">
        <v>9211</v>
      </c>
      <c r="E78" s="72" t="s">
        <v>9196</v>
      </c>
      <c r="F78" s="72" t="s">
        <v>9198</v>
      </c>
      <c r="G78" s="72" t="s">
        <v>8932</v>
      </c>
      <c r="H78" s="72" t="s">
        <v>9197</v>
      </c>
      <c r="I78" s="73">
        <v>4</v>
      </c>
      <c r="J78" s="73" t="s">
        <v>9212</v>
      </c>
      <c r="K78" s="72"/>
      <c r="L78" s="73"/>
    </row>
    <row r="79" spans="1:12" ht="42" customHeight="1">
      <c r="A79" s="69">
        <v>76</v>
      </c>
      <c r="B79" s="79" t="s">
        <v>274</v>
      </c>
      <c r="C79" s="80" t="s">
        <v>276</v>
      </c>
      <c r="D79" s="72" t="s">
        <v>9213</v>
      </c>
      <c r="E79" s="72" t="s">
        <v>9214</v>
      </c>
      <c r="F79" s="72" t="s">
        <v>9215</v>
      </c>
      <c r="G79" s="72" t="s">
        <v>9216</v>
      </c>
      <c r="H79" s="72" t="s">
        <v>9217</v>
      </c>
      <c r="I79" s="73">
        <v>2</v>
      </c>
      <c r="J79" s="73" t="s">
        <v>9218</v>
      </c>
      <c r="K79" s="72"/>
      <c r="L79" s="73"/>
    </row>
    <row r="80" spans="1:12" ht="42" customHeight="1">
      <c r="A80" s="69">
        <v>77</v>
      </c>
      <c r="B80" s="79" t="s">
        <v>274</v>
      </c>
      <c r="C80" s="80" t="s">
        <v>276</v>
      </c>
      <c r="D80" s="72" t="s">
        <v>9219</v>
      </c>
      <c r="E80" s="72" t="s">
        <v>9220</v>
      </c>
      <c r="F80" s="72" t="s">
        <v>9221</v>
      </c>
      <c r="G80" s="72" t="s">
        <v>9222</v>
      </c>
      <c r="H80" s="72" t="s">
        <v>9223</v>
      </c>
      <c r="I80" s="73">
        <v>2</v>
      </c>
      <c r="J80" s="73" t="s">
        <v>9224</v>
      </c>
      <c r="K80" s="72"/>
      <c r="L80" s="73"/>
    </row>
    <row r="81" spans="1:12" ht="43.5" customHeight="1">
      <c r="A81" s="69">
        <v>78</v>
      </c>
      <c r="B81" s="79" t="s">
        <v>274</v>
      </c>
      <c r="C81" s="80" t="s">
        <v>277</v>
      </c>
      <c r="D81" s="72" t="s">
        <v>9225</v>
      </c>
      <c r="E81" s="72" t="s">
        <v>9226</v>
      </c>
      <c r="F81" s="72" t="s">
        <v>9227</v>
      </c>
      <c r="G81" s="72" t="s">
        <v>9228</v>
      </c>
      <c r="H81" s="72" t="s">
        <v>9229</v>
      </c>
      <c r="I81" s="73">
        <v>1</v>
      </c>
      <c r="J81" s="73" t="s">
        <v>9230</v>
      </c>
      <c r="K81" s="72" t="s">
        <v>9231</v>
      </c>
      <c r="L81" s="73"/>
    </row>
    <row r="82" spans="1:12" ht="42" customHeight="1">
      <c r="A82" s="69">
        <v>79</v>
      </c>
      <c r="B82" s="79" t="s">
        <v>274</v>
      </c>
      <c r="C82" s="80" t="s">
        <v>277</v>
      </c>
      <c r="D82" s="72" t="s">
        <v>9232</v>
      </c>
      <c r="E82" s="72" t="s">
        <v>9233</v>
      </c>
      <c r="F82" s="72" t="s">
        <v>9234</v>
      </c>
      <c r="G82" s="72" t="s">
        <v>9235</v>
      </c>
      <c r="H82" s="72" t="s">
        <v>9236</v>
      </c>
      <c r="I82" s="73">
        <v>1</v>
      </c>
      <c r="J82" s="73" t="s">
        <v>9237</v>
      </c>
      <c r="K82" s="72" t="s">
        <v>9238</v>
      </c>
      <c r="L82" s="73"/>
    </row>
    <row r="83" spans="1:12" ht="27.75" customHeight="1">
      <c r="A83" s="69">
        <v>80</v>
      </c>
      <c r="B83" s="79" t="s">
        <v>274</v>
      </c>
      <c r="C83" s="80" t="s">
        <v>277</v>
      </c>
      <c r="D83" s="72" t="s">
        <v>9239</v>
      </c>
      <c r="E83" s="72" t="s">
        <v>9233</v>
      </c>
      <c r="F83" s="72" t="s">
        <v>9240</v>
      </c>
      <c r="G83" s="72" t="s">
        <v>9241</v>
      </c>
      <c r="H83" s="72" t="s">
        <v>9235</v>
      </c>
      <c r="I83" s="73">
        <v>4</v>
      </c>
      <c r="J83" s="73" t="s">
        <v>9242</v>
      </c>
      <c r="K83" s="72" t="s">
        <v>9238</v>
      </c>
      <c r="L83" s="73"/>
    </row>
    <row r="84" spans="1:12" ht="42" customHeight="1">
      <c r="A84" s="69">
        <v>81</v>
      </c>
      <c r="B84" s="79" t="s">
        <v>274</v>
      </c>
      <c r="C84" s="80" t="s">
        <v>277</v>
      </c>
      <c r="D84" s="72" t="s">
        <v>9243</v>
      </c>
      <c r="E84" s="72" t="s">
        <v>9244</v>
      </c>
      <c r="F84" s="72" t="s">
        <v>9245</v>
      </c>
      <c r="G84" s="72" t="s">
        <v>9246</v>
      </c>
      <c r="H84" s="72" t="s">
        <v>9247</v>
      </c>
      <c r="I84" s="73">
        <v>1</v>
      </c>
      <c r="J84" s="73" t="s">
        <v>9248</v>
      </c>
      <c r="K84" s="72" t="s">
        <v>9238</v>
      </c>
      <c r="L84" s="73"/>
    </row>
    <row r="85" spans="1:12" ht="42" customHeight="1">
      <c r="A85" s="69">
        <v>82</v>
      </c>
      <c r="B85" s="79" t="s">
        <v>274</v>
      </c>
      <c r="C85" s="80" t="s">
        <v>277</v>
      </c>
      <c r="D85" s="72" t="s">
        <v>9249</v>
      </c>
      <c r="E85" s="72" t="s">
        <v>9250</v>
      </c>
      <c r="F85" s="72" t="s">
        <v>9251</v>
      </c>
      <c r="G85" s="72" t="s">
        <v>9252</v>
      </c>
      <c r="H85" s="73" t="s">
        <v>9253</v>
      </c>
      <c r="I85" s="73">
        <v>4</v>
      </c>
      <c r="J85" s="73" t="s">
        <v>9254</v>
      </c>
      <c r="K85" s="72" t="s">
        <v>9238</v>
      </c>
      <c r="L85" s="73"/>
    </row>
    <row r="86" spans="1:12" ht="27.75" customHeight="1">
      <c r="A86" s="69">
        <v>83</v>
      </c>
      <c r="B86" s="79" t="s">
        <v>274</v>
      </c>
      <c r="C86" s="80" t="s">
        <v>277</v>
      </c>
      <c r="D86" s="72" t="s">
        <v>9255</v>
      </c>
      <c r="E86" s="72" t="s">
        <v>9252</v>
      </c>
      <c r="F86" s="73" t="s">
        <v>9256</v>
      </c>
      <c r="G86" s="73" t="s">
        <v>9257</v>
      </c>
      <c r="H86" s="72" t="s">
        <v>9250</v>
      </c>
      <c r="I86" s="73">
        <v>3</v>
      </c>
      <c r="J86" s="73" t="s">
        <v>9258</v>
      </c>
      <c r="K86" s="72" t="s">
        <v>9238</v>
      </c>
      <c r="L86" s="73"/>
    </row>
    <row r="87" spans="1:12" ht="69.75" customHeight="1">
      <c r="A87" s="69">
        <v>84</v>
      </c>
      <c r="B87" s="79" t="s">
        <v>274</v>
      </c>
      <c r="C87" s="80" t="s">
        <v>277</v>
      </c>
      <c r="D87" s="73" t="s">
        <v>9259</v>
      </c>
      <c r="E87" s="72" t="s">
        <v>9260</v>
      </c>
      <c r="F87" s="72" t="s">
        <v>9261</v>
      </c>
      <c r="G87" s="72" t="s">
        <v>9262</v>
      </c>
      <c r="H87" s="72" t="s">
        <v>9263</v>
      </c>
      <c r="I87" s="73">
        <v>3</v>
      </c>
      <c r="J87" s="73" t="s">
        <v>9264</v>
      </c>
      <c r="K87" s="72" t="s">
        <v>9265</v>
      </c>
      <c r="L87" s="73"/>
    </row>
    <row r="88" spans="1:12" ht="72" customHeight="1">
      <c r="A88" s="69">
        <v>85</v>
      </c>
      <c r="B88" s="79" t="s">
        <v>274</v>
      </c>
      <c r="C88" s="80" t="s">
        <v>278</v>
      </c>
      <c r="D88" s="72" t="s">
        <v>9266</v>
      </c>
      <c r="E88" s="72" t="s">
        <v>9267</v>
      </c>
      <c r="F88" s="72" t="s">
        <v>9268</v>
      </c>
      <c r="G88" s="72" t="s">
        <v>9269</v>
      </c>
      <c r="H88" s="72" t="s">
        <v>9270</v>
      </c>
      <c r="I88" s="73">
        <v>4</v>
      </c>
      <c r="J88" s="73" t="s">
        <v>9271</v>
      </c>
      <c r="K88" s="72" t="s">
        <v>8846</v>
      </c>
      <c r="L88" s="73"/>
    </row>
    <row r="89" spans="1:12" ht="27.75" customHeight="1">
      <c r="A89" s="69">
        <v>86</v>
      </c>
      <c r="B89" s="79" t="s">
        <v>274</v>
      </c>
      <c r="C89" s="80" t="s">
        <v>278</v>
      </c>
      <c r="D89" s="72" t="s">
        <v>9272</v>
      </c>
      <c r="E89" s="72" t="s">
        <v>9273</v>
      </c>
      <c r="F89" s="72" t="s">
        <v>9274</v>
      </c>
      <c r="G89" s="72" t="s">
        <v>9275</v>
      </c>
      <c r="H89" s="72" t="s">
        <v>9276</v>
      </c>
      <c r="I89" s="73">
        <v>4</v>
      </c>
      <c r="J89" s="73" t="s">
        <v>9277</v>
      </c>
      <c r="K89" s="72" t="s">
        <v>8846</v>
      </c>
      <c r="L89" s="73"/>
    </row>
    <row r="90" spans="1:12" ht="55.5" customHeight="1">
      <c r="A90" s="69">
        <v>87</v>
      </c>
      <c r="B90" s="79" t="s">
        <v>274</v>
      </c>
      <c r="C90" s="80" t="s">
        <v>278</v>
      </c>
      <c r="D90" s="72" t="s">
        <v>9278</v>
      </c>
      <c r="E90" s="72" t="s">
        <v>8326</v>
      </c>
      <c r="F90" s="72" t="s">
        <v>8327</v>
      </c>
      <c r="G90" s="72" t="s">
        <v>8328</v>
      </c>
      <c r="H90" s="72" t="s">
        <v>8329</v>
      </c>
      <c r="I90" s="73">
        <v>1</v>
      </c>
      <c r="J90" s="73" t="s">
        <v>9279</v>
      </c>
      <c r="K90" s="72" t="s">
        <v>8846</v>
      </c>
      <c r="L90" s="73"/>
    </row>
    <row r="91" spans="1:12" ht="42" customHeight="1">
      <c r="A91" s="69">
        <v>88</v>
      </c>
      <c r="B91" s="79" t="s">
        <v>274</v>
      </c>
      <c r="C91" s="80" t="s">
        <v>278</v>
      </c>
      <c r="D91" s="72" t="s">
        <v>9280</v>
      </c>
      <c r="E91" s="72" t="s">
        <v>7907</v>
      </c>
      <c r="F91" s="72" t="s">
        <v>7906</v>
      </c>
      <c r="G91" s="72" t="s">
        <v>7909</v>
      </c>
      <c r="H91" s="72" t="s">
        <v>7908</v>
      </c>
      <c r="I91" s="73">
        <v>2</v>
      </c>
      <c r="J91" s="73" t="s">
        <v>9281</v>
      </c>
      <c r="K91" s="72" t="s">
        <v>8846</v>
      </c>
      <c r="L91" s="73"/>
    </row>
    <row r="92" spans="1:12" ht="55.5" customHeight="1">
      <c r="A92" s="69">
        <v>89</v>
      </c>
      <c r="B92" s="79" t="s">
        <v>274</v>
      </c>
      <c r="C92" s="80" t="s">
        <v>278</v>
      </c>
      <c r="D92" s="72" t="s">
        <v>9282</v>
      </c>
      <c r="E92" s="72" t="s">
        <v>9283</v>
      </c>
      <c r="F92" s="72" t="s">
        <v>6488</v>
      </c>
      <c r="G92" s="72" t="s">
        <v>8348</v>
      </c>
      <c r="H92" s="72" t="s">
        <v>9284</v>
      </c>
      <c r="I92" s="73">
        <v>3</v>
      </c>
      <c r="J92" s="73" t="s">
        <v>9285</v>
      </c>
      <c r="K92" s="72" t="s">
        <v>8846</v>
      </c>
      <c r="L92" s="73"/>
    </row>
    <row r="93" spans="1:12" ht="55.5" customHeight="1">
      <c r="A93" s="69">
        <v>90</v>
      </c>
      <c r="B93" s="79" t="s">
        <v>274</v>
      </c>
      <c r="C93" s="80" t="s">
        <v>278</v>
      </c>
      <c r="D93" s="72" t="s">
        <v>9286</v>
      </c>
      <c r="E93" s="72" t="s">
        <v>9287</v>
      </c>
      <c r="F93" s="72" t="s">
        <v>9288</v>
      </c>
      <c r="G93" s="72" t="s">
        <v>9289</v>
      </c>
      <c r="H93" s="72" t="s">
        <v>9290</v>
      </c>
      <c r="I93" s="73">
        <v>2</v>
      </c>
      <c r="J93" s="73" t="s">
        <v>9291</v>
      </c>
      <c r="K93" s="72" t="s">
        <v>8846</v>
      </c>
      <c r="L93" s="73"/>
    </row>
    <row r="94" spans="1:12" ht="42" customHeight="1">
      <c r="A94" s="69">
        <v>91</v>
      </c>
      <c r="B94" s="79" t="s">
        <v>274</v>
      </c>
      <c r="C94" s="80" t="s">
        <v>278</v>
      </c>
      <c r="D94" s="72" t="s">
        <v>9292</v>
      </c>
      <c r="E94" s="72" t="s">
        <v>9293</v>
      </c>
      <c r="F94" s="72" t="s">
        <v>9294</v>
      </c>
      <c r="G94" s="72" t="s">
        <v>9295</v>
      </c>
      <c r="H94" s="72" t="s">
        <v>9296</v>
      </c>
      <c r="I94" s="73">
        <v>1</v>
      </c>
      <c r="J94" s="73" t="s">
        <v>9297</v>
      </c>
      <c r="K94" s="72" t="s">
        <v>8846</v>
      </c>
      <c r="L94" s="73"/>
    </row>
    <row r="95" spans="1:12" ht="57.75" customHeight="1">
      <c r="A95" s="69">
        <v>92</v>
      </c>
      <c r="B95" s="79" t="s">
        <v>274</v>
      </c>
      <c r="C95" s="80" t="s">
        <v>279</v>
      </c>
      <c r="D95" s="72" t="s">
        <v>9298</v>
      </c>
      <c r="E95" s="72" t="s">
        <v>9299</v>
      </c>
      <c r="F95" s="72" t="s">
        <v>9300</v>
      </c>
      <c r="G95" s="72" t="s">
        <v>9301</v>
      </c>
      <c r="H95" s="72" t="s">
        <v>9302</v>
      </c>
      <c r="I95" s="73">
        <v>4</v>
      </c>
      <c r="J95" s="73" t="s">
        <v>9303</v>
      </c>
      <c r="K95" s="72" t="s">
        <v>9304</v>
      </c>
      <c r="L95" s="73"/>
    </row>
    <row r="96" spans="1:12" ht="42" customHeight="1">
      <c r="A96" s="69">
        <v>93</v>
      </c>
      <c r="B96" s="79" t="s">
        <v>274</v>
      </c>
      <c r="C96" s="80" t="s">
        <v>279</v>
      </c>
      <c r="D96" s="72" t="s">
        <v>9305</v>
      </c>
      <c r="E96" s="72" t="s">
        <v>9306</v>
      </c>
      <c r="F96" s="72" t="s">
        <v>9307</v>
      </c>
      <c r="G96" s="72" t="s">
        <v>9308</v>
      </c>
      <c r="H96" s="72" t="s">
        <v>9309</v>
      </c>
      <c r="I96" s="73">
        <v>2</v>
      </c>
      <c r="J96" s="73" t="s">
        <v>9310</v>
      </c>
      <c r="K96" s="72" t="s">
        <v>6505</v>
      </c>
      <c r="L96" s="73"/>
    </row>
    <row r="97" spans="1:12" ht="55.5" customHeight="1">
      <c r="A97" s="69">
        <v>94</v>
      </c>
      <c r="B97" s="79" t="s">
        <v>274</v>
      </c>
      <c r="C97" s="80" t="s">
        <v>279</v>
      </c>
      <c r="D97" s="72" t="s">
        <v>9311</v>
      </c>
      <c r="E97" s="72" t="s">
        <v>9312</v>
      </c>
      <c r="F97" s="72" t="s">
        <v>9313</v>
      </c>
      <c r="G97" s="72" t="s">
        <v>9314</v>
      </c>
      <c r="H97" s="72" t="s">
        <v>9315</v>
      </c>
      <c r="I97" s="73">
        <v>4</v>
      </c>
      <c r="J97" s="73" t="s">
        <v>9316</v>
      </c>
      <c r="K97" s="72" t="s">
        <v>9317</v>
      </c>
      <c r="L97" s="73"/>
    </row>
    <row r="98" spans="1:12" ht="42" customHeight="1">
      <c r="A98" s="69">
        <v>95</v>
      </c>
      <c r="B98" s="79" t="s">
        <v>274</v>
      </c>
      <c r="C98" s="80" t="s">
        <v>279</v>
      </c>
      <c r="D98" s="72" t="s">
        <v>9318</v>
      </c>
      <c r="E98" s="72" t="s">
        <v>9319</v>
      </c>
      <c r="F98" s="72" t="s">
        <v>9320</v>
      </c>
      <c r="G98" s="72" t="s">
        <v>9321</v>
      </c>
      <c r="H98" s="72" t="s">
        <v>9322</v>
      </c>
      <c r="I98" s="73">
        <v>4</v>
      </c>
      <c r="J98" s="73" t="s">
        <v>9323</v>
      </c>
      <c r="K98" s="72" t="s">
        <v>9324</v>
      </c>
      <c r="L98" s="73"/>
    </row>
    <row r="99" spans="1:12" ht="55.5" customHeight="1">
      <c r="A99" s="69">
        <v>96</v>
      </c>
      <c r="B99" s="79" t="s">
        <v>274</v>
      </c>
      <c r="C99" s="80" t="s">
        <v>279</v>
      </c>
      <c r="D99" s="72" t="s">
        <v>9325</v>
      </c>
      <c r="E99" s="72" t="s">
        <v>9326</v>
      </c>
      <c r="F99" s="72" t="s">
        <v>9327</v>
      </c>
      <c r="G99" s="72" t="s">
        <v>9328</v>
      </c>
      <c r="H99" s="72" t="s">
        <v>9329</v>
      </c>
      <c r="I99" s="73">
        <v>1</v>
      </c>
      <c r="J99" s="73" t="s">
        <v>9330</v>
      </c>
      <c r="K99" s="72" t="s">
        <v>6538</v>
      </c>
      <c r="L99" s="73"/>
    </row>
    <row r="100" spans="1:12" ht="42" customHeight="1">
      <c r="A100" s="69">
        <v>97</v>
      </c>
      <c r="B100" s="79" t="s">
        <v>274</v>
      </c>
      <c r="C100" s="80" t="s">
        <v>279</v>
      </c>
      <c r="D100" s="73" t="s">
        <v>9331</v>
      </c>
      <c r="E100" s="72" t="s">
        <v>6535</v>
      </c>
      <c r="F100" s="72" t="s">
        <v>6534</v>
      </c>
      <c r="G100" s="72" t="s">
        <v>6536</v>
      </c>
      <c r="H100" s="72" t="s">
        <v>9332</v>
      </c>
      <c r="I100" s="73">
        <v>2</v>
      </c>
      <c r="J100" s="73" t="s">
        <v>9333</v>
      </c>
      <c r="K100" s="72" t="s">
        <v>6538</v>
      </c>
      <c r="L100" s="73"/>
    </row>
    <row r="101" spans="1:12" ht="55.5" customHeight="1">
      <c r="A101" s="69">
        <v>98</v>
      </c>
      <c r="B101" s="79" t="s">
        <v>274</v>
      </c>
      <c r="C101" s="80" t="s">
        <v>279</v>
      </c>
      <c r="D101" s="72" t="s">
        <v>9334</v>
      </c>
      <c r="E101" s="72" t="s">
        <v>9335</v>
      </c>
      <c r="F101" s="72" t="s">
        <v>9336</v>
      </c>
      <c r="G101" s="72" t="s">
        <v>9337</v>
      </c>
      <c r="H101" s="72" t="s">
        <v>8858</v>
      </c>
      <c r="I101" s="73">
        <v>2</v>
      </c>
      <c r="J101" s="73" t="s">
        <v>9338</v>
      </c>
      <c r="K101" s="72" t="s">
        <v>6505</v>
      </c>
      <c r="L101" s="73"/>
    </row>
    <row r="102" spans="1:12" ht="55.5" customHeight="1">
      <c r="A102" s="69">
        <v>99</v>
      </c>
      <c r="B102" s="79" t="s">
        <v>274</v>
      </c>
      <c r="C102" s="80" t="s">
        <v>280</v>
      </c>
      <c r="D102" s="72" t="s">
        <v>9339</v>
      </c>
      <c r="E102" s="72" t="s">
        <v>9340</v>
      </c>
      <c r="F102" s="72" t="s">
        <v>9341</v>
      </c>
      <c r="G102" s="72" t="s">
        <v>9342</v>
      </c>
      <c r="H102" s="72" t="s">
        <v>9343</v>
      </c>
      <c r="I102" s="73">
        <v>4</v>
      </c>
      <c r="J102" s="73" t="s">
        <v>9344</v>
      </c>
      <c r="K102" s="72" t="s">
        <v>9345</v>
      </c>
      <c r="L102" s="73"/>
    </row>
    <row r="103" spans="1:12" ht="55.5" customHeight="1">
      <c r="A103" s="69">
        <v>100</v>
      </c>
      <c r="B103" s="79" t="s">
        <v>274</v>
      </c>
      <c r="C103" s="80" t="s">
        <v>280</v>
      </c>
      <c r="D103" s="72" t="s">
        <v>9346</v>
      </c>
      <c r="E103" s="72" t="s">
        <v>9347</v>
      </c>
      <c r="F103" s="72" t="s">
        <v>9348</v>
      </c>
      <c r="G103" s="72" t="s">
        <v>9349</v>
      </c>
      <c r="H103" s="72" t="s">
        <v>9350</v>
      </c>
      <c r="I103" s="73">
        <v>4</v>
      </c>
      <c r="J103" s="73" t="s">
        <v>9351</v>
      </c>
      <c r="K103" s="72" t="s">
        <v>9345</v>
      </c>
      <c r="L103" s="73"/>
    </row>
    <row r="104" spans="1:12" ht="55.5" customHeight="1">
      <c r="A104" s="69">
        <v>101</v>
      </c>
      <c r="B104" s="79" t="s">
        <v>274</v>
      </c>
      <c r="C104" s="80" t="s">
        <v>280</v>
      </c>
      <c r="D104" s="72" t="s">
        <v>9352</v>
      </c>
      <c r="E104" s="72" t="s">
        <v>9353</v>
      </c>
      <c r="F104" s="72" t="s">
        <v>9354</v>
      </c>
      <c r="G104" s="72" t="s">
        <v>9355</v>
      </c>
      <c r="H104" s="72" t="s">
        <v>9356</v>
      </c>
      <c r="I104" s="73">
        <v>3</v>
      </c>
      <c r="J104" s="73" t="s">
        <v>9357</v>
      </c>
      <c r="K104" s="72" t="s">
        <v>9345</v>
      </c>
      <c r="L104" s="73"/>
    </row>
    <row r="105" spans="1:12" ht="55.5" customHeight="1">
      <c r="A105" s="69">
        <v>102</v>
      </c>
      <c r="B105" s="79" t="s">
        <v>274</v>
      </c>
      <c r="C105" s="80" t="s">
        <v>280</v>
      </c>
      <c r="D105" s="72" t="s">
        <v>9358</v>
      </c>
      <c r="E105" s="72" t="s">
        <v>9359</v>
      </c>
      <c r="F105" s="72" t="s">
        <v>9360</v>
      </c>
      <c r="G105" s="72" t="s">
        <v>9361</v>
      </c>
      <c r="H105" s="72" t="s">
        <v>9362</v>
      </c>
      <c r="I105" s="73">
        <v>2</v>
      </c>
      <c r="J105" s="73" t="s">
        <v>9363</v>
      </c>
      <c r="K105" s="72" t="s">
        <v>9345</v>
      </c>
      <c r="L105" s="73"/>
    </row>
    <row r="106" spans="1:12" ht="55.5" customHeight="1">
      <c r="A106" s="69">
        <v>103</v>
      </c>
      <c r="B106" s="79" t="s">
        <v>274</v>
      </c>
      <c r="C106" s="80" t="s">
        <v>280</v>
      </c>
      <c r="D106" s="73" t="s">
        <v>9364</v>
      </c>
      <c r="E106" s="72" t="s">
        <v>9365</v>
      </c>
      <c r="F106" s="72" t="s">
        <v>9366</v>
      </c>
      <c r="G106" s="72" t="s">
        <v>9367</v>
      </c>
      <c r="H106" s="72" t="s">
        <v>9368</v>
      </c>
      <c r="I106" s="73">
        <v>2</v>
      </c>
      <c r="J106" s="73" t="s">
        <v>9369</v>
      </c>
      <c r="K106" s="72" t="s">
        <v>9345</v>
      </c>
      <c r="L106" s="73"/>
    </row>
    <row r="107" spans="1:12" ht="55.5" customHeight="1">
      <c r="A107" s="69">
        <v>104</v>
      </c>
      <c r="B107" s="79" t="s">
        <v>274</v>
      </c>
      <c r="C107" s="80" t="s">
        <v>280</v>
      </c>
      <c r="D107" s="72" t="s">
        <v>9370</v>
      </c>
      <c r="E107" s="72" t="s">
        <v>9371</v>
      </c>
      <c r="F107" s="72" t="s">
        <v>9372</v>
      </c>
      <c r="G107" s="72" t="s">
        <v>9373</v>
      </c>
      <c r="H107" s="72" t="s">
        <v>9374</v>
      </c>
      <c r="I107" s="73">
        <v>2</v>
      </c>
      <c r="J107" s="73" t="s">
        <v>9375</v>
      </c>
      <c r="K107" s="72" t="s">
        <v>9376</v>
      </c>
      <c r="L107" s="73"/>
    </row>
    <row r="108" spans="1:12" ht="55.5" customHeight="1">
      <c r="A108" s="69">
        <v>105</v>
      </c>
      <c r="B108" s="79" t="s">
        <v>274</v>
      </c>
      <c r="C108" s="80" t="s">
        <v>280</v>
      </c>
      <c r="D108" s="72" t="s">
        <v>9377</v>
      </c>
      <c r="E108" s="72" t="s">
        <v>9378</v>
      </c>
      <c r="F108" s="72" t="s">
        <v>9379</v>
      </c>
      <c r="G108" s="72" t="s">
        <v>9380</v>
      </c>
      <c r="H108" s="72" t="s">
        <v>9381</v>
      </c>
      <c r="I108" s="73">
        <v>1</v>
      </c>
      <c r="J108" s="73" t="s">
        <v>9382</v>
      </c>
      <c r="K108" s="72" t="s">
        <v>9345</v>
      </c>
      <c r="L108" s="73"/>
    </row>
    <row r="109" spans="1:12" ht="67.5" customHeight="1">
      <c r="A109" s="69">
        <v>106</v>
      </c>
      <c r="B109" s="87" t="s">
        <v>264</v>
      </c>
      <c r="C109" s="87" t="s">
        <v>265</v>
      </c>
      <c r="D109" s="88" t="s">
        <v>9383</v>
      </c>
      <c r="E109" s="87" t="s">
        <v>9384</v>
      </c>
      <c r="F109" s="87" t="s">
        <v>9385</v>
      </c>
      <c r="G109" s="87" t="s">
        <v>9386</v>
      </c>
      <c r="H109" s="87" t="s">
        <v>9387</v>
      </c>
      <c r="I109" s="87">
        <v>1</v>
      </c>
      <c r="J109" s="88" t="s">
        <v>9388</v>
      </c>
      <c r="K109" s="87"/>
    </row>
    <row r="110" spans="1:12" ht="84.5" customHeight="1">
      <c r="A110" s="69">
        <v>107</v>
      </c>
      <c r="B110" s="87" t="s">
        <v>264</v>
      </c>
      <c r="C110" s="87" t="s">
        <v>265</v>
      </c>
      <c r="D110" s="88" t="s">
        <v>9389</v>
      </c>
      <c r="E110" s="87" t="s">
        <v>9390</v>
      </c>
      <c r="F110" s="87" t="s">
        <v>9391</v>
      </c>
      <c r="G110" s="87" t="s">
        <v>9392</v>
      </c>
      <c r="H110" s="87" t="s">
        <v>9393</v>
      </c>
      <c r="I110" s="87">
        <v>4</v>
      </c>
      <c r="J110" s="88" t="s">
        <v>9394</v>
      </c>
      <c r="K110" s="87"/>
    </row>
    <row r="111" spans="1:12" ht="67.5" customHeight="1">
      <c r="A111" s="69">
        <v>108</v>
      </c>
      <c r="B111" s="87" t="s">
        <v>264</v>
      </c>
      <c r="C111" s="87" t="s">
        <v>265</v>
      </c>
      <c r="D111" s="88" t="s">
        <v>9395</v>
      </c>
      <c r="E111" s="87" t="s">
        <v>9396</v>
      </c>
      <c r="F111" s="87" t="s">
        <v>9397</v>
      </c>
      <c r="G111" s="87" t="s">
        <v>9398</v>
      </c>
      <c r="H111" s="87" t="s">
        <v>9399</v>
      </c>
      <c r="I111" s="87">
        <v>2</v>
      </c>
      <c r="J111" s="88" t="s">
        <v>9400</v>
      </c>
      <c r="K111" s="87"/>
    </row>
    <row r="112" spans="1:12" ht="67.5" customHeight="1">
      <c r="A112" s="69">
        <v>109</v>
      </c>
      <c r="B112" s="87" t="s">
        <v>264</v>
      </c>
      <c r="C112" s="87" t="s">
        <v>265</v>
      </c>
      <c r="D112" s="88" t="s">
        <v>9401</v>
      </c>
      <c r="E112" s="87" t="s">
        <v>9402</v>
      </c>
      <c r="F112" s="87" t="s">
        <v>9403</v>
      </c>
      <c r="G112" s="87" t="s">
        <v>9404</v>
      </c>
      <c r="H112" s="87" t="s">
        <v>9405</v>
      </c>
      <c r="I112" s="87">
        <v>3</v>
      </c>
      <c r="J112" s="88" t="s">
        <v>9406</v>
      </c>
      <c r="K112" s="87"/>
    </row>
    <row r="113" spans="1:11" ht="84.5" customHeight="1">
      <c r="A113" s="69">
        <v>110</v>
      </c>
      <c r="B113" s="87" t="s">
        <v>264</v>
      </c>
      <c r="C113" s="87" t="s">
        <v>266</v>
      </c>
      <c r="D113" s="88" t="s">
        <v>9407</v>
      </c>
      <c r="E113" s="87" t="s">
        <v>9408</v>
      </c>
      <c r="F113" s="87" t="s">
        <v>9409</v>
      </c>
      <c r="G113" s="87" t="s">
        <v>9410</v>
      </c>
      <c r="H113" s="87" t="s">
        <v>9411</v>
      </c>
      <c r="I113" s="87">
        <v>2</v>
      </c>
      <c r="J113" s="88" t="s">
        <v>9412</v>
      </c>
      <c r="K113" s="87"/>
    </row>
    <row r="114" spans="1:11" ht="84.5" customHeight="1">
      <c r="A114" s="69">
        <v>111</v>
      </c>
      <c r="B114" s="87" t="s">
        <v>264</v>
      </c>
      <c r="C114" s="87" t="s">
        <v>266</v>
      </c>
      <c r="D114" s="88" t="s">
        <v>9413</v>
      </c>
      <c r="E114" s="87" t="s">
        <v>9414</v>
      </c>
      <c r="F114" s="87" t="s">
        <v>9415</v>
      </c>
      <c r="G114" s="87" t="s">
        <v>9416</v>
      </c>
      <c r="H114" s="87" t="s">
        <v>9417</v>
      </c>
      <c r="I114" s="87">
        <v>2</v>
      </c>
      <c r="J114" s="88" t="s">
        <v>9418</v>
      </c>
      <c r="K114" s="87"/>
    </row>
    <row r="115" spans="1:11" ht="84.5" customHeight="1">
      <c r="A115" s="69">
        <v>112</v>
      </c>
      <c r="B115" s="87" t="s">
        <v>264</v>
      </c>
      <c r="C115" s="87" t="s">
        <v>266</v>
      </c>
      <c r="D115" s="88" t="s">
        <v>9419</v>
      </c>
      <c r="E115" s="87" t="s">
        <v>9420</v>
      </c>
      <c r="F115" s="87" t="s">
        <v>9421</v>
      </c>
      <c r="G115" s="87" t="s">
        <v>9422</v>
      </c>
      <c r="H115" s="87" t="s">
        <v>9423</v>
      </c>
      <c r="I115" s="87">
        <v>1</v>
      </c>
      <c r="J115" s="88" t="s">
        <v>9424</v>
      </c>
      <c r="K115" s="87"/>
    </row>
    <row r="116" spans="1:11" ht="84.5" customHeight="1">
      <c r="A116" s="69">
        <v>113</v>
      </c>
      <c r="B116" s="87" t="s">
        <v>264</v>
      </c>
      <c r="C116" s="87" t="s">
        <v>267</v>
      </c>
      <c r="D116" s="88" t="s">
        <v>9425</v>
      </c>
      <c r="E116" s="87" t="s">
        <v>9426</v>
      </c>
      <c r="F116" s="87" t="s">
        <v>9427</v>
      </c>
      <c r="G116" s="87" t="s">
        <v>9428</v>
      </c>
      <c r="H116" s="87" t="s">
        <v>9429</v>
      </c>
      <c r="I116" s="87">
        <v>2</v>
      </c>
      <c r="J116" s="88" t="s">
        <v>9430</v>
      </c>
      <c r="K116" s="87"/>
    </row>
    <row r="117" spans="1:11" ht="84.5" customHeight="1">
      <c r="A117" s="69">
        <v>114</v>
      </c>
      <c r="B117" s="87" t="s">
        <v>264</v>
      </c>
      <c r="C117" s="87" t="s">
        <v>267</v>
      </c>
      <c r="D117" s="88" t="s">
        <v>9431</v>
      </c>
      <c r="E117" s="87" t="s">
        <v>9432</v>
      </c>
      <c r="F117" s="87" t="s">
        <v>9433</v>
      </c>
      <c r="G117" s="87" t="s">
        <v>9434</v>
      </c>
      <c r="H117" s="87" t="s">
        <v>9435</v>
      </c>
      <c r="I117" s="87">
        <v>2</v>
      </c>
      <c r="J117" s="88" t="s">
        <v>9436</v>
      </c>
      <c r="K117" s="87"/>
    </row>
    <row r="118" spans="1:11" ht="84.5" customHeight="1">
      <c r="A118" s="69">
        <v>115</v>
      </c>
      <c r="B118" s="87" t="s">
        <v>268</v>
      </c>
      <c r="C118" s="87" t="s">
        <v>269</v>
      </c>
      <c r="D118" s="88" t="s">
        <v>9437</v>
      </c>
      <c r="E118" s="87" t="s">
        <v>9438</v>
      </c>
      <c r="F118" s="87" t="s">
        <v>9439</v>
      </c>
      <c r="G118" s="87" t="s">
        <v>9440</v>
      </c>
      <c r="H118" s="87" t="s">
        <v>9441</v>
      </c>
      <c r="I118" s="87">
        <v>2</v>
      </c>
      <c r="J118" s="88" t="s">
        <v>9442</v>
      </c>
      <c r="K118" s="87"/>
    </row>
    <row r="119" spans="1:11" ht="84.5" customHeight="1">
      <c r="A119" s="69">
        <v>116</v>
      </c>
      <c r="B119" s="87" t="s">
        <v>264</v>
      </c>
      <c r="C119" s="87" t="s">
        <v>265</v>
      </c>
      <c r="D119" s="88" t="s">
        <v>9443</v>
      </c>
      <c r="E119" s="87" t="s">
        <v>9444</v>
      </c>
      <c r="F119" s="87" t="s">
        <v>9445</v>
      </c>
      <c r="G119" s="87" t="s">
        <v>9446</v>
      </c>
      <c r="H119" s="87" t="s">
        <v>9447</v>
      </c>
      <c r="I119" s="87">
        <v>4</v>
      </c>
      <c r="J119" s="88" t="s">
        <v>9448</v>
      </c>
      <c r="K119" s="87"/>
    </row>
    <row r="120" spans="1:11" ht="101.25" customHeight="1">
      <c r="A120" s="69">
        <v>117</v>
      </c>
      <c r="B120" s="87" t="s">
        <v>264</v>
      </c>
      <c r="C120" s="87" t="s">
        <v>267</v>
      </c>
      <c r="D120" s="88" t="s">
        <v>9449</v>
      </c>
      <c r="E120" s="87" t="s">
        <v>9450</v>
      </c>
      <c r="F120" s="87" t="s">
        <v>9451</v>
      </c>
      <c r="G120" s="87" t="s">
        <v>9452</v>
      </c>
      <c r="H120" s="87" t="s">
        <v>3032</v>
      </c>
      <c r="I120" s="87">
        <v>4</v>
      </c>
      <c r="J120" s="88" t="s">
        <v>9453</v>
      </c>
      <c r="K120" s="87"/>
    </row>
    <row r="121" spans="1:11" ht="84.5" customHeight="1">
      <c r="A121" s="69">
        <v>118</v>
      </c>
      <c r="B121" s="87" t="s">
        <v>264</v>
      </c>
      <c r="C121" s="87" t="s">
        <v>265</v>
      </c>
      <c r="D121" s="88" t="s">
        <v>9454</v>
      </c>
      <c r="E121" s="87" t="s">
        <v>9390</v>
      </c>
      <c r="F121" s="87" t="s">
        <v>9455</v>
      </c>
      <c r="G121" s="87" t="s">
        <v>9456</v>
      </c>
      <c r="H121" s="87" t="s">
        <v>9457</v>
      </c>
      <c r="I121" s="87">
        <v>4</v>
      </c>
      <c r="J121" s="88" t="s">
        <v>9458</v>
      </c>
      <c r="K121" s="87"/>
    </row>
    <row r="122" spans="1:11" ht="84.5" customHeight="1">
      <c r="A122" s="69">
        <v>119</v>
      </c>
      <c r="B122" s="87" t="s">
        <v>264</v>
      </c>
      <c r="C122" s="87" t="s">
        <v>266</v>
      </c>
      <c r="D122" s="88" t="s">
        <v>9459</v>
      </c>
      <c r="E122" s="87" t="s">
        <v>9460</v>
      </c>
      <c r="F122" s="87" t="s">
        <v>9461</v>
      </c>
      <c r="G122" s="87" t="s">
        <v>9462</v>
      </c>
      <c r="H122" s="87" t="s">
        <v>9463</v>
      </c>
      <c r="I122" s="87">
        <v>1</v>
      </c>
      <c r="J122" s="88" t="s">
        <v>9464</v>
      </c>
      <c r="K122" s="87"/>
    </row>
    <row r="123" spans="1:11" ht="84.5" customHeight="1">
      <c r="A123" s="69">
        <v>120</v>
      </c>
      <c r="B123" s="87" t="s">
        <v>264</v>
      </c>
      <c r="C123" s="87" t="s">
        <v>267</v>
      </c>
      <c r="D123" s="88" t="s">
        <v>9465</v>
      </c>
      <c r="E123" s="87" t="s">
        <v>9466</v>
      </c>
      <c r="F123" s="87" t="s">
        <v>9467</v>
      </c>
      <c r="G123" s="87" t="s">
        <v>9468</v>
      </c>
      <c r="H123" s="87" t="s">
        <v>9469</v>
      </c>
      <c r="I123" s="87">
        <v>4</v>
      </c>
      <c r="J123" s="88" t="s">
        <v>9470</v>
      </c>
      <c r="K123" s="87"/>
    </row>
    <row r="124" spans="1:11" ht="84.5" customHeight="1">
      <c r="A124" s="69">
        <v>121</v>
      </c>
      <c r="B124" s="87" t="s">
        <v>268</v>
      </c>
      <c r="C124" s="87" t="s">
        <v>269</v>
      </c>
      <c r="D124" s="88" t="s">
        <v>9471</v>
      </c>
      <c r="E124" s="87" t="s">
        <v>6349</v>
      </c>
      <c r="F124" s="87" t="s">
        <v>6350</v>
      </c>
      <c r="G124" s="87" t="s">
        <v>6351</v>
      </c>
      <c r="H124" s="87" t="s">
        <v>6352</v>
      </c>
      <c r="I124" s="87">
        <v>3</v>
      </c>
      <c r="J124" s="88" t="s">
        <v>9472</v>
      </c>
      <c r="K124" s="87"/>
    </row>
    <row r="125" spans="1:11" ht="84.5" customHeight="1">
      <c r="A125" s="69">
        <v>122</v>
      </c>
      <c r="B125" s="87" t="s">
        <v>268</v>
      </c>
      <c r="C125" s="87" t="s">
        <v>269</v>
      </c>
      <c r="D125" s="88" t="s">
        <v>9473</v>
      </c>
      <c r="E125" s="87" t="s">
        <v>4782</v>
      </c>
      <c r="F125" s="87" t="s">
        <v>9474</v>
      </c>
      <c r="G125" s="87" t="s">
        <v>9475</v>
      </c>
      <c r="H125" s="87" t="s">
        <v>9476</v>
      </c>
      <c r="I125" s="87">
        <v>3</v>
      </c>
      <c r="J125" s="88" t="s">
        <v>9477</v>
      </c>
      <c r="K125" s="87"/>
    </row>
    <row r="126" spans="1:11" ht="84.5" customHeight="1">
      <c r="A126" s="69">
        <v>123</v>
      </c>
      <c r="B126" s="87" t="s">
        <v>274</v>
      </c>
      <c r="C126" s="87" t="s">
        <v>275</v>
      </c>
      <c r="D126" s="88" t="s">
        <v>9478</v>
      </c>
      <c r="E126" s="87" t="s">
        <v>9479</v>
      </c>
      <c r="F126" s="87" t="s">
        <v>9480</v>
      </c>
      <c r="G126" s="87" t="s">
        <v>9481</v>
      </c>
      <c r="H126" s="87" t="s">
        <v>9482</v>
      </c>
      <c r="I126" s="87">
        <v>2</v>
      </c>
      <c r="J126" s="88" t="s">
        <v>9483</v>
      </c>
      <c r="K126" s="87"/>
    </row>
    <row r="127" spans="1:11" ht="84.5" customHeight="1">
      <c r="A127" s="69">
        <v>124</v>
      </c>
      <c r="B127" s="87" t="s">
        <v>268</v>
      </c>
      <c r="C127" s="87" t="s">
        <v>270</v>
      </c>
      <c r="D127" s="88" t="s">
        <v>9484</v>
      </c>
      <c r="E127" s="87" t="s">
        <v>9485</v>
      </c>
      <c r="F127" s="87" t="s">
        <v>9486</v>
      </c>
      <c r="G127" s="87" t="s">
        <v>9487</v>
      </c>
      <c r="H127" s="87" t="s">
        <v>9488</v>
      </c>
      <c r="I127" s="87">
        <v>2</v>
      </c>
      <c r="J127" s="88" t="s">
        <v>9489</v>
      </c>
      <c r="K127" s="87"/>
    </row>
    <row r="128" spans="1:11" ht="101.25" customHeight="1">
      <c r="A128" s="69">
        <v>125</v>
      </c>
      <c r="B128" s="87" t="s">
        <v>268</v>
      </c>
      <c r="C128" s="87" t="s">
        <v>271</v>
      </c>
      <c r="D128" s="88" t="s">
        <v>9490</v>
      </c>
      <c r="E128" s="87" t="s">
        <v>9491</v>
      </c>
      <c r="F128" s="87" t="s">
        <v>9492</v>
      </c>
      <c r="G128" s="87" t="s">
        <v>9493</v>
      </c>
      <c r="H128" s="87" t="s">
        <v>9494</v>
      </c>
      <c r="I128" s="87">
        <v>2</v>
      </c>
      <c r="J128" s="88" t="s">
        <v>9495</v>
      </c>
      <c r="K128" s="87"/>
    </row>
    <row r="129" spans="1:11" ht="84.5" customHeight="1">
      <c r="A129" s="69">
        <v>126</v>
      </c>
      <c r="B129" s="87" t="s">
        <v>268</v>
      </c>
      <c r="C129" s="87" t="s">
        <v>271</v>
      </c>
      <c r="D129" s="88" t="s">
        <v>9496</v>
      </c>
      <c r="E129" s="87" t="s">
        <v>9497</v>
      </c>
      <c r="F129" s="87" t="s">
        <v>9498</v>
      </c>
      <c r="G129" s="87" t="s">
        <v>9499</v>
      </c>
      <c r="H129" s="87" t="s">
        <v>9500</v>
      </c>
      <c r="I129" s="87">
        <v>3</v>
      </c>
      <c r="J129" s="88" t="s">
        <v>9501</v>
      </c>
      <c r="K129" s="87"/>
    </row>
    <row r="130" spans="1:11" ht="84.5" customHeight="1">
      <c r="A130" s="69">
        <v>127</v>
      </c>
      <c r="B130" s="87" t="s">
        <v>268</v>
      </c>
      <c r="C130" s="87" t="s">
        <v>272</v>
      </c>
      <c r="D130" s="88" t="s">
        <v>9502</v>
      </c>
      <c r="E130" s="87" t="s">
        <v>9503</v>
      </c>
      <c r="F130" s="87" t="s">
        <v>9504</v>
      </c>
      <c r="G130" s="87" t="s">
        <v>9505</v>
      </c>
      <c r="H130" s="87" t="s">
        <v>9506</v>
      </c>
      <c r="I130" s="87">
        <v>3</v>
      </c>
      <c r="J130" s="88" t="s">
        <v>9507</v>
      </c>
      <c r="K130" s="87"/>
    </row>
    <row r="131" spans="1:11" ht="84.5" customHeight="1">
      <c r="A131" s="69">
        <v>128</v>
      </c>
      <c r="B131" s="87" t="s">
        <v>268</v>
      </c>
      <c r="C131" s="87" t="s">
        <v>272</v>
      </c>
      <c r="D131" s="88" t="s">
        <v>9508</v>
      </c>
      <c r="E131" s="87" t="s">
        <v>9509</v>
      </c>
      <c r="F131" s="87" t="s">
        <v>9510</v>
      </c>
      <c r="G131" s="87" t="s">
        <v>9511</v>
      </c>
      <c r="H131" s="87" t="s">
        <v>9512</v>
      </c>
      <c r="I131" s="87">
        <v>3</v>
      </c>
      <c r="J131" s="88" t="s">
        <v>9513</v>
      </c>
      <c r="K131" s="87"/>
    </row>
    <row r="132" spans="1:11" ht="84.5" customHeight="1">
      <c r="A132" s="69">
        <v>129</v>
      </c>
      <c r="B132" s="87" t="s">
        <v>268</v>
      </c>
      <c r="C132" s="87" t="s">
        <v>273</v>
      </c>
      <c r="D132" s="88" t="s">
        <v>9514</v>
      </c>
      <c r="E132" s="87" t="s">
        <v>9515</v>
      </c>
      <c r="F132" s="87" t="s">
        <v>9516</v>
      </c>
      <c r="G132" s="87" t="s">
        <v>9517</v>
      </c>
      <c r="H132" s="87" t="s">
        <v>9518</v>
      </c>
      <c r="I132" s="87">
        <v>3</v>
      </c>
      <c r="J132" s="88" t="s">
        <v>9519</v>
      </c>
      <c r="K132" s="87"/>
    </row>
    <row r="133" spans="1:11" ht="101.25" customHeight="1">
      <c r="A133" s="69">
        <v>130</v>
      </c>
      <c r="B133" s="87" t="s">
        <v>268</v>
      </c>
      <c r="C133" s="87" t="s">
        <v>273</v>
      </c>
      <c r="D133" s="88" t="s">
        <v>9520</v>
      </c>
      <c r="E133" s="87" t="s">
        <v>9521</v>
      </c>
      <c r="F133" s="87" t="s">
        <v>9522</v>
      </c>
      <c r="G133" s="87" t="s">
        <v>9523</v>
      </c>
      <c r="H133" s="87" t="s">
        <v>9524</v>
      </c>
      <c r="I133" s="87">
        <v>3</v>
      </c>
      <c r="J133" s="88" t="s">
        <v>9525</v>
      </c>
      <c r="K133" s="87"/>
    </row>
    <row r="134" spans="1:11" ht="67.5" customHeight="1">
      <c r="A134" s="69">
        <v>131</v>
      </c>
      <c r="B134" s="87" t="s">
        <v>268</v>
      </c>
      <c r="C134" s="87" t="s">
        <v>271</v>
      </c>
      <c r="D134" s="88" t="s">
        <v>9526</v>
      </c>
      <c r="E134" s="87" t="s">
        <v>9527</v>
      </c>
      <c r="F134" s="87" t="s">
        <v>9528</v>
      </c>
      <c r="G134" s="87" t="s">
        <v>9529</v>
      </c>
      <c r="H134" s="87" t="s">
        <v>9530</v>
      </c>
      <c r="I134" s="87">
        <v>1</v>
      </c>
      <c r="J134" s="88" t="s">
        <v>9531</v>
      </c>
      <c r="K134" s="87"/>
    </row>
    <row r="135" spans="1:11" ht="67.5" customHeight="1">
      <c r="A135" s="69">
        <v>132</v>
      </c>
      <c r="B135" s="87" t="s">
        <v>268</v>
      </c>
      <c r="C135" s="87" t="s">
        <v>272</v>
      </c>
      <c r="D135" s="88" t="s">
        <v>9532</v>
      </c>
      <c r="E135" s="87" t="s">
        <v>9533</v>
      </c>
      <c r="F135" s="87" t="s">
        <v>9534</v>
      </c>
      <c r="G135" s="87" t="s">
        <v>9535</v>
      </c>
      <c r="H135" s="87" t="s">
        <v>9536</v>
      </c>
      <c r="I135" s="87">
        <v>4</v>
      </c>
      <c r="J135" s="88" t="s">
        <v>9537</v>
      </c>
      <c r="K135" s="87"/>
    </row>
    <row r="136" spans="1:11" ht="84.5" customHeight="1">
      <c r="A136" s="69">
        <v>133</v>
      </c>
      <c r="B136" s="87" t="s">
        <v>274</v>
      </c>
      <c r="C136" s="87" t="s">
        <v>277</v>
      </c>
      <c r="D136" s="88" t="s">
        <v>9538</v>
      </c>
      <c r="E136" s="87" t="s">
        <v>9539</v>
      </c>
      <c r="F136" s="87" t="s">
        <v>9540</v>
      </c>
      <c r="G136" s="87" t="s">
        <v>9541</v>
      </c>
      <c r="H136" s="87" t="s">
        <v>9542</v>
      </c>
      <c r="I136" s="87">
        <v>1</v>
      </c>
      <c r="J136" s="88" t="s">
        <v>9543</v>
      </c>
      <c r="K136" s="87"/>
    </row>
    <row r="137" spans="1:11" ht="84.5" customHeight="1">
      <c r="A137" s="69">
        <v>134</v>
      </c>
      <c r="B137" s="87" t="s">
        <v>274</v>
      </c>
      <c r="C137" s="87" t="s">
        <v>277</v>
      </c>
      <c r="D137" s="88" t="s">
        <v>9544</v>
      </c>
      <c r="E137" s="87" t="s">
        <v>9545</v>
      </c>
      <c r="F137" s="87" t="s">
        <v>9546</v>
      </c>
      <c r="G137" s="87" t="s">
        <v>9547</v>
      </c>
      <c r="H137" s="87" t="s">
        <v>9548</v>
      </c>
      <c r="I137" s="87">
        <v>4</v>
      </c>
      <c r="J137" s="88" t="s">
        <v>9549</v>
      </c>
      <c r="K137" s="87"/>
    </row>
    <row r="138" spans="1:11" ht="118.25" customHeight="1">
      <c r="A138" s="69">
        <v>135</v>
      </c>
      <c r="B138" s="87" t="s">
        <v>274</v>
      </c>
      <c r="C138" s="87" t="s">
        <v>277</v>
      </c>
      <c r="D138" s="88" t="s">
        <v>9550</v>
      </c>
      <c r="E138" s="87" t="s">
        <v>9551</v>
      </c>
      <c r="F138" s="87" t="s">
        <v>9552</v>
      </c>
      <c r="G138" s="87" t="s">
        <v>9553</v>
      </c>
      <c r="H138" s="87" t="s">
        <v>9554</v>
      </c>
      <c r="I138" s="87">
        <v>1</v>
      </c>
      <c r="J138" s="88" t="s">
        <v>9555</v>
      </c>
      <c r="K138" s="87"/>
    </row>
    <row r="139" spans="1:11" ht="33.75" customHeight="1">
      <c r="A139" s="69">
        <v>136</v>
      </c>
      <c r="B139" s="87" t="s">
        <v>268</v>
      </c>
      <c r="C139" s="87" t="s">
        <v>270</v>
      </c>
      <c r="D139" s="88" t="s">
        <v>9556</v>
      </c>
      <c r="E139" s="87" t="s">
        <v>9557</v>
      </c>
      <c r="F139" s="87" t="s">
        <v>9558</v>
      </c>
      <c r="G139" s="87" t="s">
        <v>9559</v>
      </c>
      <c r="H139" s="87" t="s">
        <v>9560</v>
      </c>
      <c r="I139" s="87">
        <v>3</v>
      </c>
      <c r="J139" s="88" t="s">
        <v>9561</v>
      </c>
      <c r="K139" s="87"/>
    </row>
    <row r="140" spans="1:11" ht="33.75" customHeight="1">
      <c r="A140" s="69">
        <v>137</v>
      </c>
      <c r="B140" s="87" t="s">
        <v>268</v>
      </c>
      <c r="C140" s="87" t="s">
        <v>271</v>
      </c>
      <c r="D140" s="88" t="s">
        <v>9562</v>
      </c>
      <c r="E140" s="87" t="s">
        <v>9563</v>
      </c>
      <c r="F140" s="87" t="s">
        <v>9564</v>
      </c>
      <c r="G140" s="87" t="s">
        <v>9565</v>
      </c>
      <c r="H140" s="87" t="s">
        <v>9566</v>
      </c>
      <c r="I140" s="87">
        <v>2</v>
      </c>
      <c r="J140" s="88" t="s">
        <v>9567</v>
      </c>
      <c r="K140" s="87"/>
    </row>
    <row r="141" spans="1:11" ht="33.75" customHeight="1">
      <c r="A141" s="69">
        <v>138</v>
      </c>
      <c r="B141" s="87" t="s">
        <v>268</v>
      </c>
      <c r="C141" s="87" t="s">
        <v>273</v>
      </c>
      <c r="D141" s="88" t="s">
        <v>9568</v>
      </c>
      <c r="E141" s="87" t="s">
        <v>9569</v>
      </c>
      <c r="F141" s="87" t="s">
        <v>9570</v>
      </c>
      <c r="G141" s="87" t="s">
        <v>9571</v>
      </c>
      <c r="H141" s="87" t="s">
        <v>9572</v>
      </c>
      <c r="I141" s="87">
        <v>2</v>
      </c>
      <c r="J141" s="88" t="s">
        <v>9573</v>
      </c>
      <c r="K141" s="87"/>
    </row>
    <row r="142" spans="1:11" ht="33.75" customHeight="1">
      <c r="A142" s="69">
        <v>139</v>
      </c>
      <c r="B142" s="87" t="s">
        <v>274</v>
      </c>
      <c r="C142" s="87" t="s">
        <v>277</v>
      </c>
      <c r="D142" s="88" t="s">
        <v>9574</v>
      </c>
      <c r="E142" s="87" t="s">
        <v>9575</v>
      </c>
      <c r="F142" s="87" t="s">
        <v>9576</v>
      </c>
      <c r="G142" s="87" t="s">
        <v>9577</v>
      </c>
      <c r="H142" s="87" t="s">
        <v>9578</v>
      </c>
      <c r="I142" s="87">
        <v>2</v>
      </c>
      <c r="J142" s="88" t="s">
        <v>9579</v>
      </c>
      <c r="K142" s="87"/>
    </row>
    <row r="143" spans="1:11" ht="33.75" customHeight="1">
      <c r="A143" s="69">
        <v>140</v>
      </c>
      <c r="B143" s="87" t="s">
        <v>268</v>
      </c>
      <c r="C143" s="87" t="s">
        <v>273</v>
      </c>
      <c r="D143" s="88" t="s">
        <v>9580</v>
      </c>
      <c r="E143" s="87" t="s">
        <v>9581</v>
      </c>
      <c r="F143" s="87" t="s">
        <v>9582</v>
      </c>
      <c r="G143" s="87" t="s">
        <v>9583</v>
      </c>
      <c r="H143" s="87" t="s">
        <v>9584</v>
      </c>
      <c r="I143" s="87">
        <v>3</v>
      </c>
      <c r="J143" s="88" t="s">
        <v>9585</v>
      </c>
      <c r="K143" s="87"/>
    </row>
    <row r="144" spans="1:11" ht="33.75" customHeight="1">
      <c r="A144" s="69">
        <v>141</v>
      </c>
      <c r="B144" s="87" t="s">
        <v>274</v>
      </c>
      <c r="C144" s="87" t="s">
        <v>277</v>
      </c>
      <c r="D144" s="88" t="s">
        <v>9586</v>
      </c>
      <c r="E144" s="87" t="s">
        <v>9587</v>
      </c>
      <c r="F144" s="87" t="s">
        <v>9588</v>
      </c>
      <c r="G144" s="87" t="s">
        <v>9589</v>
      </c>
      <c r="H144" s="87" t="s">
        <v>9590</v>
      </c>
      <c r="I144" s="87">
        <v>2</v>
      </c>
      <c r="J144" s="88" t="s">
        <v>9591</v>
      </c>
      <c r="K144" s="87"/>
    </row>
    <row r="145" spans="1:11" ht="33.75" customHeight="1">
      <c r="A145" s="69">
        <v>142</v>
      </c>
      <c r="B145" s="87" t="s">
        <v>274</v>
      </c>
      <c r="C145" s="87" t="s">
        <v>277</v>
      </c>
      <c r="D145" s="88" t="s">
        <v>9592</v>
      </c>
      <c r="E145" s="87" t="s">
        <v>9593</v>
      </c>
      <c r="F145" s="87" t="s">
        <v>9594</v>
      </c>
      <c r="G145" s="87" t="s">
        <v>9595</v>
      </c>
      <c r="H145" s="87" t="s">
        <v>9596</v>
      </c>
      <c r="I145" s="87">
        <v>2</v>
      </c>
      <c r="J145" s="88" t="s">
        <v>9597</v>
      </c>
      <c r="K145" s="87"/>
    </row>
    <row r="146" spans="1:11" ht="33.75" customHeight="1">
      <c r="A146" s="69">
        <v>143</v>
      </c>
      <c r="B146" s="87" t="s">
        <v>274</v>
      </c>
      <c r="C146" s="87" t="s">
        <v>279</v>
      </c>
      <c r="D146" s="88" t="s">
        <v>9598</v>
      </c>
      <c r="E146" s="87" t="s">
        <v>8782</v>
      </c>
      <c r="F146" s="87" t="s">
        <v>9599</v>
      </c>
      <c r="G146" s="87" t="s">
        <v>9600</v>
      </c>
      <c r="H146" s="87" t="s">
        <v>9601</v>
      </c>
      <c r="I146" s="87">
        <v>2</v>
      </c>
      <c r="J146" s="88" t="s">
        <v>9602</v>
      </c>
      <c r="K146" s="87"/>
    </row>
    <row r="147" spans="1:11" ht="67.5" customHeight="1">
      <c r="A147" s="69">
        <v>144</v>
      </c>
      <c r="B147" s="87" t="s">
        <v>264</v>
      </c>
      <c r="C147" s="87" t="s">
        <v>265</v>
      </c>
      <c r="D147" s="88" t="s">
        <v>9603</v>
      </c>
      <c r="E147" s="87" t="s">
        <v>472</v>
      </c>
      <c r="F147" s="87" t="s">
        <v>471</v>
      </c>
      <c r="G147" s="87" t="s">
        <v>469</v>
      </c>
      <c r="H147" s="87" t="s">
        <v>470</v>
      </c>
      <c r="I147" s="87">
        <v>3</v>
      </c>
      <c r="J147" s="88" t="s">
        <v>1765</v>
      </c>
      <c r="K147" s="87"/>
    </row>
    <row r="148" spans="1:11" ht="67.5" customHeight="1">
      <c r="A148" s="69">
        <v>145</v>
      </c>
      <c r="B148" s="87" t="s">
        <v>264</v>
      </c>
      <c r="C148" s="87" t="s">
        <v>265</v>
      </c>
      <c r="D148" s="88" t="s">
        <v>9604</v>
      </c>
      <c r="E148" s="87" t="s">
        <v>476</v>
      </c>
      <c r="F148" s="87" t="s">
        <v>478</v>
      </c>
      <c r="G148" s="87" t="s">
        <v>477</v>
      </c>
      <c r="H148" s="87" t="s">
        <v>475</v>
      </c>
      <c r="I148" s="87">
        <v>4</v>
      </c>
      <c r="J148" s="88" t="s">
        <v>3047</v>
      </c>
      <c r="K148" s="87"/>
    </row>
    <row r="149" spans="1:11" ht="50.75" customHeight="1">
      <c r="A149" s="69">
        <v>146</v>
      </c>
      <c r="B149" s="87" t="s">
        <v>268</v>
      </c>
      <c r="C149" s="87" t="s">
        <v>269</v>
      </c>
      <c r="D149" s="88" t="s">
        <v>9605</v>
      </c>
      <c r="E149" s="87" t="s">
        <v>9606</v>
      </c>
      <c r="F149" s="87" t="s">
        <v>9607</v>
      </c>
      <c r="G149" s="87" t="s">
        <v>9608</v>
      </c>
      <c r="H149" s="87" t="s">
        <v>9609</v>
      </c>
      <c r="I149" s="87">
        <v>1</v>
      </c>
      <c r="J149" s="88" t="s">
        <v>9610</v>
      </c>
      <c r="K149" s="87"/>
    </row>
    <row r="150" spans="1:11" ht="67.5" customHeight="1">
      <c r="A150" s="69">
        <v>147</v>
      </c>
      <c r="B150" s="87" t="s">
        <v>274</v>
      </c>
      <c r="C150" s="87" t="s">
        <v>277</v>
      </c>
      <c r="D150" s="88" t="s">
        <v>9611</v>
      </c>
      <c r="E150" s="87" t="s">
        <v>469</v>
      </c>
      <c r="F150" s="87" t="s">
        <v>470</v>
      </c>
      <c r="G150" s="87" t="s">
        <v>471</v>
      </c>
      <c r="H150" s="87" t="s">
        <v>472</v>
      </c>
      <c r="I150" s="87">
        <v>1</v>
      </c>
      <c r="J150" s="88" t="s">
        <v>473</v>
      </c>
      <c r="K150" s="87"/>
    </row>
    <row r="151" spans="1:11" ht="50.75" customHeight="1">
      <c r="A151" s="69">
        <v>148</v>
      </c>
      <c r="B151" s="87" t="s">
        <v>268</v>
      </c>
      <c r="C151" s="87" t="s">
        <v>273</v>
      </c>
      <c r="D151" s="88" t="s">
        <v>9612</v>
      </c>
      <c r="E151" s="87" t="s">
        <v>9607</v>
      </c>
      <c r="F151" s="87" t="s">
        <v>9608</v>
      </c>
      <c r="G151" s="87" t="s">
        <v>9606</v>
      </c>
      <c r="H151" s="87" t="s">
        <v>9609</v>
      </c>
      <c r="I151" s="87">
        <v>3</v>
      </c>
      <c r="J151" s="88" t="s">
        <v>9613</v>
      </c>
      <c r="K151" s="87"/>
    </row>
    <row r="152" spans="1:11" ht="67.5" customHeight="1">
      <c r="A152" s="69">
        <v>149</v>
      </c>
      <c r="B152" s="87" t="s">
        <v>274</v>
      </c>
      <c r="C152" s="87" t="s">
        <v>277</v>
      </c>
      <c r="D152" s="88" t="s">
        <v>9614</v>
      </c>
      <c r="E152" s="87" t="s">
        <v>476</v>
      </c>
      <c r="F152" s="87" t="s">
        <v>477</v>
      </c>
      <c r="G152" s="87" t="s">
        <v>475</v>
      </c>
      <c r="H152" s="87" t="s">
        <v>478</v>
      </c>
      <c r="I152" s="87">
        <v>3</v>
      </c>
      <c r="J152" s="88" t="s">
        <v>1767</v>
      </c>
      <c r="K152" s="87"/>
    </row>
    <row r="153" spans="1:11" ht="84.5" customHeight="1">
      <c r="A153" s="69">
        <v>150</v>
      </c>
      <c r="B153" s="87" t="s">
        <v>274</v>
      </c>
      <c r="C153" s="87" t="s">
        <v>276</v>
      </c>
      <c r="D153" s="88" t="s">
        <v>9615</v>
      </c>
      <c r="E153" s="87" t="s">
        <v>9616</v>
      </c>
      <c r="F153" s="87" t="s">
        <v>9617</v>
      </c>
      <c r="G153" s="87" t="s">
        <v>9618</v>
      </c>
      <c r="H153" s="87" t="s">
        <v>9619</v>
      </c>
      <c r="I153" s="87">
        <v>1</v>
      </c>
      <c r="J153" s="88" t="s">
        <v>9620</v>
      </c>
      <c r="K153" s="87"/>
    </row>
    <row r="154" spans="1:11" ht="118.25" customHeight="1">
      <c r="A154" s="69">
        <v>151</v>
      </c>
      <c r="B154" s="87" t="s">
        <v>274</v>
      </c>
      <c r="C154" s="87" t="s">
        <v>276</v>
      </c>
      <c r="D154" s="88" t="s">
        <v>9621</v>
      </c>
      <c r="E154" s="87" t="s">
        <v>9622</v>
      </c>
      <c r="F154" s="87" t="s">
        <v>9623</v>
      </c>
      <c r="G154" s="87" t="s">
        <v>9624</v>
      </c>
      <c r="H154" s="87" t="s">
        <v>9625</v>
      </c>
      <c r="I154" s="87">
        <v>1</v>
      </c>
      <c r="J154" s="88" t="s">
        <v>9626</v>
      </c>
      <c r="K154" s="87"/>
    </row>
    <row r="155" spans="1:11" ht="84.5" customHeight="1">
      <c r="A155" s="69">
        <v>152</v>
      </c>
      <c r="B155" s="87" t="s">
        <v>274</v>
      </c>
      <c r="C155" s="87" t="s">
        <v>276</v>
      </c>
      <c r="D155" s="88" t="s">
        <v>9627</v>
      </c>
      <c r="E155" s="87" t="s">
        <v>9628</v>
      </c>
      <c r="F155" s="87" t="s">
        <v>9629</v>
      </c>
      <c r="G155" s="87" t="s">
        <v>9630</v>
      </c>
      <c r="H155" s="87" t="s">
        <v>9631</v>
      </c>
      <c r="I155" s="87">
        <v>4</v>
      </c>
      <c r="J155" s="88" t="s">
        <v>9632</v>
      </c>
      <c r="K155" s="87"/>
    </row>
    <row r="156" spans="1:11" ht="101.25" customHeight="1">
      <c r="A156" s="69">
        <v>153</v>
      </c>
      <c r="B156" s="87" t="s">
        <v>274</v>
      </c>
      <c r="C156" s="87" t="s">
        <v>277</v>
      </c>
      <c r="D156" s="88" t="s">
        <v>9633</v>
      </c>
      <c r="E156" s="87" t="s">
        <v>9634</v>
      </c>
      <c r="F156" s="87" t="s">
        <v>9635</v>
      </c>
      <c r="G156" s="87" t="s">
        <v>9636</v>
      </c>
      <c r="H156" s="87" t="s">
        <v>9637</v>
      </c>
      <c r="I156" s="87">
        <v>1</v>
      </c>
      <c r="J156" s="88" t="s">
        <v>9638</v>
      </c>
      <c r="K156" s="87"/>
    </row>
    <row r="157" spans="1:11" ht="101.25" customHeight="1">
      <c r="A157" s="69">
        <v>154</v>
      </c>
      <c r="B157" s="87" t="s">
        <v>274</v>
      </c>
      <c r="C157" s="87" t="s">
        <v>277</v>
      </c>
      <c r="D157" s="88" t="s">
        <v>9639</v>
      </c>
      <c r="E157" s="87" t="s">
        <v>9640</v>
      </c>
      <c r="F157" s="87" t="s">
        <v>9641</v>
      </c>
      <c r="G157" s="87" t="s">
        <v>9642</v>
      </c>
      <c r="H157" s="87" t="s">
        <v>9643</v>
      </c>
      <c r="I157" s="87">
        <v>1</v>
      </c>
      <c r="J157" s="88" t="s">
        <v>9644</v>
      </c>
      <c r="K157" s="87"/>
    </row>
    <row r="158" spans="1:11" ht="17" customHeight="1">
      <c r="A158">
        <v>155</v>
      </c>
      <c r="B158" t="s">
        <v>264</v>
      </c>
      <c r="C158" t="s">
        <v>265</v>
      </c>
      <c r="D158" t="s">
        <v>9645</v>
      </c>
      <c r="E158" t="s">
        <v>2682</v>
      </c>
      <c r="F158" t="s">
        <v>2679</v>
      </c>
      <c r="G158" t="s">
        <v>2740</v>
      </c>
      <c r="H158" t="s">
        <v>2739</v>
      </c>
      <c r="I158">
        <v>1</v>
      </c>
      <c r="J158" t="s">
        <v>9646</v>
      </c>
      <c r="K158" t="s">
        <v>9647</v>
      </c>
    </row>
  </sheetData>
  <mergeCells count="1">
    <mergeCell ref="A1:L1"/>
  </mergeCells>
  <phoneticPr fontId="58" type="noConversion"/>
  <pageMargins left="0.75" right="0.75" top="1" bottom="1" header="0.511811023622047" footer="0.511811023622047"/>
  <pageSetup fitToHeight="0" orientation="landscape"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A1:F12"/>
  <sheetViews>
    <sheetView zoomScaleNormal="100" workbookViewId="0">
      <selection activeCell="E10" sqref="E10"/>
    </sheetView>
  </sheetViews>
  <sheetFormatPr baseColWidth="10" defaultColWidth="8.83203125" defaultRowHeight="17"/>
  <cols>
    <col min="1" max="1" width="6" style="81" customWidth="1"/>
    <col min="2" max="2" width="57" style="81" customWidth="1"/>
    <col min="3" max="4" width="8.83203125" style="81" customWidth="1"/>
    <col min="5" max="16384" width="8.83203125" style="81"/>
  </cols>
  <sheetData>
    <row r="1" spans="1:6" ht="31.5" customHeight="1">
      <c r="A1" s="189" t="s">
        <v>9648</v>
      </c>
      <c r="B1" s="182"/>
    </row>
    <row r="2" spans="1:6" ht="21.75" customHeight="1">
      <c r="A2" s="82" t="s">
        <v>9649</v>
      </c>
      <c r="B2" s="83" t="s">
        <v>9650</v>
      </c>
      <c r="D2" s="181" t="s">
        <v>9651</v>
      </c>
      <c r="E2" s="182"/>
      <c r="F2" s="182"/>
    </row>
    <row r="3" spans="1:6" ht="19.5" customHeight="1">
      <c r="A3" s="183"/>
      <c r="B3" s="184"/>
    </row>
    <row r="4" spans="1:6" ht="19.5" customHeight="1">
      <c r="A4" s="185"/>
      <c r="B4" s="186"/>
    </row>
    <row r="5" spans="1:6" ht="19.5" customHeight="1">
      <c r="A5" s="185"/>
      <c r="B5" s="186"/>
    </row>
    <row r="6" spans="1:6" ht="19.5" customHeight="1">
      <c r="A6" s="185"/>
      <c r="B6" s="186"/>
    </row>
    <row r="7" spans="1:6" ht="19.5" customHeight="1">
      <c r="A7" s="185"/>
      <c r="B7" s="186"/>
    </row>
    <row r="8" spans="1:6" ht="151.5" customHeight="1">
      <c r="A8" s="187"/>
      <c r="B8" s="188"/>
    </row>
    <row r="9" spans="1:6" ht="21.75" customHeight="1">
      <c r="A9" s="82" t="s">
        <v>9652</v>
      </c>
      <c r="B9" s="84" t="s">
        <v>9653</v>
      </c>
    </row>
    <row r="10" spans="1:6" ht="21.75" customHeight="1">
      <c r="A10" s="82" t="s">
        <v>9654</v>
      </c>
      <c r="B10" s="83" t="s">
        <v>9655</v>
      </c>
    </row>
    <row r="11" spans="1:6" ht="19.5" customHeight="1">
      <c r="A11" s="85"/>
      <c r="B11" s="86" t="s">
        <v>9656</v>
      </c>
    </row>
    <row r="12" spans="1:6" ht="19.5" customHeight="1">
      <c r="A12" s="85"/>
      <c r="B12" s="86" t="s">
        <v>9657</v>
      </c>
    </row>
  </sheetData>
  <mergeCells count="3">
    <mergeCell ref="D2:F2"/>
    <mergeCell ref="A3:B8"/>
    <mergeCell ref="A1:B1"/>
  </mergeCells>
  <phoneticPr fontId="58" type="noConversion"/>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20</vt:i4>
      </vt:variant>
    </vt:vector>
  </HeadingPairs>
  <TitlesOfParts>
    <vt:vector size="20" baseType="lpstr">
      <vt:lpstr>표지</vt:lpstr>
      <vt:lpstr>목차</vt:lpstr>
      <vt:lpstr>1-6_공정조달관리</vt:lpstr>
      <vt:lpstr>퀴즈 모드</vt:lpstr>
      <vt:lpstr>매크로</vt:lpstr>
      <vt:lpstr>매크로 사용법</vt:lpstr>
      <vt:lpstr>1-1_공공조달개요</vt:lpstr>
      <vt:lpstr>1-2_원칙및방법</vt:lpstr>
      <vt:lpstr>1-3_전자조달시스템</vt:lpstr>
      <vt:lpstr>1-4_전략적공공조달</vt:lpstr>
      <vt:lpstr>1-5_공공조달법률이해</vt:lpstr>
      <vt:lpstr>Temp</vt:lpstr>
      <vt:lpstr>2-1_공공조달계획</vt:lpstr>
      <vt:lpstr>2-2_조달요구응대및제안</vt:lpstr>
      <vt:lpstr>2-3_입찰제안평가및계약체결</vt:lpstr>
      <vt:lpstr>3-1_계약관리일반절차</vt:lpstr>
      <vt:lpstr>3-2_물품계약관리</vt:lpstr>
      <vt:lpstr>3-3_용역다수공급자계약관리</vt:lpstr>
      <vt:lpstr>3-4_공사계약관리</vt:lpstr>
      <vt:lpstr>모바일 안내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우미영</cp:lastModifiedBy>
  <cp:revision>100</cp:revision>
  <dcterms:created xsi:type="dcterms:W3CDTF">2026-07-10T01:05:07Z</dcterms:created>
  <dcterms:modified xsi:type="dcterms:W3CDTF">2026-09-04T12:09:04Z</dcterms:modified>
  <dc:language>en-US</dc:language>
  <cp:version>1100.0100.01</cp:version>
</cp:coreProperties>
</file>